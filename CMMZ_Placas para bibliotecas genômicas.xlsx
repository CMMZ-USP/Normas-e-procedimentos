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1.Bibliotecas" sheetId="2" r:id="rId6"/>
    <sheet state="visible" name="2.Organização para Pool de Enri" sheetId="3" r:id="rId7"/>
    <sheet state="visible" name="3.Pool de Enriquecimento" sheetId="4" r:id="rId8"/>
    <sheet state="visible" name="4.qPCR - montagem" sheetId="5" r:id="rId9"/>
    <sheet state="visible" name="5.qPCR - resultados" sheetId="6" r:id="rId10"/>
    <sheet state="visible" name="6.Pool de Sequenciamento" sheetId="7" r:id="rId11"/>
    <sheet state="visible" name="Indices_iTru" sheetId="8" r:id="rId12"/>
    <sheet state="visible" name="Indices_NEBNext" sheetId="9" r:id="rId13"/>
    <sheet state="visible" name="Indices_QIAseq" sheetId="10" r:id="rId14"/>
  </sheets>
  <definedNames/>
  <calcPr/>
</workbook>
</file>

<file path=xl/sharedStrings.xml><?xml version="1.0" encoding="utf-8"?>
<sst xmlns="http://schemas.openxmlformats.org/spreadsheetml/2006/main" count="7374" uniqueCount="4931">
  <si>
    <t xml:space="preserve">POOL DE ENRIQUECIMENTO													</t>
  </si>
  <si>
    <t>Template de mapa da placa — preencher e duplicar para cada nova placa</t>
  </si>
  <si>
    <t>POOL DE ENRIQUECIMENTO</t>
  </si>
  <si>
    <t>PREENCHER DIARIAMENTE</t>
  </si>
  <si>
    <t>PREENCHER CONFORME PLANILHA DE EXTRAÇAO</t>
  </si>
  <si>
    <t>Planilha de controle de placas e lanes checada?</t>
  </si>
  <si>
    <t xml:space="preserve">1. Antes de começar, definir quantas amostras serão combinadas em cada pool. Recomendamos usar 10 a 12 amostras por pool, no máximo. Para amostras de concentração baixa, considere usar menos amostras por pool. </t>
  </si>
  <si>
    <t>DEFINIR QUANTIDADE DE DNA PARA SONICAR, DILUIÇAO E TEMPO DE SONICAÇAO</t>
  </si>
  <si>
    <t>DEFINIR INDICES UNICOS</t>
  </si>
  <si>
    <t xml:space="preserve">2. Após definir o número de pools, redefinir as células combinadas das colunas E, H, K, L, M e N. </t>
  </si>
  <si>
    <t>Não</t>
  </si>
  <si>
    <t xml:space="preserve">3. Cada pool deve conter no mínimo 500 ng de DNA. Modificar formúla da coluna G para que cada amostra tenha quantidade igual de DNA e que a soma fique maior que 500 ng. </t>
  </si>
  <si>
    <t xml:space="preserve">Organizar as amostras por valor da concentração da amostra no Pós-PCR (coluna F) do menor para o maior. CUIDADO PARA ORGANIZAR TODAS AS COLUNAS ADEQUADAMENTE, PARA QUE AS AMOSTRAS NAO SE MISTUREM. Utilizar amostras com concentrações parecidas na mesma pool. </t>
  </si>
  <si>
    <t>Protocolo</t>
  </si>
  <si>
    <t>Contagem</t>
  </si>
  <si>
    <t>ID Biblioteca</t>
  </si>
  <si>
    <t>Espécie</t>
  </si>
  <si>
    <t>Código extração</t>
  </si>
  <si>
    <t>Número da placa</t>
  </si>
  <si>
    <t>Pool</t>
  </si>
  <si>
    <t>Pós-PCR 13x (ng/uL)</t>
  </si>
  <si>
    <t>uL necessários para que cada amostra tenha pelo menos 45ng de DNA</t>
  </si>
  <si>
    <t>Nº Amostra</t>
  </si>
  <si>
    <t>Multiplicador necessário para aumentar o volume a ser pipetado</t>
  </si>
  <si>
    <t>Data</t>
  </si>
  <si>
    <t>uL a adicionar na pool de enriquecimento</t>
  </si>
  <si>
    <t>Técnico</t>
  </si>
  <si>
    <t>Volume Total (esperado) (soma dos volumes a adicionar na coluna I)</t>
  </si>
  <si>
    <t xml:space="preserve">1. Antes de começar, defina o número da placa de acordo com a planilha Controle de Placas e Lanes_CMMZ.xlsx. Preencha a planilha com todas as informações. </t>
  </si>
  <si>
    <t>[Pool] Qubit</t>
  </si>
  <si>
    <t>Volume a ressuspender após secar (sempre diminuir o volume para garantir a concentração mínima)</t>
  </si>
  <si>
    <t>[Pool Final] Qubit</t>
  </si>
  <si>
    <t>[Enriquecimento Pós-PCR] Qubit</t>
  </si>
  <si>
    <t>Placa 8 (lane 9)</t>
  </si>
  <si>
    <t>DNA extração (ng/µL)</t>
  </si>
  <si>
    <t>DNA Total na extração (ng)</t>
  </si>
  <si>
    <t>Volume de DNA (uL) para shearing</t>
  </si>
  <si>
    <t>Responsável (Docente/Discente)</t>
  </si>
  <si>
    <t>Volume de água H2O (uL) para shearing</t>
  </si>
  <si>
    <t>Braunilla_sp_HYMZ0165</t>
  </si>
  <si>
    <t>Shear Time (s)</t>
  </si>
  <si>
    <t>HYMZ0165</t>
  </si>
  <si>
    <t>Input total de DNA (ng) na biblioteca</t>
  </si>
  <si>
    <t>Posição i7</t>
  </si>
  <si>
    <t xml:space="preserve">2. Imprima o CheckList de bancada e cole no caderno de laboratório, na página correspondente ao início da preparação das bibliotecas. </t>
  </si>
  <si>
    <t>Índice i7</t>
  </si>
  <si>
    <t>Kit de preparação de Bibliotecas</t>
  </si>
  <si>
    <t>Posição i5</t>
  </si>
  <si>
    <t>Índice i5</t>
  </si>
  <si>
    <t>Post-PCR 13x (ng/uL)</t>
  </si>
  <si>
    <t>NEBNext UDI Set 1 (E6440)</t>
  </si>
  <si>
    <t>Tubo tampa</t>
  </si>
  <si>
    <t xml:space="preserve">3. Preencha todos os campos ao lado, indicando qual o kit de bibliotecas utilizado. </t>
  </si>
  <si>
    <t>Tubo lateral</t>
  </si>
  <si>
    <t>Data de início das bibliotecas</t>
  </si>
  <si>
    <t>i7Index name</t>
  </si>
  <si>
    <t>Index-seq_1</t>
  </si>
  <si>
    <t>i5 Index name</t>
  </si>
  <si>
    <t>Index-seq</t>
  </si>
  <si>
    <t xml:space="preserve">4. Caso o kit utilizado se o Kapa HyperPrep, escolha os índices iTru na aba "Indices_iTru"desta planilha, e preecha as colunas M e O na Aba 1.Bibliotecas com os nomes dos índices apenas, tomando cuidado para não usar a mesma combinação de índices em mais de uma amostra. As colunas T, U, V e W serão preenchidas automaticamente, e esses dados deverão ser informados ao centro de sequenciamento no momento do envio.  </t>
  </si>
  <si>
    <t>FASTQ R1</t>
  </si>
  <si>
    <t>FASTQ R2</t>
  </si>
  <si>
    <t>Status da preparação das bibliotecas</t>
  </si>
  <si>
    <t xml:space="preserve">5. Caso o kit utilizado seja QIAseq ou NEBNext, confira qual kit está sendo usado, e copie os nomes dos índices correspondentes a partir das abas Indices_QIAseq ou Indices_NEBNext nesta planilha. </t>
  </si>
  <si>
    <t>Nome para Caixa de bibliotecas</t>
  </si>
  <si>
    <t>Teste</t>
  </si>
  <si>
    <t xml:space="preserve">6. Adicione às colunas Espécie, Código de Extração e Concentração de DNA extração as informações de forma idêntica ao informado na planilha de extração do laboratório de origem. </t>
  </si>
  <si>
    <t>Data de termino das bibliotecas</t>
  </si>
  <si>
    <t xml:space="preserve">7. Na coluna G (DNA Total da Extração) substitua o número 100 pelo volume de elução da sua extração. </t>
  </si>
  <si>
    <t>Pool de Enriquecimento</t>
  </si>
  <si>
    <t xml:space="preserve">8. Preencha as colunas Data e Técnico apenas na data da execução das bibliotecas. </t>
  </si>
  <si>
    <t>Kit de Enriquecimento</t>
  </si>
  <si>
    <t>Pompilinae_sp_HYMZ0144</t>
  </si>
  <si>
    <t>HYMZ0144</t>
  </si>
  <si>
    <t xml:space="preserve">9. Decida os tempos e volumes de sonicação, se necessário. O modelo da planilha contem as fórmulas para cálculo automático, com o valor base de 100 ng total. Caso deseje usar uma quantidade diferente de DNA, substitua o número 100 pelo número desejado nas fórmulas das colunas H e I.  </t>
  </si>
  <si>
    <t>Número de Pools de Enriquecimento</t>
  </si>
  <si>
    <t>Pompilocalus_sp_HYMZ0151</t>
  </si>
  <si>
    <t xml:space="preserve">10. Durante a preparação das bibliotecas, pode-se usar os números simples da coluna A para marcação dos tubos. </t>
  </si>
  <si>
    <t>HYMZ0151</t>
  </si>
  <si>
    <t>Número de amostras por Pool de Enriquecimento</t>
  </si>
  <si>
    <t>A01</t>
  </si>
  <si>
    <t>Caenohalictus_incertus_HYMZ0587</t>
  </si>
  <si>
    <t>HYMZ0587</t>
  </si>
  <si>
    <t>iTru7_107_04</t>
  </si>
  <si>
    <t xml:space="preserve">11. Para armazenamento das bibliotecas, deve-se usar nos tubos os nomes de acordo com o listado nas colunas R (para a tamba do tubo) e S (para a lateral do tudo). Não esquecer de adicionar a informação Pre-PCR ou Pós-PCR, de acordo com o conteúdo dos tubos. </t>
  </si>
  <si>
    <t>iTru5_117_A</t>
  </si>
  <si>
    <t>Data de início do Enriquecimento</t>
  </si>
  <si>
    <t>Caenohalictus_incertus_HYMZ0586</t>
  </si>
  <si>
    <t>HYMZ0586</t>
  </si>
  <si>
    <t xml:space="preserve">12. Armazenar as bibliotecas em caixas próprias para tubos, identificando a caixa com o nome de acordo com a linha 7 - Caixa bibliotecas. </t>
  </si>
  <si>
    <t>Status da preparação do Enriquecimento</t>
  </si>
  <si>
    <t>Placa 7 (lane 6)</t>
  </si>
  <si>
    <t>Solenopsis_invicta_HYMZ0431</t>
  </si>
  <si>
    <t>HYMZ0431</t>
  </si>
  <si>
    <t xml:space="preserve">13. Caso prossiga para enriquecimento das amostras, marcar sim no menu da linha 8. Caso não vá fazer enriquecimento, marcar como não. </t>
  </si>
  <si>
    <t>Nome para Caixa de Enriquecimento e Sequenciamento</t>
  </si>
  <si>
    <t>Solenopsis_invicta_HYMZ0477</t>
  </si>
  <si>
    <t>HYMZ0477</t>
  </si>
  <si>
    <t xml:space="preserve">14. Inclua em tempo real as datas de início e fim da preparação de cada etapa. </t>
  </si>
  <si>
    <t>Solenopsis_invicta_HYMZ0482</t>
  </si>
  <si>
    <t>Pool de Sequenciamento</t>
  </si>
  <si>
    <t>HYMZ0482</t>
  </si>
  <si>
    <t>Sim</t>
  </si>
  <si>
    <t>Solenopsis_invicta_HYMZ0498</t>
  </si>
  <si>
    <t>15. Caso seja feito gel para as biblotecas, colar as imagens na aba 1. Bibliotecas, abaixo da tabela principal</t>
  </si>
  <si>
    <t>HYMZ0498</t>
  </si>
  <si>
    <t>Data de preparação da Pool de Sequenciamento</t>
  </si>
  <si>
    <t>Solenopsis_invicta_HYMZ0519</t>
  </si>
  <si>
    <t>HYMZ0519</t>
  </si>
  <si>
    <t>Número de amostras na Pool de Sequenciamento</t>
  </si>
  <si>
    <t>Sequenciamento de mais de uma placa por lane?</t>
  </si>
  <si>
    <t>Se sim, qual placa foi combinada?</t>
  </si>
  <si>
    <t>Nome da Lane de Sequenciamento</t>
  </si>
  <si>
    <t>Data de envio para Sequenciamento</t>
  </si>
  <si>
    <t>Placa 9 (lane 7)</t>
  </si>
  <si>
    <t>Data de recebimento dos dados</t>
  </si>
  <si>
    <t>Atta_sexdens_HYMZ0560</t>
  </si>
  <si>
    <t>HYMZ0560</t>
  </si>
  <si>
    <t>Planilha de controle de placas e lanes atualizada?</t>
  </si>
  <si>
    <t>Atta_sexdens_HYMZ0561</t>
  </si>
  <si>
    <t>HYMZ0561</t>
  </si>
  <si>
    <t>Atta_sexdens_HYMZ0562</t>
  </si>
  <si>
    <t>HYMZ0562</t>
  </si>
  <si>
    <t>Atta_sexdens_HYMZ0563</t>
  </si>
  <si>
    <t>HYMZ0563</t>
  </si>
  <si>
    <t>Atta_sexdens_HYMZ0564</t>
  </si>
  <si>
    <t>HYMZ0564</t>
  </si>
  <si>
    <t>Placa 10 (lane 8)</t>
  </si>
  <si>
    <t>Ectatomma_permagnum_HYMZ0176</t>
  </si>
  <si>
    <t>HYMZ0176</t>
  </si>
  <si>
    <t>Ectatomma_permagnum_HYMZ0186</t>
  </si>
  <si>
    <t>HYMZ0186</t>
  </si>
  <si>
    <t>Ectatomma_permagnum_HYMZ0188</t>
  </si>
  <si>
    <t>HYMZ0188</t>
  </si>
  <si>
    <t>Ectatomma_cf.lugens_HYMZ0239</t>
  </si>
  <si>
    <t>HYMZ0239</t>
  </si>
  <si>
    <t>Ectatomma_permagnum_HYMZ0195</t>
  </si>
  <si>
    <t>HYMZ0195</t>
  </si>
  <si>
    <t>A</t>
  </si>
  <si>
    <t>S1</t>
  </si>
  <si>
    <t>S2</t>
  </si>
  <si>
    <t>S3</t>
  </si>
  <si>
    <t>S4</t>
  </si>
  <si>
    <t>B</t>
  </si>
  <si>
    <t>S5</t>
  </si>
  <si>
    <t>S6</t>
  </si>
  <si>
    <t>C</t>
  </si>
  <si>
    <t>V1 1:2</t>
  </si>
  <si>
    <t>V1 1:10</t>
  </si>
  <si>
    <t>V2 1:2</t>
  </si>
  <si>
    <t>V2 1:10</t>
  </si>
  <si>
    <t>A02</t>
  </si>
  <si>
    <t>S762</t>
  </si>
  <si>
    <t>D</t>
  </si>
  <si>
    <t>S512</t>
  </si>
  <si>
    <t>V3 1:2</t>
  </si>
  <si>
    <t>V3 1:10</t>
  </si>
  <si>
    <t>V4 1:2</t>
  </si>
  <si>
    <t>V4 1:10</t>
  </si>
  <si>
    <t>E</t>
  </si>
  <si>
    <t>V5 1:2</t>
  </si>
  <si>
    <t>V5 1:10</t>
  </si>
  <si>
    <t>V6 1:2</t>
  </si>
  <si>
    <t>V6 1:10</t>
  </si>
  <si>
    <t>F</t>
  </si>
  <si>
    <t>V7 1:2</t>
  </si>
  <si>
    <t>V7 1:10</t>
  </si>
  <si>
    <t>V8 1:2</t>
  </si>
  <si>
    <t>V8 1:10</t>
  </si>
  <si>
    <t>G</t>
  </si>
  <si>
    <t>V9 1:2</t>
  </si>
  <si>
    <t>V9 1:10</t>
  </si>
  <si>
    <t>V10 1:2</t>
  </si>
  <si>
    <t>V10 1:10</t>
  </si>
  <si>
    <t>H</t>
  </si>
  <si>
    <t>A03</t>
  </si>
  <si>
    <t>i7QDIY-001</t>
  </si>
  <si>
    <t>i5QDIY-001</t>
  </si>
  <si>
    <t>Kapa Lib. Quant. qPCR Protocol</t>
  </si>
  <si>
    <t>Step</t>
  </si>
  <si>
    <t>Temp</t>
  </si>
  <si>
    <t>Time</t>
  </si>
  <si>
    <t>Cycles</t>
  </si>
  <si>
    <t>Standards</t>
  </si>
  <si>
    <t>[dsDNA] (pM)</t>
  </si>
  <si>
    <t>For 10 uL rxn vol</t>
  </si>
  <si>
    <t>Activation/Denaturation</t>
  </si>
  <si>
    <t>95C</t>
  </si>
  <si>
    <t>5 min</t>
  </si>
  <si>
    <t>1 cycle</t>
  </si>
  <si>
    <t>Std 1</t>
  </si>
  <si>
    <t>Reagent</t>
  </si>
  <si>
    <t>1 Rxn (uL)</t>
  </si>
  <si>
    <t>180 Rxn (uL)</t>
  </si>
  <si>
    <t>30 Rxn (uL)</t>
  </si>
  <si>
    <t xml:space="preserve">Denaturation </t>
  </si>
  <si>
    <t>30 sec</t>
  </si>
  <si>
    <t>35 cycles</t>
  </si>
  <si>
    <t>Std 2</t>
  </si>
  <si>
    <t>Well</t>
  </si>
  <si>
    <t>qPCR MM</t>
  </si>
  <si>
    <t>Fluor</t>
  </si>
  <si>
    <t>Target</t>
  </si>
  <si>
    <t>Content</t>
  </si>
  <si>
    <t>Sample</t>
  </si>
  <si>
    <t>Biological Set Name</t>
  </si>
  <si>
    <t>Cq</t>
  </si>
  <si>
    <t>Cq Mean</t>
  </si>
  <si>
    <t>Cq Std. Dev</t>
  </si>
  <si>
    <t>Starting Quantity (SQ)</t>
  </si>
  <si>
    <t>Log Starting Quantity</t>
  </si>
  <si>
    <t>SQ Mean</t>
  </si>
  <si>
    <t>SQ Std. Dev</t>
  </si>
  <si>
    <t>Set Point</t>
  </si>
  <si>
    <t>Anneal/Elong/Data</t>
  </si>
  <si>
    <t>60C</t>
  </si>
  <si>
    <t>90 sec</t>
  </si>
  <si>
    <t>Std 3</t>
  </si>
  <si>
    <t>H2O</t>
  </si>
  <si>
    <t>SYBR</t>
  </si>
  <si>
    <t>Std</t>
  </si>
  <si>
    <t>Std 4</t>
  </si>
  <si>
    <t>Rox Low</t>
  </si>
  <si>
    <t>A04</t>
  </si>
  <si>
    <t>Std 5</t>
  </si>
  <si>
    <t>DNA</t>
  </si>
  <si>
    <t>Sample Name</t>
  </si>
  <si>
    <t xml:space="preserve">Dilution </t>
  </si>
  <si>
    <t>Steps</t>
  </si>
  <si>
    <t>Conc1 (pM)</t>
  </si>
  <si>
    <t>Conc2</t>
  </si>
  <si>
    <t>Conc3</t>
  </si>
  <si>
    <t>Std 6</t>
  </si>
  <si>
    <t>Avg Conc (pM)</t>
  </si>
  <si>
    <t>Size Adjusted</t>
  </si>
  <si>
    <t>[Stock] (pM)</t>
  </si>
  <si>
    <t>[Stock] (nM)</t>
  </si>
  <si>
    <t>AVG</t>
  </si>
  <si>
    <t>(1) Make dilution buffer (10 mM Tris-HCL, 0.05% Tween 20).</t>
  </si>
  <si>
    <t>V1_1:200K</t>
  </si>
  <si>
    <t>(2) Make 1:1,000 and/or 1:1,000,000 dilutions.</t>
  </si>
  <si>
    <t>1:2 = 1: 200,000</t>
  </si>
  <si>
    <t>(3) Prepare Master Mix and fill plate.</t>
  </si>
  <si>
    <t>(4) Add standards and diluted DNA as above.</t>
  </si>
  <si>
    <t>1:10 = 1: 1,000,000</t>
  </si>
  <si>
    <t>(5) Run qPCR protocol.</t>
  </si>
  <si>
    <t>Pool Name</t>
  </si>
  <si>
    <t># samples</t>
  </si>
  <si>
    <t>[Stock] nM</t>
  </si>
  <si>
    <t>Dilution</t>
  </si>
  <si>
    <t>M/n</t>
  </si>
  <si>
    <t>Dilution Factor</t>
  </si>
  <si>
    <t>(6) Analyze data and calculate adjusted concentrartions in pM.</t>
  </si>
  <si>
    <t>Sample Vol (uL)</t>
  </si>
  <si>
    <t>total Input (M)</t>
  </si>
  <si>
    <t>V1</t>
  </si>
  <si>
    <t>none</t>
  </si>
  <si>
    <t>A05</t>
  </si>
  <si>
    <t>V1_1:1M</t>
  </si>
  <si>
    <t>V2</t>
  </si>
  <si>
    <t>A06</t>
  </si>
  <si>
    <t>V3</t>
  </si>
  <si>
    <t>A07</t>
  </si>
  <si>
    <t>V2_1:200K</t>
  </si>
  <si>
    <t>V4</t>
  </si>
  <si>
    <t>A08</t>
  </si>
  <si>
    <t>V5</t>
  </si>
  <si>
    <t>A09</t>
  </si>
  <si>
    <t>V2_1:1M</t>
  </si>
  <si>
    <t>V6</t>
  </si>
  <si>
    <t>A10</t>
  </si>
  <si>
    <t>V7</t>
  </si>
  <si>
    <t>A11</t>
  </si>
  <si>
    <t>V3_1:200K</t>
  </si>
  <si>
    <t>V8</t>
  </si>
  <si>
    <t>A12</t>
  </si>
  <si>
    <t>V9</t>
  </si>
  <si>
    <t>B01</t>
  </si>
  <si>
    <t>V3_1:1M</t>
  </si>
  <si>
    <t>V10</t>
  </si>
  <si>
    <t>B02</t>
  </si>
  <si>
    <t>Total #</t>
  </si>
  <si>
    <t>Target [DNA] (C(f))</t>
  </si>
  <si>
    <t>Vol DNA</t>
  </si>
  <si>
    <t>B03</t>
  </si>
  <si>
    <t>V4_1:200K</t>
  </si>
  <si>
    <t>Vol H2O</t>
  </si>
  <si>
    <t>B04</t>
  </si>
  <si>
    <t>V(f)</t>
  </si>
  <si>
    <t>B05</t>
  </si>
  <si>
    <t>V4_1:1M</t>
  </si>
  <si>
    <t>B06</t>
  </si>
  <si>
    <t xml:space="preserve">Volume of Pool = </t>
  </si>
  <si>
    <r>
      <rPr>
        <rFont val="Calibri"/>
        <i/>
        <color theme="1"/>
        <sz val="12.0"/>
        <u/>
      </rPr>
      <t>V(f)</t>
    </r>
    <r>
      <rPr>
        <rFont val="Calibri"/>
        <color theme="1"/>
        <sz val="12.0"/>
        <u/>
      </rPr>
      <t xml:space="preserve"> x </t>
    </r>
    <r>
      <rPr>
        <rFont val="Calibri"/>
        <i/>
        <color theme="1"/>
        <sz val="12.0"/>
        <u/>
      </rPr>
      <t>C(f)</t>
    </r>
    <r>
      <rPr>
        <rFont val="Calibri"/>
        <color theme="1"/>
        <sz val="12.0"/>
        <u/>
      </rPr>
      <t xml:space="preserve"> x # samples in pool</t>
    </r>
  </si>
  <si>
    <t>B07</t>
  </si>
  <si>
    <t>Unkn</t>
  </si>
  <si>
    <t>NaN</t>
  </si>
  <si>
    <t>V5_1:200K</t>
  </si>
  <si>
    <r>
      <rPr>
        <rFont val="Calibri"/>
        <color theme="1"/>
        <sz val="12.0"/>
      </rPr>
      <t xml:space="preserve"> total # samples x </t>
    </r>
    <r>
      <rPr>
        <rFont val="Calibri"/>
        <i/>
        <color theme="1"/>
        <sz val="12.0"/>
      </rPr>
      <t>C(i)</t>
    </r>
  </si>
  <si>
    <t>B08</t>
  </si>
  <si>
    <t>B09</t>
  </si>
  <si>
    <t>V5_1:1M</t>
  </si>
  <si>
    <t>V(f) = the desired volume of the final pool</t>
  </si>
  <si>
    <t>B10</t>
  </si>
  <si>
    <t>C(f) = the desired concentration of all the final pool</t>
  </si>
  <si>
    <t>B11</t>
  </si>
  <si>
    <t>V6_1:200K</t>
  </si>
  <si>
    <t>C(i) = the initial concentration of the individual pool</t>
  </si>
  <si>
    <t>B12</t>
  </si>
  <si>
    <t># samples in pool = number of samples of individual pool</t>
  </si>
  <si>
    <t>C01</t>
  </si>
  <si>
    <t>target</t>
  </si>
  <si>
    <t>V6_1:1M</t>
  </si>
  <si>
    <t>total # samples = number of samples in final pool</t>
  </si>
  <si>
    <t>C02</t>
  </si>
  <si>
    <t>C03</t>
  </si>
  <si>
    <t>V7_1:200K</t>
  </si>
  <si>
    <t>C04</t>
  </si>
  <si>
    <t>C05</t>
  </si>
  <si>
    <t>V7_1:1M</t>
  </si>
  <si>
    <t>C06</t>
  </si>
  <si>
    <t>C07</t>
  </si>
  <si>
    <t>V8_1:200K</t>
  </si>
  <si>
    <t>C08</t>
  </si>
  <si>
    <t>C09</t>
  </si>
  <si>
    <t>V8_1:1M</t>
  </si>
  <si>
    <t>C10</t>
  </si>
  <si>
    <t>C11</t>
  </si>
  <si>
    <t>V9_1:200K</t>
  </si>
  <si>
    <t>C12</t>
  </si>
  <si>
    <t>D01</t>
  </si>
  <si>
    <t>V9_1:1M</t>
  </si>
  <si>
    <t>D02</t>
  </si>
  <si>
    <t>D03</t>
  </si>
  <si>
    <t>V10_1:200K</t>
  </si>
  <si>
    <t>D04</t>
  </si>
  <si>
    <t>D05</t>
  </si>
  <si>
    <t>V10_1:1M</t>
  </si>
  <si>
    <t>D06</t>
  </si>
  <si>
    <t>D07</t>
  </si>
  <si>
    <t>D08</t>
  </si>
  <si>
    <t>D09</t>
  </si>
  <si>
    <t>D10</t>
  </si>
  <si>
    <t>D11</t>
  </si>
  <si>
    <t>D12</t>
  </si>
  <si>
    <t>E01</t>
  </si>
  <si>
    <t>E02</t>
  </si>
  <si>
    <t>E03</t>
  </si>
  <si>
    <t>E04</t>
  </si>
  <si>
    <t>E05</t>
  </si>
  <si>
    <t>E06</t>
  </si>
  <si>
    <t>E07</t>
  </si>
  <si>
    <t>E08</t>
  </si>
  <si>
    <t>E09</t>
  </si>
  <si>
    <t>E10</t>
  </si>
  <si>
    <t>E11</t>
  </si>
  <si>
    <t>E12</t>
  </si>
  <si>
    <t>F01</t>
  </si>
  <si>
    <t>F02</t>
  </si>
  <si>
    <t>F03</t>
  </si>
  <si>
    <t>F04</t>
  </si>
  <si>
    <t>F05</t>
  </si>
  <si>
    <t>F06</t>
  </si>
  <si>
    <t>F07</t>
  </si>
  <si>
    <t>F08</t>
  </si>
  <si>
    <t>F09</t>
  </si>
  <si>
    <t>F10</t>
  </si>
  <si>
    <t>F11</t>
  </si>
  <si>
    <t>F12</t>
  </si>
  <si>
    <t>G01</t>
  </si>
  <si>
    <t>G02</t>
  </si>
  <si>
    <t>G03</t>
  </si>
  <si>
    <t>G04</t>
  </si>
  <si>
    <t>G05</t>
  </si>
  <si>
    <t>G06</t>
  </si>
  <si>
    <t>G07</t>
  </si>
  <si>
    <t>G08</t>
  </si>
  <si>
    <t>G09</t>
  </si>
  <si>
    <t>G10</t>
  </si>
  <si>
    <t>G11</t>
  </si>
  <si>
    <t>G12</t>
  </si>
  <si>
    <t>H01</t>
  </si>
  <si>
    <t>H02</t>
  </si>
  <si>
    <t>H03</t>
  </si>
  <si>
    <t>H04</t>
  </si>
  <si>
    <t>H05</t>
  </si>
  <si>
    <t>H06</t>
  </si>
  <si>
    <t>H07</t>
  </si>
  <si>
    <t>H08</t>
  </si>
  <si>
    <t>H09</t>
  </si>
  <si>
    <t>H10</t>
  </si>
  <si>
    <t>H11</t>
  </si>
  <si>
    <t>H12</t>
  </si>
  <si>
    <t>Sample Vol Real (uL)</t>
  </si>
  <si>
    <t>Volume of Pool =</t>
  </si>
  <si>
    <t>count</t>
  </si>
  <si>
    <t>Primer Name</t>
  </si>
  <si>
    <t>Primer Index Sequence</t>
  </si>
  <si>
    <t>MiSeq &amp; HiSeq Index Sequence</t>
  </si>
  <si>
    <t>MiniSeq &amp; NextSeq Index Sequence</t>
  </si>
  <si>
    <t>complement of column C</t>
  </si>
  <si>
    <t>reverse of column H</t>
  </si>
  <si>
    <t>iTru5_01_A</t>
  </si>
  <si>
    <t>ACCGACAA</t>
  </si>
  <si>
    <t>TTGTCGGT</t>
  </si>
  <si>
    <t>TGGCTGTT</t>
  </si>
  <si>
    <t>iTru5_01_B</t>
  </si>
  <si>
    <t>AGTGGCAA</t>
  </si>
  <si>
    <t>TTGCCACT</t>
  </si>
  <si>
    <t>TCACCGTT</t>
  </si>
  <si>
    <t>iTru5_01_C</t>
  </si>
  <si>
    <t>CACAGACT</t>
  </si>
  <si>
    <t>AGTCTGTG</t>
  </si>
  <si>
    <t>GTGTCTGA</t>
  </si>
  <si>
    <t>iTru5_01_D</t>
  </si>
  <si>
    <t>CGACACTT</t>
  </si>
  <si>
    <t>AAGTGTCG</t>
  </si>
  <si>
    <t>GCTGTGAA</t>
  </si>
  <si>
    <t>iTru5_01_E</t>
  </si>
  <si>
    <t>GACTTGTG</t>
  </si>
  <si>
    <t>CACAAGTC</t>
  </si>
  <si>
    <t>CTGAACAC</t>
  </si>
  <si>
    <t>iTru5_01_F</t>
  </si>
  <si>
    <t>GTGAGACT</t>
  </si>
  <si>
    <t>AGTCTCAC</t>
  </si>
  <si>
    <t>CACTCTGA</t>
  </si>
  <si>
    <t>iTru5_01_G</t>
  </si>
  <si>
    <t>GTTCCATG</t>
  </si>
  <si>
    <t>CATGGAAC</t>
  </si>
  <si>
    <t>CAAGGTAC</t>
  </si>
  <si>
    <t>iTru5_01_H</t>
  </si>
  <si>
    <t>TAGCTGAG</t>
  </si>
  <si>
    <t>CTCAGCTA</t>
  </si>
  <si>
    <t>ATCGACTC</t>
  </si>
  <si>
    <t>iTru5_02_A</t>
  </si>
  <si>
    <t>CTTCGCAA</t>
  </si>
  <si>
    <t>TTGCGAAG</t>
  </si>
  <si>
    <t>GAAGCGTT</t>
  </si>
  <si>
    <t>iTru5_02_B</t>
  </si>
  <si>
    <t>GTGGTATG</t>
  </si>
  <si>
    <t>CATACCAC</t>
  </si>
  <si>
    <t>CACCATAC</t>
  </si>
  <si>
    <t>iTru5_02_C</t>
  </si>
  <si>
    <t>CACTGTAG</t>
  </si>
  <si>
    <t>CTACAGTG</t>
  </si>
  <si>
    <t>GTGACATC</t>
  </si>
  <si>
    <t>iTru5_02_D</t>
  </si>
  <si>
    <t>AGACGCTA</t>
  </si>
  <si>
    <t>TAGCGTCT</t>
  </si>
  <si>
    <t>TCTGCGAT</t>
  </si>
  <si>
    <t>iTru5_02_E</t>
  </si>
  <si>
    <t>CAACTCCA</t>
  </si>
  <si>
    <t>TGGAGTTG</t>
  </si>
  <si>
    <t>GTTGAGGT</t>
  </si>
  <si>
    <t>iTru5_02_F</t>
  </si>
  <si>
    <t>AACACGCT</t>
  </si>
  <si>
    <t>AGCGTGTT</t>
  </si>
  <si>
    <t>TTGTGCGA</t>
  </si>
  <si>
    <t>iTru5_02_G</t>
  </si>
  <si>
    <t>TGGATGGT</t>
  </si>
  <si>
    <t>ACCATCCA</t>
  </si>
  <si>
    <t>ACCTACCA</t>
  </si>
  <si>
    <t>iTru5_02_H</t>
  </si>
  <si>
    <t>TTCGAAGC</t>
  </si>
  <si>
    <t>GCTTCGAA</t>
  </si>
  <si>
    <t>AAGCTTCG</t>
  </si>
  <si>
    <t>iTru5_03_A</t>
  </si>
  <si>
    <t>AACACCAC</t>
  </si>
  <si>
    <t>GTGGTGTT</t>
  </si>
  <si>
    <t>TTGTGGTG</t>
  </si>
  <si>
    <t>iTru5_03_B</t>
  </si>
  <si>
    <t>TGAGCTGT</t>
  </si>
  <si>
    <t>ACAGCTCA</t>
  </si>
  <si>
    <t>ACTCGACA</t>
  </si>
  <si>
    <t>iTru5_03_C</t>
  </si>
  <si>
    <t>CACAGGAA</t>
  </si>
  <si>
    <t>TTCCTGTG</t>
  </si>
  <si>
    <t>GTGTCCTT</t>
  </si>
  <si>
    <t>iTru5_03_D</t>
  </si>
  <si>
    <t>TGACAACC</t>
  </si>
  <si>
    <t>GGTTGTCA</t>
  </si>
  <si>
    <t>ACTGTTGG</t>
  </si>
  <si>
    <t>iTru5_03_E</t>
  </si>
  <si>
    <t>TGTTCCGT</t>
  </si>
  <si>
    <t>ACGGAACA</t>
  </si>
  <si>
    <t>ACAAGGCA</t>
  </si>
  <si>
    <t>iTru5_03_F</t>
  </si>
  <si>
    <t>CCTAGAGA</t>
  </si>
  <si>
    <t>TCTCTAGG</t>
  </si>
  <si>
    <t>GGATCTCT</t>
  </si>
  <si>
    <t>iTru5_03_G</t>
  </si>
  <si>
    <t>GCATAACG</t>
  </si>
  <si>
    <t>CGTTATGC</t>
  </si>
  <si>
    <t>CGTATTGC</t>
  </si>
  <si>
    <t>iTru5_03_H</t>
  </si>
  <si>
    <t>CAGTGCTT</t>
  </si>
  <si>
    <t>AAGCACTG</t>
  </si>
  <si>
    <t>GTCACGAA</t>
  </si>
  <si>
    <t>iTru5_04_A</t>
  </si>
  <si>
    <t>CGTATCTC</t>
  </si>
  <si>
    <t>GAGATACG</t>
  </si>
  <si>
    <t>GCATAGAG</t>
  </si>
  <si>
    <t>iTru5_04_B</t>
  </si>
  <si>
    <t>CGTCAAGA</t>
  </si>
  <si>
    <t>TCTTGACG</t>
  </si>
  <si>
    <t>GCAGTTCT</t>
  </si>
  <si>
    <t>iTru5_04_C</t>
  </si>
  <si>
    <t>CCATGAAC</t>
  </si>
  <si>
    <t>GTTCATGG</t>
  </si>
  <si>
    <t>GGTACTTG</t>
  </si>
  <si>
    <t>iTru5_04_D</t>
  </si>
  <si>
    <t>GGTACTTC</t>
  </si>
  <si>
    <t>GAAGTACC</t>
  </si>
  <si>
    <t>CCATGAAG</t>
  </si>
  <si>
    <t>iTru5_04_E</t>
  </si>
  <si>
    <t>ACCGCTAT</t>
  </si>
  <si>
    <t>ATAGCGGT</t>
  </si>
  <si>
    <t>TGGCGATA</t>
  </si>
  <si>
    <t>iTru5_04_F</t>
  </si>
  <si>
    <t>TTCCAGGT</t>
  </si>
  <si>
    <t>ACCTGGAA</t>
  </si>
  <si>
    <t>AAGGTCCA</t>
  </si>
  <si>
    <t>iTru5_04_G</t>
  </si>
  <si>
    <t>TCGAACCT</t>
  </si>
  <si>
    <t>AGGTTCGA</t>
  </si>
  <si>
    <t>AGCTTGGA</t>
  </si>
  <si>
    <t>iTru5_04_H</t>
  </si>
  <si>
    <t>TAGTGCCA</t>
  </si>
  <si>
    <t>TGGCACTA</t>
  </si>
  <si>
    <t>ATCACGGT</t>
  </si>
  <si>
    <t>iTru5_05_A</t>
  </si>
  <si>
    <t>GGTACGAA</t>
  </si>
  <si>
    <t>TTCGTACC</t>
  </si>
  <si>
    <t>CCATGCTT</t>
  </si>
  <si>
    <t>iTru5_05_B</t>
  </si>
  <si>
    <t>AAGCATCG</t>
  </si>
  <si>
    <t>CGATGCTT</t>
  </si>
  <si>
    <t>TTCGTAGC</t>
  </si>
  <si>
    <t>iTru5_05_C</t>
  </si>
  <si>
    <t>GCCAATAC</t>
  </si>
  <si>
    <t>GTATTGGC</t>
  </si>
  <si>
    <t>CGGTTATG</t>
  </si>
  <si>
    <t>iTru5_05_D</t>
  </si>
  <si>
    <t>CTGTATGC</t>
  </si>
  <si>
    <t>GCATACAG</t>
  </si>
  <si>
    <t>GACATACG</t>
  </si>
  <si>
    <t>iTru5_05_E</t>
  </si>
  <si>
    <t>CTTAGGAC</t>
  </si>
  <si>
    <t>GTCCTAAG</t>
  </si>
  <si>
    <t>GAATCCTG</t>
  </si>
  <si>
    <t>iTru5_05_F</t>
  </si>
  <si>
    <t>TCAGCCTT</t>
  </si>
  <si>
    <t>AAGGCTGA</t>
  </si>
  <si>
    <t>AGTCGGAA</t>
  </si>
  <si>
    <t>iTru5_05_G</t>
  </si>
  <si>
    <t>ACATGCCA</t>
  </si>
  <si>
    <t>TGGCATGT</t>
  </si>
  <si>
    <t>TGTACGGT</t>
  </si>
  <si>
    <t>iTru5_05_H</t>
  </si>
  <si>
    <t>GATGGAGT</t>
  </si>
  <si>
    <t>ACTCCATC</t>
  </si>
  <si>
    <t>CTACCTCA</t>
  </si>
  <si>
    <t>iTru5_06_A</t>
  </si>
  <si>
    <t>CGATCGAT</t>
  </si>
  <si>
    <t>ATCGATCG</t>
  </si>
  <si>
    <t>GCTAGCTA</t>
  </si>
  <si>
    <t>iTru5_06_B</t>
  </si>
  <si>
    <t>TACTCCAG</t>
  </si>
  <si>
    <t>CTGGAGTA</t>
  </si>
  <si>
    <t>ATGAGGTC</t>
  </si>
  <si>
    <t>iTru5_06_C</t>
  </si>
  <si>
    <t>AGCTACCA</t>
  </si>
  <si>
    <t>TGGTAGCT</t>
  </si>
  <si>
    <t>TCGATGGT</t>
  </si>
  <si>
    <t>iTru5_06_D</t>
  </si>
  <si>
    <t>TCGACAAG</t>
  </si>
  <si>
    <t>CTTGTCGA</t>
  </si>
  <si>
    <t>AGCTGTTC</t>
  </si>
  <si>
    <t>iTru5_06_E</t>
  </si>
  <si>
    <t>TATGACCG</t>
  </si>
  <si>
    <t>CGGTCATA</t>
  </si>
  <si>
    <t>ATACTGGC</t>
  </si>
  <si>
    <t>iTru5_06_F</t>
  </si>
  <si>
    <t>AGCCAACT</t>
  </si>
  <si>
    <t>AGTTGGCT</t>
  </si>
  <si>
    <t>TCGGTTGA</t>
  </si>
  <si>
    <t>iTru5_06_G</t>
  </si>
  <si>
    <t>GATCTTGC</t>
  </si>
  <si>
    <t>GCAAGATC</t>
  </si>
  <si>
    <t>CTAGAACG</t>
  </si>
  <si>
    <t>iTru5_06_H</t>
  </si>
  <si>
    <t>CCTCGTTA</t>
  </si>
  <si>
    <t>TAACGAGG</t>
  </si>
  <si>
    <t>GGAGCAAT</t>
  </si>
  <si>
    <t>iTru5_07_A</t>
  </si>
  <si>
    <t>AAGACACC</t>
  </si>
  <si>
    <t>GGTGTCTT</t>
  </si>
  <si>
    <t>TTCTGTGG</t>
  </si>
  <si>
    <t>iTru5_07_B</t>
  </si>
  <si>
    <t>GATACCTG</t>
  </si>
  <si>
    <t>CAGGTATC</t>
  </si>
  <si>
    <t>CTATGGAC</t>
  </si>
  <si>
    <t>iTru5_07_C</t>
  </si>
  <si>
    <t>AACCGAAC</t>
  </si>
  <si>
    <t>GTTCGGTT</t>
  </si>
  <si>
    <t>TTGGCTTG</t>
  </si>
  <si>
    <t>iTru5_07_D</t>
  </si>
  <si>
    <t>GCTGAATC</t>
  </si>
  <si>
    <t>GATTCAGC</t>
  </si>
  <si>
    <t>CGACTTAG</t>
  </si>
  <si>
    <t>iTru5_07_E</t>
  </si>
  <si>
    <t>AGCTAGTG</t>
  </si>
  <si>
    <t>CACTAGCT</t>
  </si>
  <si>
    <t>TCGATCAC</t>
  </si>
  <si>
    <t>iTru5_07_F</t>
  </si>
  <si>
    <t>CTAGCTCA</t>
  </si>
  <si>
    <t>TGAGCTAG</t>
  </si>
  <si>
    <t>GATCGAGT</t>
  </si>
  <si>
    <t>iTru5_07_G</t>
  </si>
  <si>
    <t>GTTAAGCG</t>
  </si>
  <si>
    <t>CGCTTAAC</t>
  </si>
  <si>
    <t>CAATTCGC</t>
  </si>
  <si>
    <t>iTru5_07_H</t>
  </si>
  <si>
    <t>CGATTGGA</t>
  </si>
  <si>
    <t>TCCAATCG</t>
  </si>
  <si>
    <t>GCTAACCT</t>
  </si>
  <si>
    <t>iTru5_08_A</t>
  </si>
  <si>
    <t>CATCTGCT</t>
  </si>
  <si>
    <t>AGCAGATG</t>
  </si>
  <si>
    <t>GTAGACGA</t>
  </si>
  <si>
    <t>iTru5_08_B</t>
  </si>
  <si>
    <t>ACCTCTTC</t>
  </si>
  <si>
    <t>GAAGAGGT</t>
  </si>
  <si>
    <t>TGGAGAAG</t>
  </si>
  <si>
    <t>iTru5_08_C</t>
  </si>
  <si>
    <t>ATCGCAAC</t>
  </si>
  <si>
    <t>GTTGCGAT</t>
  </si>
  <si>
    <t>TAGCGTTG</t>
  </si>
  <si>
    <t>iTru5_08_D</t>
  </si>
  <si>
    <t>AGTTGTGC</t>
  </si>
  <si>
    <t>GCACAACT</t>
  </si>
  <si>
    <t>TCAACACG</t>
  </si>
  <si>
    <t>iTru5_08_E</t>
  </si>
  <si>
    <t>GAACGAAG</t>
  </si>
  <si>
    <t>CTTCGTTC</t>
  </si>
  <si>
    <t>CTTGCTTC</t>
  </si>
  <si>
    <t>iTru5_08_F</t>
  </si>
  <si>
    <t>GGAAGAGA</t>
  </si>
  <si>
    <t>TCTCTTCC</t>
  </si>
  <si>
    <t>CCTTCTCT</t>
  </si>
  <si>
    <t>iTru5_08_G</t>
  </si>
  <si>
    <t>GTCATCGT</t>
  </si>
  <si>
    <t>ACGATGAC</t>
  </si>
  <si>
    <t>CAGTAGCA</t>
  </si>
  <si>
    <t>iTru5_08_H</t>
  </si>
  <si>
    <t>CCAACGAA</t>
  </si>
  <si>
    <t>TTCGTTGG</t>
  </si>
  <si>
    <t>GGTTGCTT</t>
  </si>
  <si>
    <t>iTru5_09_A</t>
  </si>
  <si>
    <t>CTCTCAGA</t>
  </si>
  <si>
    <t>TCTGAGAG</t>
  </si>
  <si>
    <t>GAGAGTCT</t>
  </si>
  <si>
    <t>iTru5_09_B</t>
  </si>
  <si>
    <t>ACGGACTT</t>
  </si>
  <si>
    <t>AAGTCCGT</t>
  </si>
  <si>
    <t>TGCCTGAA</t>
  </si>
  <si>
    <t>iTru5_09_C</t>
  </si>
  <si>
    <t>GTTGCTGT</t>
  </si>
  <si>
    <t>ACAGCAAC</t>
  </si>
  <si>
    <t>CAACGACA</t>
  </si>
  <si>
    <t>iTru5_09_D</t>
  </si>
  <si>
    <t>TGTCGACT</t>
  </si>
  <si>
    <t>AGTCGACA</t>
  </si>
  <si>
    <t>ACAGCTGA</t>
  </si>
  <si>
    <t>iTru5_09_E</t>
  </si>
  <si>
    <t>CGTCTAAC</t>
  </si>
  <si>
    <t>GTTAGACG</t>
  </si>
  <si>
    <t>GCAGATTG</t>
  </si>
  <si>
    <t>iTru5_09_F</t>
  </si>
  <si>
    <t>AACACTGG</t>
  </si>
  <si>
    <t>Sample_Plate</t>
  </si>
  <si>
    <t>CCAGTGTT</t>
  </si>
  <si>
    <t>TTGTGACC</t>
  </si>
  <si>
    <t>iTru5_09_G</t>
  </si>
  <si>
    <t>Sample_Well</t>
  </si>
  <si>
    <t>TCAGACAC</t>
  </si>
  <si>
    <t>I7_Index_ID</t>
  </si>
  <si>
    <t>index</t>
  </si>
  <si>
    <t>I5_Index_ID</t>
  </si>
  <si>
    <t>index2</t>
  </si>
  <si>
    <t>iTru5_09_H</t>
  </si>
  <si>
    <t>AGAAGGAC</t>
  </si>
  <si>
    <t>GTCCTTCT</t>
  </si>
  <si>
    <t>TCTTCCTG</t>
  </si>
  <si>
    <t>E6440</t>
  </si>
  <si>
    <t>iTru5_10_A</t>
  </si>
  <si>
    <t>A1</t>
  </si>
  <si>
    <t>TCGTCTGA</t>
  </si>
  <si>
    <t>TTACCGAC</t>
  </si>
  <si>
    <t>TCAGACGA</t>
  </si>
  <si>
    <t>CGTATTCG</t>
  </si>
  <si>
    <t>AGCAGACT</t>
  </si>
  <si>
    <t>iTru5_10_B</t>
  </si>
  <si>
    <t>CATGTGTG</t>
  </si>
  <si>
    <t>CACACATG</t>
  </si>
  <si>
    <t>GTACACAC</t>
  </si>
  <si>
    <t>B1</t>
  </si>
  <si>
    <t>S713</t>
  </si>
  <si>
    <t>iTru5_10_C</t>
  </si>
  <si>
    <t>S586</t>
  </si>
  <si>
    <t>TCTAGTCC</t>
  </si>
  <si>
    <t>TCAAGGAC</t>
  </si>
  <si>
    <t>GGACTAGA</t>
  </si>
  <si>
    <t>AGATCAGG</t>
  </si>
  <si>
    <t>iTru5_10_D</t>
  </si>
  <si>
    <t>AAGGCTCT</t>
  </si>
  <si>
    <t>AGAGCCTT</t>
  </si>
  <si>
    <t>C1</t>
  </si>
  <si>
    <t>TTCCGAGA</t>
  </si>
  <si>
    <t>S736</t>
  </si>
  <si>
    <t>S543</t>
  </si>
  <si>
    <t>iTru5_10_E</t>
  </si>
  <si>
    <t>AACCAGAG</t>
  </si>
  <si>
    <t>CTCTGGTT</t>
  </si>
  <si>
    <t>TTGGTCTC</t>
  </si>
  <si>
    <t>iTru5_10_F</t>
  </si>
  <si>
    <t>ACTATCGC</t>
  </si>
  <si>
    <t>GCGATAGT</t>
  </si>
  <si>
    <t>D1</t>
  </si>
  <si>
    <t>S709</t>
  </si>
  <si>
    <t>TGATAGCG</t>
  </si>
  <si>
    <t>TACGGTCT</t>
  </si>
  <si>
    <t>S575</t>
  </si>
  <si>
    <t>GCAATGGA</t>
  </si>
  <si>
    <t>iTru5_10_G</t>
  </si>
  <si>
    <t>CAGGATTC</t>
  </si>
  <si>
    <t>E1</t>
  </si>
  <si>
    <t>iTru5_10_H</t>
  </si>
  <si>
    <t>S732</t>
  </si>
  <si>
    <t>AAGACCGT</t>
  </si>
  <si>
    <t>TGACCGTT</t>
  </si>
  <si>
    <t>S550</t>
  </si>
  <si>
    <t>CAATCGAC</t>
  </si>
  <si>
    <t>AACGGTCA</t>
  </si>
  <si>
    <t>ACTGGCAA</t>
  </si>
  <si>
    <t>F1</t>
  </si>
  <si>
    <t>S774</t>
  </si>
  <si>
    <t>CAGGTTCA</t>
  </si>
  <si>
    <t>S506</t>
  </si>
  <si>
    <t>GGCGTTAT</t>
  </si>
  <si>
    <t>iTru5_11_A</t>
  </si>
  <si>
    <t>CAATAGCC</t>
  </si>
  <si>
    <t>GGCTATTG</t>
  </si>
  <si>
    <t>GTTATCGG</t>
  </si>
  <si>
    <t>G1</t>
  </si>
  <si>
    <t>iTru5_11_B</t>
  </si>
  <si>
    <t>S747</t>
  </si>
  <si>
    <t>TGCCTCAA</t>
  </si>
  <si>
    <t>TAGGAGCT</t>
  </si>
  <si>
    <t>S524</t>
  </si>
  <si>
    <t>GTTAAGGC</t>
  </si>
  <si>
    <t>TTGAGGCA</t>
  </si>
  <si>
    <t>ACGGAGTT</t>
  </si>
  <si>
    <t>iTru5_11_C</t>
  </si>
  <si>
    <t>GACGAACT</t>
  </si>
  <si>
    <t>AGTTCGTC</t>
  </si>
  <si>
    <t>CTGCTTGA</t>
  </si>
  <si>
    <t>H1</t>
  </si>
  <si>
    <t>S794</t>
  </si>
  <si>
    <t>S590</t>
  </si>
  <si>
    <t>CCTATACC</t>
  </si>
  <si>
    <t>iTru5_11_D</t>
  </si>
  <si>
    <t>CCTAACAG</t>
  </si>
  <si>
    <t>A2</t>
  </si>
  <si>
    <t>S729</t>
  </si>
  <si>
    <t>AGTGACCT</t>
  </si>
  <si>
    <t>CTGTTAGG</t>
  </si>
  <si>
    <t>S591</t>
  </si>
  <si>
    <t>CTCCTAGA</t>
  </si>
  <si>
    <t>GGATTGTC</t>
  </si>
  <si>
    <t>iTru5_11_E</t>
  </si>
  <si>
    <t>CGCCTTAT</t>
  </si>
  <si>
    <t>ATAAGGCG</t>
  </si>
  <si>
    <t>GCGGAATA</t>
  </si>
  <si>
    <t>B2</t>
  </si>
  <si>
    <t>S777</t>
  </si>
  <si>
    <t>AGCCTATC</t>
  </si>
  <si>
    <t>S526</t>
  </si>
  <si>
    <t>GTTACGCA</t>
  </si>
  <si>
    <t>iTru5_11_F</t>
  </si>
  <si>
    <t>ACAACAGC</t>
  </si>
  <si>
    <t>GCTGTTGT</t>
  </si>
  <si>
    <t>TGTTGTCG</t>
  </si>
  <si>
    <t>iTru5_11_G</t>
  </si>
  <si>
    <t>C2</t>
  </si>
  <si>
    <t>AGACCTTG</t>
  </si>
  <si>
    <t>S772</t>
  </si>
  <si>
    <t>TCATCTCC</t>
  </si>
  <si>
    <t>S567</t>
  </si>
  <si>
    <t>CAAGGTCT</t>
  </si>
  <si>
    <t>CTAGCAAG</t>
  </si>
  <si>
    <t>TCTGGAAC</t>
  </si>
  <si>
    <t>iTru5_11_H</t>
  </si>
  <si>
    <t>GCGTTAGA</t>
  </si>
  <si>
    <t>TCTAACGC</t>
  </si>
  <si>
    <t>D2</t>
  </si>
  <si>
    <t>CGCAATCT</t>
  </si>
  <si>
    <t>S725</t>
  </si>
  <si>
    <t>CCAGTATC</t>
  </si>
  <si>
    <t>S538</t>
  </si>
  <si>
    <t>ATCTCGCT</t>
  </si>
  <si>
    <t>E2</t>
  </si>
  <si>
    <t>S755</t>
  </si>
  <si>
    <t>TTGCGAGA</t>
  </si>
  <si>
    <t>S566</t>
  </si>
  <si>
    <t>GTGCCATA</t>
  </si>
  <si>
    <t>iTru5_12_A</t>
  </si>
  <si>
    <t>CATTCGTC</t>
  </si>
  <si>
    <t>GACGAATG</t>
  </si>
  <si>
    <t>GTAAGCAG</t>
  </si>
  <si>
    <t>F2</t>
  </si>
  <si>
    <t>S760</t>
  </si>
  <si>
    <t>S511</t>
  </si>
  <si>
    <t>GGTGATTC</t>
  </si>
  <si>
    <t>iTru5_12_B</t>
  </si>
  <si>
    <t>ATCTGACC</t>
  </si>
  <si>
    <t>GGTCAGAT</t>
  </si>
  <si>
    <t>TAGACTGG</t>
  </si>
  <si>
    <t>iTru5_12_C</t>
  </si>
  <si>
    <t>G2</t>
  </si>
  <si>
    <t>S716</t>
  </si>
  <si>
    <t>TTCGTACG</t>
  </si>
  <si>
    <t>CGAATTGC</t>
  </si>
  <si>
    <t>S559</t>
  </si>
  <si>
    <t>CACCTTAC</t>
  </si>
  <si>
    <t>CGTACGAA</t>
  </si>
  <si>
    <t>AAGCATGC</t>
  </si>
  <si>
    <t>iTru5_12_D</t>
  </si>
  <si>
    <t>AAGACGAG</t>
  </si>
  <si>
    <t>CTCGTCTT</t>
  </si>
  <si>
    <t>H2</t>
  </si>
  <si>
    <t>TTCTGCTC</t>
  </si>
  <si>
    <t>S708</t>
  </si>
  <si>
    <t>S521</t>
  </si>
  <si>
    <t>TTCTCTCG</t>
  </si>
  <si>
    <t>iTru5_12_E</t>
  </si>
  <si>
    <t>CTCGTTCT</t>
  </si>
  <si>
    <t>AGAACGAG</t>
  </si>
  <si>
    <t>GAGCAAGA</t>
  </si>
  <si>
    <t>A3</t>
  </si>
  <si>
    <t>S702</t>
  </si>
  <si>
    <t>iTru5_12_F</t>
  </si>
  <si>
    <t>TCGGATTC</t>
  </si>
  <si>
    <t>TGTGGCTT</t>
  </si>
  <si>
    <t>S523</t>
  </si>
  <si>
    <t>TAGTTGCG</t>
  </si>
  <si>
    <t>AAGCCACA</t>
  </si>
  <si>
    <t>ACACCGAA</t>
  </si>
  <si>
    <t>iTru5_12_G</t>
  </si>
  <si>
    <t>AGACATGC</t>
  </si>
  <si>
    <t>B3</t>
  </si>
  <si>
    <t>S796</t>
  </si>
  <si>
    <t>CTGTACCA</t>
  </si>
  <si>
    <t>S507</t>
  </si>
  <si>
    <t>GCATGTCT</t>
  </si>
  <si>
    <t>TCTGTACG</t>
  </si>
  <si>
    <t>C3</t>
  </si>
  <si>
    <t>iTru5_12_H</t>
  </si>
  <si>
    <t>S757</t>
  </si>
  <si>
    <t>TCTAGGAG</t>
  </si>
  <si>
    <t>GAGAGTAC</t>
  </si>
  <si>
    <t>S545</t>
  </si>
  <si>
    <t>TGCTTCCA</t>
  </si>
  <si>
    <t>AGATCCTC</t>
  </si>
  <si>
    <t>D3</t>
  </si>
  <si>
    <t>S783</t>
  </si>
  <si>
    <t>TCTACGCA</t>
  </si>
  <si>
    <t>S546</t>
  </si>
  <si>
    <t>iTru5_13_A</t>
  </si>
  <si>
    <t>GGTATAGG</t>
  </si>
  <si>
    <t>CCATATCC</t>
  </si>
  <si>
    <t>iTru5_13_B</t>
  </si>
  <si>
    <t>E3</t>
  </si>
  <si>
    <t>CATTGACG</t>
  </si>
  <si>
    <t>S722</t>
  </si>
  <si>
    <t>GCAATTCC</t>
  </si>
  <si>
    <t>S578</t>
  </si>
  <si>
    <t>CGTCAATG</t>
  </si>
  <si>
    <t>TGTTCGAG</t>
  </si>
  <si>
    <t>GTAACTGC</t>
  </si>
  <si>
    <t>iTru5_13_C</t>
  </si>
  <si>
    <t>CGCAATGT</t>
  </si>
  <si>
    <t>ACATTGCG</t>
  </si>
  <si>
    <t>GCGTTACA</t>
  </si>
  <si>
    <t>F3</t>
  </si>
  <si>
    <t>S710</t>
  </si>
  <si>
    <t>CTCAGAAG</t>
  </si>
  <si>
    <t>S581</t>
  </si>
  <si>
    <t>AACTTGCC</t>
  </si>
  <si>
    <t>iTru5_13_D</t>
  </si>
  <si>
    <t>ATCCACGA</t>
  </si>
  <si>
    <t>TCGTGGAT</t>
  </si>
  <si>
    <t>TAGGTGCT</t>
  </si>
  <si>
    <t>G3</t>
  </si>
  <si>
    <t>iTru5_13_E</t>
  </si>
  <si>
    <t>S770</t>
  </si>
  <si>
    <t>CTCCTGAA</t>
  </si>
  <si>
    <t>S540</t>
  </si>
  <si>
    <t>TTCAGGAG</t>
  </si>
  <si>
    <t>GAGGACTT</t>
  </si>
  <si>
    <t>iTru5_13_F</t>
  </si>
  <si>
    <t>TCGATGAC</t>
  </si>
  <si>
    <t>GTCATCGA</t>
  </si>
  <si>
    <t>H3</t>
  </si>
  <si>
    <t>AGCTACTG</t>
  </si>
  <si>
    <t>S734</t>
  </si>
  <si>
    <t>S592</t>
  </si>
  <si>
    <t>GTATGCTG</t>
  </si>
  <si>
    <t>iTru5_13_G</t>
  </si>
  <si>
    <t>GAACCTTC</t>
  </si>
  <si>
    <t>GAAGGTTC</t>
  </si>
  <si>
    <t>CTTGGAAG</t>
  </si>
  <si>
    <t>A4</t>
  </si>
  <si>
    <t>iTru5_13_H</t>
  </si>
  <si>
    <t>S763</t>
  </si>
  <si>
    <t>GCTTCACA</t>
  </si>
  <si>
    <t>S505</t>
  </si>
  <si>
    <t>TGTGAAGC</t>
  </si>
  <si>
    <t>CGAAGTGT</t>
  </si>
  <si>
    <t>B4</t>
  </si>
  <si>
    <t>S797</t>
  </si>
  <si>
    <t>S501</t>
  </si>
  <si>
    <t>GCACGTAA</t>
  </si>
  <si>
    <t>iTru5_14_A</t>
  </si>
  <si>
    <t>TCCGATCA</t>
  </si>
  <si>
    <t>TGATCGGA</t>
  </si>
  <si>
    <t>AGGCTAGT</t>
  </si>
  <si>
    <t>iTru5_14_B</t>
  </si>
  <si>
    <t>C4</t>
  </si>
  <si>
    <t>GGTGATGA</t>
  </si>
  <si>
    <t>S735</t>
  </si>
  <si>
    <t>GTCGTTAC</t>
  </si>
  <si>
    <t>S554</t>
  </si>
  <si>
    <t>TCATCACC</t>
  </si>
  <si>
    <t>GCTTAGCT</t>
  </si>
  <si>
    <t>CCACTACT</t>
  </si>
  <si>
    <t>iTru5_14_C</t>
  </si>
  <si>
    <t>AACAAGGC</t>
  </si>
  <si>
    <t>GCCTTGTT</t>
  </si>
  <si>
    <t>TTGTTCCG</t>
  </si>
  <si>
    <t>D4</t>
  </si>
  <si>
    <t>S727</t>
  </si>
  <si>
    <t>GTAACCGA</t>
  </si>
  <si>
    <t>S598</t>
  </si>
  <si>
    <t>iTru5_14_D</t>
  </si>
  <si>
    <t>ACAGTTCG</t>
  </si>
  <si>
    <t>CGAACTGT</t>
  </si>
  <si>
    <t>TGTCAAGC</t>
  </si>
  <si>
    <t>iTru5_14_E</t>
  </si>
  <si>
    <t>E4</t>
  </si>
  <si>
    <t>S742</t>
  </si>
  <si>
    <t>AATCGCTG</t>
  </si>
  <si>
    <t>GAATCCGT</t>
  </si>
  <si>
    <t>S551</t>
  </si>
  <si>
    <t>CAGCGATT</t>
  </si>
  <si>
    <t>TTAGCGAC</t>
  </si>
  <si>
    <t>iTru5_14_F</t>
  </si>
  <si>
    <t>CCAACACT</t>
  </si>
  <si>
    <t>AGTGTTGG</t>
  </si>
  <si>
    <t>GGTTGTGA</t>
  </si>
  <si>
    <t>F4</t>
  </si>
  <si>
    <t>S795</t>
  </si>
  <si>
    <t>CATGAGCA</t>
  </si>
  <si>
    <t>S517</t>
  </si>
  <si>
    <t>iTru5_14_G</t>
  </si>
  <si>
    <t>GGAACATG</t>
  </si>
  <si>
    <t>CATGTTCC</t>
  </si>
  <si>
    <t>CCTTGTAC</t>
  </si>
  <si>
    <t>iTru5_14_H</t>
  </si>
  <si>
    <t>CTTCGGTT</t>
  </si>
  <si>
    <t>G4</t>
  </si>
  <si>
    <t>S749</t>
  </si>
  <si>
    <t>AACCGAAG</t>
  </si>
  <si>
    <t>S565</t>
  </si>
  <si>
    <t>GAAGCCAA</t>
  </si>
  <si>
    <t>CAGTGAAG</t>
  </si>
  <si>
    <t>H4</t>
  </si>
  <si>
    <t>S773</t>
  </si>
  <si>
    <t>S593</t>
  </si>
  <si>
    <t>iTru5_15_A</t>
  </si>
  <si>
    <t>AAGTCGAG</t>
  </si>
  <si>
    <t>CGACCTAA</t>
  </si>
  <si>
    <t>TTAGGTCG</t>
  </si>
  <si>
    <t>GCTGGATT</t>
  </si>
  <si>
    <t>iTru5_15_B</t>
  </si>
  <si>
    <t>AACCGTGT</t>
  </si>
  <si>
    <t>A5</t>
  </si>
  <si>
    <t>S769</t>
  </si>
  <si>
    <t>TCCTCATG</t>
  </si>
  <si>
    <t>ACACGGTT</t>
  </si>
  <si>
    <t>S519</t>
  </si>
  <si>
    <t>AGGTGTAC</t>
  </si>
  <si>
    <t>TTGGCACA</t>
  </si>
  <si>
    <t>iTru5_15_C</t>
  </si>
  <si>
    <t>ACCATGTC</t>
  </si>
  <si>
    <t>GACATGGT</t>
  </si>
  <si>
    <t>B5</t>
  </si>
  <si>
    <t>TGGTACAG</t>
  </si>
  <si>
    <t>S752</t>
  </si>
  <si>
    <t>AGGATAGC</t>
  </si>
  <si>
    <t>S544</t>
  </si>
  <si>
    <t>AACCTTGG</t>
  </si>
  <si>
    <t>iTru5_15_D</t>
  </si>
  <si>
    <t>ACAAGACG</t>
  </si>
  <si>
    <t>CGTCTTGT</t>
  </si>
  <si>
    <t>TGTTCTGC</t>
  </si>
  <si>
    <t>C5</t>
  </si>
  <si>
    <t>S704</t>
  </si>
  <si>
    <t>GGAGGAAT</t>
  </si>
  <si>
    <t>iTru5_15_E</t>
  </si>
  <si>
    <t>S585</t>
  </si>
  <si>
    <t>AACCGTTC</t>
  </si>
  <si>
    <t>TGATAGGC</t>
  </si>
  <si>
    <t>GCCTATCA</t>
  </si>
  <si>
    <t>ACTATCCG</t>
  </si>
  <si>
    <t>iTru5_15_F</t>
  </si>
  <si>
    <t>D5</t>
  </si>
  <si>
    <t>S715</t>
  </si>
  <si>
    <t>CTTCACTG</t>
  </si>
  <si>
    <t>GACGTCAT</t>
  </si>
  <si>
    <t>S518</t>
  </si>
  <si>
    <t>TCAACTGG</t>
  </si>
  <si>
    <t>GAAGTGAC</t>
  </si>
  <si>
    <t>iTru5_15_G</t>
  </si>
  <si>
    <t>GCCTATGT</t>
  </si>
  <si>
    <t>E5</t>
  </si>
  <si>
    <t>S753</t>
  </si>
  <si>
    <t>ACATAGGC</t>
  </si>
  <si>
    <t>CCGCTTAA</t>
  </si>
  <si>
    <t>CGGATACA</t>
  </si>
  <si>
    <t>S548</t>
  </si>
  <si>
    <t>iTru5_15_H</t>
  </si>
  <si>
    <t>CATGGATC</t>
  </si>
  <si>
    <t>GATCCATG</t>
  </si>
  <si>
    <t>GTACCTAG</t>
  </si>
  <si>
    <t>F5</t>
  </si>
  <si>
    <t>S758</t>
  </si>
  <si>
    <t>S568</t>
  </si>
  <si>
    <t>TCGCATTG</t>
  </si>
  <si>
    <t>iTru5_16_A</t>
  </si>
  <si>
    <t>G5</t>
  </si>
  <si>
    <t>S784</t>
  </si>
  <si>
    <t>GACATCTC</t>
  </si>
  <si>
    <t>TCCACGTT</t>
  </si>
  <si>
    <t>S541</t>
  </si>
  <si>
    <t>GAGATGTC</t>
  </si>
  <si>
    <t>GTTCAACC</t>
  </si>
  <si>
    <t>CTGTAGAG</t>
  </si>
  <si>
    <t>iTru5_16_B</t>
  </si>
  <si>
    <t>CCTATTGG</t>
  </si>
  <si>
    <t>CCAATAGG</t>
  </si>
  <si>
    <t>GGATAACC</t>
  </si>
  <si>
    <t>H5</t>
  </si>
  <si>
    <t>S714</t>
  </si>
  <si>
    <t>iTru5_16_C</t>
  </si>
  <si>
    <t>S520</t>
  </si>
  <si>
    <t>AATCCAGC</t>
  </si>
  <si>
    <t>iTru5_16_D</t>
  </si>
  <si>
    <t>ATCGTGGT</t>
  </si>
  <si>
    <t>ACCACGAT</t>
  </si>
  <si>
    <t>TAGCACCA</t>
  </si>
  <si>
    <t>A6</t>
  </si>
  <si>
    <t>S771</t>
  </si>
  <si>
    <t>GTCAGTCA</t>
  </si>
  <si>
    <t>S531</t>
  </si>
  <si>
    <t>iTru5_16_E</t>
  </si>
  <si>
    <t>TAATGCCG</t>
  </si>
  <si>
    <t>ATGCGTCA</t>
  </si>
  <si>
    <t>TGACGCAT</t>
  </si>
  <si>
    <t>TACGCAGT</t>
  </si>
  <si>
    <t>iTru5_16_F</t>
  </si>
  <si>
    <t>CGATGTTC</t>
  </si>
  <si>
    <t>GAACATCG</t>
  </si>
  <si>
    <t>GCTACAAG</t>
  </si>
  <si>
    <t>B6</t>
  </si>
  <si>
    <t>S779</t>
  </si>
  <si>
    <t>CCTTCCAT</t>
  </si>
  <si>
    <t>iTru5_16_G</t>
  </si>
  <si>
    <t>S589</t>
  </si>
  <si>
    <t>ATTGCGTG</t>
  </si>
  <si>
    <t>CCGTAACT</t>
  </si>
  <si>
    <t>AGTTACGG</t>
  </si>
  <si>
    <t>GGCATTGA</t>
  </si>
  <si>
    <t>iTru5_16_H</t>
  </si>
  <si>
    <t>GTCAACAG</t>
  </si>
  <si>
    <t>CTGTTGAC</t>
  </si>
  <si>
    <t>CAGTTGTC</t>
  </si>
  <si>
    <t>C6</t>
  </si>
  <si>
    <t>S788</t>
  </si>
  <si>
    <t>AGGAACAC</t>
  </si>
  <si>
    <t>S587</t>
  </si>
  <si>
    <t>GACATTCC</t>
  </si>
  <si>
    <t>iTru5_17_A</t>
  </si>
  <si>
    <t>GATACTGG</t>
  </si>
  <si>
    <t>GGTCATAG</t>
  </si>
  <si>
    <t>iTru5_17_B</t>
  </si>
  <si>
    <t>TCAGTAGG</t>
  </si>
  <si>
    <t>CCTACTGA</t>
  </si>
  <si>
    <t>D6</t>
  </si>
  <si>
    <t>AGTCATCC</t>
  </si>
  <si>
    <t>S739</t>
  </si>
  <si>
    <t>CTTACAGC</t>
  </si>
  <si>
    <t>S503</t>
  </si>
  <si>
    <t>CTTCACCA</t>
  </si>
  <si>
    <t>iTru5_17_C</t>
  </si>
  <si>
    <t>TTGCAACG</t>
  </si>
  <si>
    <t>CGTTGCAA</t>
  </si>
  <si>
    <t>AACGTTGC</t>
  </si>
  <si>
    <t>iTru5_17_D</t>
  </si>
  <si>
    <t>AGTCAGGT</t>
  </si>
  <si>
    <t>ACCTGACT</t>
  </si>
  <si>
    <t>TCAGTCCA</t>
  </si>
  <si>
    <t>E6</t>
  </si>
  <si>
    <t>S737</t>
  </si>
  <si>
    <t>TACCTGCA</t>
  </si>
  <si>
    <t>S576</t>
  </si>
  <si>
    <t>iTru5_17_E</t>
  </si>
  <si>
    <t>TGATGTCC</t>
  </si>
  <si>
    <t>CAGCATAC</t>
  </si>
  <si>
    <t>GTCGTATG</t>
  </si>
  <si>
    <t>iTru5_17_F</t>
  </si>
  <si>
    <t>ACCGGTTA</t>
  </si>
  <si>
    <t>TAACCGGT</t>
  </si>
  <si>
    <t>TGGCCAAT</t>
  </si>
  <si>
    <t>F6</t>
  </si>
  <si>
    <t>iTru5_17_G</t>
  </si>
  <si>
    <t>S728</t>
  </si>
  <si>
    <t>CGGATCAA</t>
  </si>
  <si>
    <t>S582</t>
  </si>
  <si>
    <t>TTGATCCG</t>
  </si>
  <si>
    <t>TGTACACC</t>
  </si>
  <si>
    <t>GCCTAGTT</t>
  </si>
  <si>
    <t>iTru5_17_H</t>
  </si>
  <si>
    <t>AATTCCGG</t>
  </si>
  <si>
    <t>CCGGAATT</t>
  </si>
  <si>
    <t>TTAAGGCC</t>
  </si>
  <si>
    <t>G6</t>
  </si>
  <si>
    <t>S780</t>
  </si>
  <si>
    <t>CAACACAG</t>
  </si>
  <si>
    <t>S530</t>
  </si>
  <si>
    <t>TGGCTATC</t>
  </si>
  <si>
    <t>iTru5_18_A</t>
  </si>
  <si>
    <t>ACGCTTCT</t>
  </si>
  <si>
    <t>AGAAGCGT</t>
  </si>
  <si>
    <t>TGCGAAGA</t>
  </si>
  <si>
    <t>iTru5_18_B</t>
  </si>
  <si>
    <t>TATGCGGT</t>
  </si>
  <si>
    <t>ACCGCATA</t>
  </si>
  <si>
    <t>ATACGCCA</t>
  </si>
  <si>
    <t>H6</t>
  </si>
  <si>
    <t>S761</t>
  </si>
  <si>
    <t>iTru5_18_C</t>
  </si>
  <si>
    <t>GTACCACA</t>
  </si>
  <si>
    <t>ACCTTCGA</t>
  </si>
  <si>
    <t>S533</t>
  </si>
  <si>
    <t>TGTTGTGG</t>
  </si>
  <si>
    <t>TCGAAGGT</t>
  </si>
  <si>
    <t>TGGAAGCT</t>
  </si>
  <si>
    <t>iTru5_18_D</t>
  </si>
  <si>
    <t>CATCAACC</t>
  </si>
  <si>
    <t>GGTTGATG</t>
  </si>
  <si>
    <t>GTAGTTGG</t>
  </si>
  <si>
    <t>A7</t>
  </si>
  <si>
    <t>iTru5_18_E</t>
  </si>
  <si>
    <t>S712</t>
  </si>
  <si>
    <t>AAGTGCAG</t>
  </si>
  <si>
    <t>CGAATACG</t>
  </si>
  <si>
    <t>S562</t>
  </si>
  <si>
    <t>CTGCACTT</t>
  </si>
  <si>
    <t>GTCGGTAA</t>
  </si>
  <si>
    <t>TTCACGTC</t>
  </si>
  <si>
    <t>iTru5_18_F</t>
  </si>
  <si>
    <t>GCTGTAAG</t>
  </si>
  <si>
    <t>GAATGTCG</t>
  </si>
  <si>
    <t>iTru5_18_G</t>
  </si>
  <si>
    <t>B7</t>
  </si>
  <si>
    <t>CCACATTG</t>
  </si>
  <si>
    <t>S786</t>
  </si>
  <si>
    <t>GTCCTTGA</t>
  </si>
  <si>
    <t>S513</t>
  </si>
  <si>
    <t>CAATGTGG</t>
  </si>
  <si>
    <t>GGTGTAAC</t>
  </si>
  <si>
    <t>iTru5_18_H</t>
  </si>
  <si>
    <t>GGCGAATA</t>
  </si>
  <si>
    <t>TATTCGCC</t>
  </si>
  <si>
    <t>C7</t>
  </si>
  <si>
    <t>CCGCTTAT</t>
  </si>
  <si>
    <t>S743</t>
  </si>
  <si>
    <t>S536</t>
  </si>
  <si>
    <t>D7</t>
  </si>
  <si>
    <t>S775</t>
  </si>
  <si>
    <t>TCCATTGC</t>
  </si>
  <si>
    <t>S509</t>
  </si>
  <si>
    <t>AGACCGTA</t>
  </si>
  <si>
    <t>iTru5_19_A</t>
  </si>
  <si>
    <t>AACGCACA</t>
  </si>
  <si>
    <t>TGTGCGTT</t>
  </si>
  <si>
    <t>TTGCGTGT</t>
  </si>
  <si>
    <t>iTru5_19_B</t>
  </si>
  <si>
    <t>ATGCCTAG</t>
  </si>
  <si>
    <t>CTAGGCAT</t>
  </si>
  <si>
    <t>TACGGATC</t>
  </si>
  <si>
    <t>E7</t>
  </si>
  <si>
    <t>S750</t>
  </si>
  <si>
    <t>GTCGATTG</t>
  </si>
  <si>
    <t>S532</t>
  </si>
  <si>
    <t>ACGGTCTT</t>
  </si>
  <si>
    <t>iTru5_19_C</t>
  </si>
  <si>
    <t>CATACGGA</t>
  </si>
  <si>
    <t>TCCGTATG</t>
  </si>
  <si>
    <t>GTATGCCT</t>
  </si>
  <si>
    <t>iTru5_19_D</t>
  </si>
  <si>
    <t>GGTCACTA</t>
  </si>
  <si>
    <t>F7</t>
  </si>
  <si>
    <t>TAGTGACC</t>
  </si>
  <si>
    <t>S706</t>
  </si>
  <si>
    <t>CCAGTGAT</t>
  </si>
  <si>
    <t>ATAACGCC</t>
  </si>
  <si>
    <t>S574</t>
  </si>
  <si>
    <t>TGAACCTG</t>
  </si>
  <si>
    <t>iTru5_19_E</t>
  </si>
  <si>
    <t>GTATTCCG</t>
  </si>
  <si>
    <t>CGGAATAC</t>
  </si>
  <si>
    <t>CATAAGGC</t>
  </si>
  <si>
    <t>G7</t>
  </si>
  <si>
    <t>iTru5_19_F</t>
  </si>
  <si>
    <t>S724</t>
  </si>
  <si>
    <t>GCCTTAAC</t>
  </si>
  <si>
    <t>TGGCTCTT</t>
  </si>
  <si>
    <t>S547</t>
  </si>
  <si>
    <t>AGCTCCTA</t>
  </si>
  <si>
    <t>AAGAGCCA</t>
  </si>
  <si>
    <t>ACCGAGAA</t>
  </si>
  <si>
    <t>iTru5_19_G</t>
  </si>
  <si>
    <t>CTCTATCG</t>
  </si>
  <si>
    <t>CGATAGAG</t>
  </si>
  <si>
    <t>GAGATAGC</t>
  </si>
  <si>
    <t>H7</t>
  </si>
  <si>
    <t>S790</t>
  </si>
  <si>
    <t>iTru5_19_H</t>
  </si>
  <si>
    <t>S594</t>
  </si>
  <si>
    <t>AGGAGGTT</t>
  </si>
  <si>
    <t>AACCTCCT</t>
  </si>
  <si>
    <t>TCCTCCAA</t>
  </si>
  <si>
    <t>A8</t>
  </si>
  <si>
    <t>iTru5_20_A</t>
  </si>
  <si>
    <t>S791</t>
  </si>
  <si>
    <t>TGATCACG</t>
  </si>
  <si>
    <t>S529</t>
  </si>
  <si>
    <t>CGTGATCA</t>
  </si>
  <si>
    <t>AGGTCACT</t>
  </si>
  <si>
    <t>ACTAGTGC</t>
  </si>
  <si>
    <t>iTru5_20_B</t>
  </si>
  <si>
    <t>CTAGCAGT</t>
  </si>
  <si>
    <t>ACTGCTAG</t>
  </si>
  <si>
    <t>GATCGTCA</t>
  </si>
  <si>
    <t>B8</t>
  </si>
  <si>
    <t>S726</t>
  </si>
  <si>
    <t>iTru5_20_C</t>
  </si>
  <si>
    <t>TGCGTAAC</t>
  </si>
  <si>
    <t>GACCGATA</t>
  </si>
  <si>
    <t>S577</t>
  </si>
  <si>
    <t>GATAGGCT</t>
  </si>
  <si>
    <t>TATCGGTC</t>
  </si>
  <si>
    <t>CTGGCTAT</t>
  </si>
  <si>
    <t>iTru5_20_D</t>
  </si>
  <si>
    <t>C8</t>
  </si>
  <si>
    <t>CGGCATTA</t>
  </si>
  <si>
    <t>S767</t>
  </si>
  <si>
    <t>CTTGCTAG</t>
  </si>
  <si>
    <t>S572</t>
  </si>
  <si>
    <t>GGAGATGA</t>
  </si>
  <si>
    <t>GCCGTAAT</t>
  </si>
  <si>
    <t>iTru5_20_E</t>
  </si>
  <si>
    <t>GTGATCCA</t>
  </si>
  <si>
    <t>TGGATCAC</t>
  </si>
  <si>
    <t>CACTAGGT</t>
  </si>
  <si>
    <t>iTru5_20_F</t>
  </si>
  <si>
    <t>D8</t>
  </si>
  <si>
    <t>S738</t>
  </si>
  <si>
    <t>AGCGAGAT</t>
  </si>
  <si>
    <t>S525</t>
  </si>
  <si>
    <t>TTCTGGCA</t>
  </si>
  <si>
    <t>iTru5_20_G</t>
  </si>
  <si>
    <t>TGTGTCAG</t>
  </si>
  <si>
    <t>CTGACACA</t>
  </si>
  <si>
    <t>ACACAGTC</t>
  </si>
  <si>
    <t>iTru5_20_H</t>
  </si>
  <si>
    <t>ACTCTGAG</t>
  </si>
  <si>
    <t>E8</t>
  </si>
  <si>
    <t>S766</t>
  </si>
  <si>
    <t>CTCAGAGT</t>
  </si>
  <si>
    <t>TATGGCAC</t>
  </si>
  <si>
    <t>TGAGACTC</t>
  </si>
  <si>
    <t>S555</t>
  </si>
  <si>
    <t>TCTCGCAA</t>
  </si>
  <si>
    <t>iTru5_21_A</t>
  </si>
  <si>
    <t>GCGTATCA</t>
  </si>
  <si>
    <t>TGATACGC</t>
  </si>
  <si>
    <t>F8</t>
  </si>
  <si>
    <t>CGCATAGT</t>
  </si>
  <si>
    <t>S711</t>
  </si>
  <si>
    <t>GAATCACC</t>
  </si>
  <si>
    <t>S560</t>
  </si>
  <si>
    <t>iTru5_21_B</t>
  </si>
  <si>
    <t>AGGTCAAC</t>
  </si>
  <si>
    <t>GTTGACCT</t>
  </si>
  <si>
    <t>TCCAGTTG</t>
  </si>
  <si>
    <t>iTru5_21_C</t>
  </si>
  <si>
    <t>AAGCTGGT</t>
  </si>
  <si>
    <t>ACCAGCTT</t>
  </si>
  <si>
    <t>G8</t>
  </si>
  <si>
    <t>TTCGACCA</t>
  </si>
  <si>
    <t>S759</t>
  </si>
  <si>
    <t>GTAAGGTG</t>
  </si>
  <si>
    <t>S516</t>
  </si>
  <si>
    <t>GCAATTCG</t>
  </si>
  <si>
    <t>iTru5_21_D</t>
  </si>
  <si>
    <t>ACTCGATC</t>
  </si>
  <si>
    <t>iTru5_21_E</t>
  </si>
  <si>
    <t>H8</t>
  </si>
  <si>
    <t>S721</t>
  </si>
  <si>
    <t>ATACCGTG</t>
  </si>
  <si>
    <t>CGAGAGAA</t>
  </si>
  <si>
    <t>S508</t>
  </si>
  <si>
    <t>iTru5_21_F</t>
  </si>
  <si>
    <t>GGACATCA</t>
  </si>
  <si>
    <t>CCTGTAGT</t>
  </si>
  <si>
    <t>iTru5_21_G</t>
  </si>
  <si>
    <t>CGCAACTA</t>
  </si>
  <si>
    <t>GCGTTGAT</t>
  </si>
  <si>
    <t>A9</t>
  </si>
  <si>
    <t>S723</t>
  </si>
  <si>
    <t>S502</t>
  </si>
  <si>
    <t>GAATCCGA</t>
  </si>
  <si>
    <t>iTru5_21_H</t>
  </si>
  <si>
    <t>GCCTTCTT</t>
  </si>
  <si>
    <t>AAGAAGGC</t>
  </si>
  <si>
    <t>CGGAAGAA</t>
  </si>
  <si>
    <t>iTru5_22_A</t>
  </si>
  <si>
    <t>AAGGACAC</t>
  </si>
  <si>
    <t>B9</t>
  </si>
  <si>
    <t>iTru5_22_B</t>
  </si>
  <si>
    <t>S707</t>
  </si>
  <si>
    <t>GAACGTGA</t>
  </si>
  <si>
    <t>S596</t>
  </si>
  <si>
    <t>TCACGTTC</t>
  </si>
  <si>
    <t>CTTGCACT</t>
  </si>
  <si>
    <t>iTru5_22_C</t>
  </si>
  <si>
    <t>ACACCTCA</t>
  </si>
  <si>
    <t>TGAGGTGT</t>
  </si>
  <si>
    <t>TGTGGAGT</t>
  </si>
  <si>
    <t>iTru5_22_D</t>
  </si>
  <si>
    <t>C9</t>
  </si>
  <si>
    <t>ATAGGTCC</t>
  </si>
  <si>
    <t>S745</t>
  </si>
  <si>
    <t>TGGAAGCA</t>
  </si>
  <si>
    <t>GGACCTAT</t>
  </si>
  <si>
    <t>S557</t>
  </si>
  <si>
    <t>TATCCAGG</t>
  </si>
  <si>
    <t>GTACTCTC</t>
  </si>
  <si>
    <t>iTru5_22_E</t>
  </si>
  <si>
    <t>ACCATAGG</t>
  </si>
  <si>
    <t>CCTATGGT</t>
  </si>
  <si>
    <t>TGGTATCC</t>
  </si>
  <si>
    <t>iTru5_22_F</t>
  </si>
  <si>
    <t>D9</t>
  </si>
  <si>
    <t>TTGGTGCA</t>
  </si>
  <si>
    <t>S746</t>
  </si>
  <si>
    <t>TGCACCAA</t>
  </si>
  <si>
    <t>S583</t>
  </si>
  <si>
    <t>AACCACGT</t>
  </si>
  <si>
    <t>TGCGTAGA</t>
  </si>
  <si>
    <t>iTru5_22_G</t>
  </si>
  <si>
    <t>GATCAGAC</t>
  </si>
  <si>
    <t>GTCTGATC</t>
  </si>
  <si>
    <t>CTAGTCTG</t>
  </si>
  <si>
    <t>iTru5_22_H</t>
  </si>
  <si>
    <t>E9</t>
  </si>
  <si>
    <t>TGGACCAT</t>
  </si>
  <si>
    <t>S778</t>
  </si>
  <si>
    <t>CTCGAACA</t>
  </si>
  <si>
    <t>ATGGTCCA</t>
  </si>
  <si>
    <t>S522</t>
  </si>
  <si>
    <t>ACCTGGTA</t>
  </si>
  <si>
    <t>GGAATTGC</t>
  </si>
  <si>
    <t>iTru5_23_A</t>
  </si>
  <si>
    <t>GGTAACGT</t>
  </si>
  <si>
    <t>ACGTTACC</t>
  </si>
  <si>
    <t>CCATTGCA</t>
  </si>
  <si>
    <t>F9</t>
  </si>
  <si>
    <t>S781</t>
  </si>
  <si>
    <t>GGCAAGTT</t>
  </si>
  <si>
    <t>S510</t>
  </si>
  <si>
    <t>iTru5_23_B</t>
  </si>
  <si>
    <t>CTTCTGAG</t>
  </si>
  <si>
    <t>ATCATGCG</t>
  </si>
  <si>
    <t>CGCATGAT</t>
  </si>
  <si>
    <t>TAGTACGC</t>
  </si>
  <si>
    <t>iTru5_23_C</t>
  </si>
  <si>
    <t>CGGAGTAT</t>
  </si>
  <si>
    <t>ATACTCCG</t>
  </si>
  <si>
    <t>GCCTCATA</t>
  </si>
  <si>
    <t>G9</t>
  </si>
  <si>
    <t>iTru5_23_D</t>
  </si>
  <si>
    <t>S740</t>
  </si>
  <si>
    <t>CAGTCACA</t>
  </si>
  <si>
    <t>S570</t>
  </si>
  <si>
    <t>TGTGACTG</t>
  </si>
  <si>
    <t>GTCAGTGT</t>
  </si>
  <si>
    <t>iTru5_23_E</t>
  </si>
  <si>
    <t>CTCCAATC</t>
  </si>
  <si>
    <t>GATTGGAG</t>
  </si>
  <si>
    <t>GAGGTTAG</t>
  </si>
  <si>
    <t>iTru5_23_F</t>
  </si>
  <si>
    <t>AAGCGTTC</t>
  </si>
  <si>
    <t>H9</t>
  </si>
  <si>
    <t>GAACGCTT</t>
  </si>
  <si>
    <t>S792</t>
  </si>
  <si>
    <t>TTCGCAAG</t>
  </si>
  <si>
    <t>S534</t>
  </si>
  <si>
    <t>iTru5_23_G</t>
  </si>
  <si>
    <t>ATTCCGCT</t>
  </si>
  <si>
    <t>AGCGGAAT</t>
  </si>
  <si>
    <t>TAAGGCGA</t>
  </si>
  <si>
    <t>iTru5_23_H</t>
  </si>
  <si>
    <t>GCATAGTC</t>
  </si>
  <si>
    <t>GACTATGC</t>
  </si>
  <si>
    <t>CGTATCAG</t>
  </si>
  <si>
    <t>S705</t>
  </si>
  <si>
    <t>S563</t>
  </si>
  <si>
    <t>GTACCTTG</t>
  </si>
  <si>
    <t>iTru5_24_A</t>
  </si>
  <si>
    <t>GCTCTCTT</t>
  </si>
  <si>
    <t>iTru5_24_B</t>
  </si>
  <si>
    <t>CAACGAGT</t>
  </si>
  <si>
    <t>ACTCGTTG</t>
  </si>
  <si>
    <t>GTTGCTCA</t>
  </si>
  <si>
    <t>iTru5_24_C</t>
  </si>
  <si>
    <t>CTCGACTT</t>
  </si>
  <si>
    <t>S701</t>
  </si>
  <si>
    <t>TTACGTGC</t>
  </si>
  <si>
    <t>S597</t>
  </si>
  <si>
    <t>GAGCTGAA</t>
  </si>
  <si>
    <t>iTru5_24_D</t>
  </si>
  <si>
    <t>TAGTGGTG</t>
  </si>
  <si>
    <t>CACCACTA</t>
  </si>
  <si>
    <t>ATCACCAC</t>
  </si>
  <si>
    <t>iTru5_24_E</t>
  </si>
  <si>
    <t>S754</t>
  </si>
  <si>
    <t>AGATACGG</t>
  </si>
  <si>
    <t>AGCTAAGC</t>
  </si>
  <si>
    <t>S535</t>
  </si>
  <si>
    <t>CCGTATCT</t>
  </si>
  <si>
    <t>GTAACGAC</t>
  </si>
  <si>
    <t>TCTATGCC</t>
  </si>
  <si>
    <t>iTru5_24_F</t>
  </si>
  <si>
    <t>ACTCTCCA</t>
  </si>
  <si>
    <t>TGGAGAGT</t>
  </si>
  <si>
    <t>TGAGAGGT</t>
  </si>
  <si>
    <t>iTru5_24_G</t>
  </si>
  <si>
    <t>ATCCTTCC</t>
  </si>
  <si>
    <t>S798</t>
  </si>
  <si>
    <t>GGAAGGAT</t>
  </si>
  <si>
    <t>TAGGAAGG</t>
  </si>
  <si>
    <t>S527</t>
  </si>
  <si>
    <t>TCGGTTAC</t>
  </si>
  <si>
    <t>iTru5_24_H</t>
  </si>
  <si>
    <t>TACACACG</t>
  </si>
  <si>
    <t>CGTGTGTA</t>
  </si>
  <si>
    <t>ATGTGTGC</t>
  </si>
  <si>
    <t>S751</t>
  </si>
  <si>
    <t>S542</t>
  </si>
  <si>
    <t>ACGGATTC</t>
  </si>
  <si>
    <t>iTru5_101_A</t>
  </si>
  <si>
    <t>AACAACCG</t>
  </si>
  <si>
    <t>CGGTTGTT</t>
  </si>
  <si>
    <t>TTGTTGGC</t>
  </si>
  <si>
    <t>S717</t>
  </si>
  <si>
    <t>iTru5_101_B</t>
  </si>
  <si>
    <t>GGTTGGTA</t>
  </si>
  <si>
    <t>S595</t>
  </si>
  <si>
    <t>TGCTCATG</t>
  </si>
  <si>
    <t>TACCAACC</t>
  </si>
  <si>
    <t>CCAACCAT</t>
  </si>
  <si>
    <t>iTru5_101_C</t>
  </si>
  <si>
    <t>AACAGCGA</t>
  </si>
  <si>
    <t>TCGCTGTT</t>
  </si>
  <si>
    <t>TTGTCGCT</t>
  </si>
  <si>
    <t>S765</t>
  </si>
  <si>
    <t>S549</t>
  </si>
  <si>
    <t>iTru5_101_D</t>
  </si>
  <si>
    <t>GGTTAGCT</t>
  </si>
  <si>
    <t>AGCTAACC</t>
  </si>
  <si>
    <t>CCAATCGA</t>
  </si>
  <si>
    <t>iTru5_101_E</t>
  </si>
  <si>
    <t>AACAGTCC</t>
  </si>
  <si>
    <t>GGACTGTT</t>
  </si>
  <si>
    <t>TTGTCAGG</t>
  </si>
  <si>
    <t>S793</t>
  </si>
  <si>
    <t>S573</t>
  </si>
  <si>
    <t>iTru5_101_F</t>
  </si>
  <si>
    <t>TTGGACTG</t>
  </si>
  <si>
    <t>CAGTCCAA</t>
  </si>
  <si>
    <t>AACCTGAC</t>
  </si>
  <si>
    <t>iTru5_101_G</t>
  </si>
  <si>
    <t>S719</t>
  </si>
  <si>
    <t>GTACACCT</t>
  </si>
  <si>
    <t>AACTGAGG</t>
  </si>
  <si>
    <t>S569</t>
  </si>
  <si>
    <t>CATGAGGA</t>
  </si>
  <si>
    <t>CCTCAGTT</t>
  </si>
  <si>
    <t>TTGACTCC</t>
  </si>
  <si>
    <t>iTru5_101_H</t>
  </si>
  <si>
    <t>ACCTTCGT</t>
  </si>
  <si>
    <t>S744</t>
  </si>
  <si>
    <t>CCAAGGTT</t>
  </si>
  <si>
    <t>S552</t>
  </si>
  <si>
    <t>GCTATCCT</t>
  </si>
  <si>
    <t>iTru5_102_A</t>
  </si>
  <si>
    <t>AAGCCTGA</t>
  </si>
  <si>
    <t>TCAGGCTT</t>
  </si>
  <si>
    <t>TTCGGACT</t>
  </si>
  <si>
    <t>iTru5_102_B</t>
  </si>
  <si>
    <t>S785</t>
  </si>
  <si>
    <t>GAACGGTT</t>
  </si>
  <si>
    <t>S504</t>
  </si>
  <si>
    <t>ATTCCTCC</t>
  </si>
  <si>
    <t>CCTCCTTA</t>
  </si>
  <si>
    <t>iTru5_102_C</t>
  </si>
  <si>
    <t>AAGCGACT</t>
  </si>
  <si>
    <t>AGTCGCTT</t>
  </si>
  <si>
    <t>TTCGCTGA</t>
  </si>
  <si>
    <t>S718</t>
  </si>
  <si>
    <t>CCAGTTGA</t>
  </si>
  <si>
    <t>S515</t>
  </si>
  <si>
    <t>ATGACGTC</t>
  </si>
  <si>
    <t>iTru5_102_D</t>
  </si>
  <si>
    <t>GTAGCGTA</t>
  </si>
  <si>
    <t>TACGCTAC</t>
  </si>
  <si>
    <t>CATCGCAT</t>
  </si>
  <si>
    <t>iTru5_102_E</t>
  </si>
  <si>
    <t>AAGCTCAC</t>
  </si>
  <si>
    <t>GTGAGCTT</t>
  </si>
  <si>
    <t>TTCGAGTG</t>
  </si>
  <si>
    <t>S748</t>
  </si>
  <si>
    <t>iTru5_102_F</t>
  </si>
  <si>
    <t>S553</t>
  </si>
  <si>
    <t>TTAAGCGG</t>
  </si>
  <si>
    <t>CAGCTAAC</t>
  </si>
  <si>
    <t>iTru5_102_G</t>
  </si>
  <si>
    <t>AAGGAAGG</t>
  </si>
  <si>
    <t>CCTTCCTT</t>
  </si>
  <si>
    <t>TTCCTTCC</t>
  </si>
  <si>
    <t>S768</t>
  </si>
  <si>
    <t>iTru5_102_H</t>
  </si>
  <si>
    <t>CAATGCGA</t>
  </si>
  <si>
    <t>S558</t>
  </si>
  <si>
    <t>TGACTGAC</t>
  </si>
  <si>
    <t>CAGTCAGT</t>
  </si>
  <si>
    <t>iTru5_103_A</t>
  </si>
  <si>
    <t>AAGGACCA</t>
  </si>
  <si>
    <t>S741</t>
  </si>
  <si>
    <t>TGGTCCTT</t>
  </si>
  <si>
    <t>GGTTGAAC</t>
  </si>
  <si>
    <t>TTCCTGGT</t>
  </si>
  <si>
    <t>S584</t>
  </si>
  <si>
    <t>AACGTGGA</t>
  </si>
  <si>
    <t>iTru5_103_B</t>
  </si>
  <si>
    <t>CATTCCAC</t>
  </si>
  <si>
    <t>iTru5_103_C</t>
  </si>
  <si>
    <t>AAGGCGTA</t>
  </si>
  <si>
    <t>S720</t>
  </si>
  <si>
    <t>TACGCCTT</t>
  </si>
  <si>
    <t>TTCCGCAT</t>
  </si>
  <si>
    <t>S514</t>
  </si>
  <si>
    <t>iTru5_103_D</t>
  </si>
  <si>
    <t>GGACTACT</t>
  </si>
  <si>
    <t>AGTAGTCC</t>
  </si>
  <si>
    <t>CCTGATGA</t>
  </si>
  <si>
    <t>iTru5_103_E</t>
  </si>
  <si>
    <t>AAGTCCTC</t>
  </si>
  <si>
    <t>S731</t>
  </si>
  <si>
    <t>iTru5_103_F</t>
  </si>
  <si>
    <t>S571</t>
  </si>
  <si>
    <t>GGCATTCT</t>
  </si>
  <si>
    <t>AGAATGCC</t>
  </si>
  <si>
    <t>CCGTAAGA</t>
  </si>
  <si>
    <t>iTru5_103_G</t>
  </si>
  <si>
    <t>AATGGTCG</t>
  </si>
  <si>
    <t>CGACCATT</t>
  </si>
  <si>
    <t>TTACCAGC</t>
  </si>
  <si>
    <t>S789</t>
  </si>
  <si>
    <t>CACGCAAT</t>
  </si>
  <si>
    <t>iTru5_103_H</t>
  </si>
  <si>
    <t>S579</t>
  </si>
  <si>
    <t>ATGGAAGG</t>
  </si>
  <si>
    <t>CATTGGCT</t>
  </si>
  <si>
    <t>iTru5_104_A</t>
  </si>
  <si>
    <t>S787</t>
  </si>
  <si>
    <t>ACAACGTG</t>
  </si>
  <si>
    <t>GGAATGTC</t>
  </si>
  <si>
    <t>S588</t>
  </si>
  <si>
    <t>CACGTTGT</t>
  </si>
  <si>
    <t>GTGTTCCT</t>
  </si>
  <si>
    <t>TGTTGCAC</t>
  </si>
  <si>
    <t>iTru5_104_B</t>
  </si>
  <si>
    <t>GGTGTACA</t>
  </si>
  <si>
    <t>CCACATGT</t>
  </si>
  <si>
    <t>iTru5_104_C</t>
  </si>
  <si>
    <t>S703</t>
  </si>
  <si>
    <t>ACACCGAT</t>
  </si>
  <si>
    <t>TGGTGAAG</t>
  </si>
  <si>
    <t>S539</t>
  </si>
  <si>
    <t>ATCGGTGT</t>
  </si>
  <si>
    <t>TGTGGCTA</t>
  </si>
  <si>
    <t>iTru5_104_D</t>
  </si>
  <si>
    <t>TGGTTCGA</t>
  </si>
  <si>
    <t>TCGAACCA</t>
  </si>
  <si>
    <t>ACCAAGCT</t>
  </si>
  <si>
    <t>iTru5_104_E</t>
  </si>
  <si>
    <t>ACACTCTG</t>
  </si>
  <si>
    <t>CAGAGTGT</t>
  </si>
  <si>
    <t>TGTGAGAC</t>
  </si>
  <si>
    <t>S776</t>
  </si>
  <si>
    <t>S537</t>
  </si>
  <si>
    <t>TGCAGGTA</t>
  </si>
  <si>
    <t>iTru5_104_F</t>
  </si>
  <si>
    <t>GGATACCA</t>
  </si>
  <si>
    <t>iTru5_104_G</t>
  </si>
  <si>
    <t>ACAGCAAG</t>
  </si>
  <si>
    <t>CTTGCTGT</t>
  </si>
  <si>
    <t>TGTCGTTC</t>
  </si>
  <si>
    <t>S782</t>
  </si>
  <si>
    <t>iTru5_104_H</t>
  </si>
  <si>
    <t>S528</t>
  </si>
  <si>
    <t>GTTATGGC</t>
  </si>
  <si>
    <t>GCCATAAC</t>
  </si>
  <si>
    <t>CAATACCG</t>
  </si>
  <si>
    <t>iTru5_105_A</t>
  </si>
  <si>
    <t>ACGAACGA</t>
  </si>
  <si>
    <t>S730</t>
  </si>
  <si>
    <t>GATAGCCA</t>
  </si>
  <si>
    <t>TCGTTCGT</t>
  </si>
  <si>
    <t>S580</t>
  </si>
  <si>
    <t>TGCTTGCT</t>
  </si>
  <si>
    <t>CTGTGTTG</t>
  </si>
  <si>
    <t>iTru5_105_B</t>
  </si>
  <si>
    <t>GGATGTAG</t>
  </si>
  <si>
    <t>CTACATCC</t>
  </si>
  <si>
    <t>CCTACATC</t>
  </si>
  <si>
    <t>iTru5_105_C</t>
  </si>
  <si>
    <t>ACGAATCC</t>
  </si>
  <si>
    <t>GGATTCGT</t>
  </si>
  <si>
    <t>S733</t>
  </si>
  <si>
    <t>TGCTTAGG</t>
  </si>
  <si>
    <t>CCACAACA</t>
  </si>
  <si>
    <t>S561</t>
  </si>
  <si>
    <t>TGTGGTAC</t>
  </si>
  <si>
    <t>iTru5_105_D</t>
  </si>
  <si>
    <t>GGAGTCTT</t>
  </si>
  <si>
    <t>AAGACTCC</t>
  </si>
  <si>
    <t>CCTCAGAA</t>
  </si>
  <si>
    <t>iTru5_105_E</t>
  </si>
  <si>
    <t>ACGGTACA</t>
  </si>
  <si>
    <t>TGTACCGT</t>
  </si>
  <si>
    <t>TGCCATGT</t>
  </si>
  <si>
    <t>Sample_Project</t>
  </si>
  <si>
    <t>Description</t>
  </si>
  <si>
    <t>iTru5_105_F</t>
  </si>
  <si>
    <t>CCGTTCAA</t>
  </si>
  <si>
    <t>iTru5_105_G</t>
  </si>
  <si>
    <t>ACGTATGG</t>
  </si>
  <si>
    <t>E6442</t>
  </si>
  <si>
    <t>CCATACGT</t>
  </si>
  <si>
    <t>P7126</t>
  </si>
  <si>
    <t>TGCATACC</t>
  </si>
  <si>
    <t>P5134</t>
  </si>
  <si>
    <t>iTru5_105_H</t>
  </si>
  <si>
    <t>GTAAGCAC</t>
  </si>
  <si>
    <t>GTGCTTAC</t>
  </si>
  <si>
    <t>CATTCGTG</t>
  </si>
  <si>
    <t>P7148</t>
  </si>
  <si>
    <t>GTGCACGA</t>
  </si>
  <si>
    <t>P5136</t>
  </si>
  <si>
    <t>iTru5_106_A</t>
  </si>
  <si>
    <t>ACGTCCAA</t>
  </si>
  <si>
    <t>TTGGACGT</t>
  </si>
  <si>
    <t>TGCAGGTT</t>
  </si>
  <si>
    <t>iTru5_106_B</t>
  </si>
  <si>
    <t>GTCCTGTT</t>
  </si>
  <si>
    <t>AACAGGAC</t>
  </si>
  <si>
    <t>CAGGACAA</t>
  </si>
  <si>
    <t>P7133</t>
  </si>
  <si>
    <t>ATGTTCCT</t>
  </si>
  <si>
    <t>iTru5_106_C</t>
  </si>
  <si>
    <t>P5107</t>
  </si>
  <si>
    <t>ACTACGGT</t>
  </si>
  <si>
    <t>GGCGCTGA</t>
  </si>
  <si>
    <t>ACCGTAGT</t>
  </si>
  <si>
    <t>TGATGCCA</t>
  </si>
  <si>
    <t>iTru5_106_D</t>
  </si>
  <si>
    <t>GGATTCAC</t>
  </si>
  <si>
    <t>GTGAATCC</t>
  </si>
  <si>
    <t>CCTAAGTG</t>
  </si>
  <si>
    <t>P7141</t>
  </si>
  <si>
    <t>CATTATGG</t>
  </si>
  <si>
    <t>iTru5_106_E</t>
  </si>
  <si>
    <t>P5108</t>
  </si>
  <si>
    <t>ACTCCTAC</t>
  </si>
  <si>
    <t>ATGTGACT</t>
  </si>
  <si>
    <t>GTAGGAGT</t>
  </si>
  <si>
    <t>TGAGGATG</t>
  </si>
  <si>
    <t>iTru5_106_F</t>
  </si>
  <si>
    <t>GTCTGAGT</t>
  </si>
  <si>
    <t>ACTCAGAC</t>
  </si>
  <si>
    <t>CAGACTCA</t>
  </si>
  <si>
    <t>P7142</t>
  </si>
  <si>
    <t>TCTTGTTT</t>
  </si>
  <si>
    <t>iTru5_106_G</t>
  </si>
  <si>
    <t>P5109</t>
  </si>
  <si>
    <t>ACTGCACT</t>
  </si>
  <si>
    <t>GTGAAAGG</t>
  </si>
  <si>
    <t>AGTGCAGT</t>
  </si>
  <si>
    <t>TGACGTGA</t>
  </si>
  <si>
    <t>iTru5_106_H</t>
  </si>
  <si>
    <t>CCTTACAG</t>
  </si>
  <si>
    <t>P7143</t>
  </si>
  <si>
    <t>GGCTTACT</t>
  </si>
  <si>
    <t>P5111</t>
  </si>
  <si>
    <t>AGGGAAAG</t>
  </si>
  <si>
    <t>iTru5_107_A</t>
  </si>
  <si>
    <t>ACTGGTGT</t>
  </si>
  <si>
    <t>ACACCAGT</t>
  </si>
  <si>
    <t>TGACCACA</t>
  </si>
  <si>
    <t>P7146</t>
  </si>
  <si>
    <t>ACGATATG</t>
  </si>
  <si>
    <t>iTru5_107_B</t>
  </si>
  <si>
    <t>P5117</t>
  </si>
  <si>
    <t>GAATTGTC</t>
  </si>
  <si>
    <t>CATGGTGT</t>
  </si>
  <si>
    <t>iTru5_107_C</t>
  </si>
  <si>
    <t>AGAAGCCT</t>
  </si>
  <si>
    <t>AGGCTTCT</t>
  </si>
  <si>
    <t>TCTTCGGA</t>
  </si>
  <si>
    <t>P7152</t>
  </si>
  <si>
    <t>iTru5_107_D</t>
  </si>
  <si>
    <t>ATCCGCAG</t>
  </si>
  <si>
    <t>P5119</t>
  </si>
  <si>
    <t>AGTCGTGT</t>
  </si>
  <si>
    <t>AGCCTAAG</t>
  </si>
  <si>
    <t>iTru5_107_E</t>
  </si>
  <si>
    <t>AGAGGATG</t>
  </si>
  <si>
    <t>CATCCTCT</t>
  </si>
  <si>
    <t>TCTCCTAC</t>
  </si>
  <si>
    <t>P7134</t>
  </si>
  <si>
    <t>iTru5_107_F</t>
  </si>
  <si>
    <t>P5135</t>
  </si>
  <si>
    <t>AGATGCGT</t>
  </si>
  <si>
    <t>iTru5_107_G</t>
  </si>
  <si>
    <t>AGAGTCCA</t>
  </si>
  <si>
    <t>TGGACTCT</t>
  </si>
  <si>
    <t>TCTCAGGT</t>
  </si>
  <si>
    <t>P7136</t>
  </si>
  <si>
    <t>P5170</t>
  </si>
  <si>
    <t>iTru5_107_H</t>
  </si>
  <si>
    <t>GAGAAGGT</t>
  </si>
  <si>
    <t>ACCTTCTC</t>
  </si>
  <si>
    <t>CTCTTCCA</t>
  </si>
  <si>
    <t>P7153</t>
  </si>
  <si>
    <t>P5122</t>
  </si>
  <si>
    <t>CTCACACC</t>
  </si>
  <si>
    <t>iTru5_108_A</t>
  </si>
  <si>
    <t>AGATCGTC</t>
  </si>
  <si>
    <t>GACGATCT</t>
  </si>
  <si>
    <t>TCTAGCAG</t>
  </si>
  <si>
    <t>P7154</t>
  </si>
  <si>
    <t>P5124</t>
  </si>
  <si>
    <t>TATGCAAG</t>
  </si>
  <si>
    <t>iTru5_108_B</t>
  </si>
  <si>
    <t>GATCTCAG</t>
  </si>
  <si>
    <t>CTGAGATC</t>
  </si>
  <si>
    <t>CTAGAGTC</t>
  </si>
  <si>
    <t>P7155</t>
  </si>
  <si>
    <t>iTru5_108_C</t>
  </si>
  <si>
    <t>GTCCGATC</t>
  </si>
  <si>
    <t>P5125</t>
  </si>
  <si>
    <t>AGATTGCG</t>
  </si>
  <si>
    <t>GGATTGGC</t>
  </si>
  <si>
    <t>P7157</t>
  </si>
  <si>
    <t>iTru5_108_D</t>
  </si>
  <si>
    <t>GAGGACCA</t>
  </si>
  <si>
    <t>P5129</t>
  </si>
  <si>
    <t>ACCGGCAT</t>
  </si>
  <si>
    <t>GAGCAATC</t>
  </si>
  <si>
    <t>GATTGCTC</t>
  </si>
  <si>
    <t>CTCGTTAG</t>
  </si>
  <si>
    <t>iTru5_108_E</t>
  </si>
  <si>
    <t>P7158</t>
  </si>
  <si>
    <t>AGCCGTAA</t>
  </si>
  <si>
    <t>CGCTCTTA</t>
  </si>
  <si>
    <t>P5137</t>
  </si>
  <si>
    <t>ACGGTATG</t>
  </si>
  <si>
    <t>TTACGGCT</t>
  </si>
  <si>
    <t>TCGGCATT</t>
  </si>
  <si>
    <t>iTru5_108_F</t>
  </si>
  <si>
    <t>GAGGCATT</t>
  </si>
  <si>
    <t>AATGCCTC</t>
  </si>
  <si>
    <t>CTCCGTAA</t>
  </si>
  <si>
    <t>P7159</t>
  </si>
  <si>
    <t>CTGAGCTC</t>
  </si>
  <si>
    <t>P5138</t>
  </si>
  <si>
    <t>GCTCTGAT</t>
  </si>
  <si>
    <t>iTru5_108_G</t>
  </si>
  <si>
    <t>TCGGATAG</t>
  </si>
  <si>
    <t>P7135</t>
  </si>
  <si>
    <t>iTru5_108_H</t>
  </si>
  <si>
    <t>GAGTAGAG</t>
  </si>
  <si>
    <t>P5127</t>
  </si>
  <si>
    <t>TGGGTAAT</t>
  </si>
  <si>
    <t>CTCTACTC</t>
  </si>
  <si>
    <t>CTCATCTC</t>
  </si>
  <si>
    <t>P7170</t>
  </si>
  <si>
    <t>iTru5_109_A</t>
  </si>
  <si>
    <t>P5169</t>
  </si>
  <si>
    <t>TCGCTCTA</t>
  </si>
  <si>
    <t>iTru5_109_B</t>
  </si>
  <si>
    <t>GAGCTCTA</t>
  </si>
  <si>
    <t>P7160</t>
  </si>
  <si>
    <t>CCTAAACT</t>
  </si>
  <si>
    <t>TAGAGCTC</t>
  </si>
  <si>
    <t>P5139</t>
  </si>
  <si>
    <t>CTCCTCGT</t>
  </si>
  <si>
    <t>CTCGAGAT</t>
  </si>
  <si>
    <t>iTru5_109_C</t>
  </si>
  <si>
    <t>AGCGTGTA</t>
  </si>
  <si>
    <t>TACACGCT</t>
  </si>
  <si>
    <t>TCGCACAT</t>
  </si>
  <si>
    <t>P7162</t>
  </si>
  <si>
    <t>TGTCACAC</t>
  </si>
  <si>
    <t>P5140</t>
  </si>
  <si>
    <t>CGAGATTA</t>
  </si>
  <si>
    <t>iTru5_109_D</t>
  </si>
  <si>
    <t>GATCCACT</t>
  </si>
  <si>
    <t>AGTGGATC</t>
  </si>
  <si>
    <t>CTAGGTGA</t>
  </si>
  <si>
    <t>iTru5_109_E</t>
  </si>
  <si>
    <t>P7165</t>
  </si>
  <si>
    <t>AGCTTCAG</t>
  </si>
  <si>
    <t>GATATGAA</t>
  </si>
  <si>
    <t>P5144</t>
  </si>
  <si>
    <t>CTGCCGTA</t>
  </si>
  <si>
    <t>CTGAAGCT</t>
  </si>
  <si>
    <t>TCGAAGTC</t>
  </si>
  <si>
    <t>iTru5_109_F</t>
  </si>
  <si>
    <t>GCTAAGGA</t>
  </si>
  <si>
    <t>P7166</t>
  </si>
  <si>
    <t>TCCTTAGC</t>
  </si>
  <si>
    <t>AAGTGTGG</t>
  </si>
  <si>
    <t>CGATTCCT</t>
  </si>
  <si>
    <t>P5145</t>
  </si>
  <si>
    <t>GATGGGCA</t>
  </si>
  <si>
    <t>iTru5_109_G</t>
  </si>
  <si>
    <t>TCCTTGTG</t>
  </si>
  <si>
    <t>P7174</t>
  </si>
  <si>
    <t>GTTGGCGT</t>
  </si>
  <si>
    <t>P5147</t>
  </si>
  <si>
    <t>GACTGCTG</t>
  </si>
  <si>
    <t>iTru5_109_H</t>
  </si>
  <si>
    <t>GCATTGGT</t>
  </si>
  <si>
    <t>ACCAATGC</t>
  </si>
  <si>
    <t>CGTAACCA</t>
  </si>
  <si>
    <t>P7176</t>
  </si>
  <si>
    <t>TAGCTGGC</t>
  </si>
  <si>
    <t>P5149</t>
  </si>
  <si>
    <t>AGCCGGTA</t>
  </si>
  <si>
    <t>iTru5_110_A</t>
  </si>
  <si>
    <t>TCCTATCG</t>
  </si>
  <si>
    <t>P7127</t>
  </si>
  <si>
    <t>ATTACCCA</t>
  </si>
  <si>
    <t>P5126</t>
  </si>
  <si>
    <t>iTru5_110_B</t>
  </si>
  <si>
    <t>TACTAGCG</t>
  </si>
  <si>
    <t>CGCTAGTA</t>
  </si>
  <si>
    <t>ATGATCGC</t>
  </si>
  <si>
    <t>P7169</t>
  </si>
  <si>
    <t>P5148</t>
  </si>
  <si>
    <t>iTru5_110_C</t>
  </si>
  <si>
    <t>TCGTGCAC</t>
  </si>
  <si>
    <t>AGGCTGAA</t>
  </si>
  <si>
    <t>TTCAGCCT</t>
  </si>
  <si>
    <t>TCCGACTT</t>
  </si>
  <si>
    <t>P7177</t>
  </si>
  <si>
    <t>iTru5_110_D</t>
  </si>
  <si>
    <t>CAGGTAAG</t>
  </si>
  <si>
    <t>P5150</t>
  </si>
  <si>
    <t>GAAGACTG</t>
  </si>
  <si>
    <t>ATTTCGAG</t>
  </si>
  <si>
    <t>CAGTCTTC</t>
  </si>
  <si>
    <t>CTTCTGAC</t>
  </si>
  <si>
    <t>iTru5_110_E</t>
  </si>
  <si>
    <t>AGGTAGGA</t>
  </si>
  <si>
    <t>P7181</t>
  </si>
  <si>
    <t>AAGGAGAC</t>
  </si>
  <si>
    <t>TCCTACCT</t>
  </si>
  <si>
    <t>P5151</t>
  </si>
  <si>
    <t>TCCATCCT</t>
  </si>
  <si>
    <t>GTTGTGAG</t>
  </si>
  <si>
    <t>iTru5_110_F</t>
  </si>
  <si>
    <t>GCCAGAAT</t>
  </si>
  <si>
    <t>ATTCTGGC</t>
  </si>
  <si>
    <t>CGGTCTTA</t>
  </si>
  <si>
    <t>P7182</t>
  </si>
  <si>
    <t>P5156</t>
  </si>
  <si>
    <t>GTGGTTAC</t>
  </si>
  <si>
    <t>iTru5_110_G</t>
  </si>
  <si>
    <t>AGGTCTGT</t>
  </si>
  <si>
    <t>ACAGACCT</t>
  </si>
  <si>
    <t>TCCAGACA</t>
  </si>
  <si>
    <t>P7184</t>
  </si>
  <si>
    <t>ACCGTAAG</t>
  </si>
  <si>
    <t>P5161</t>
  </si>
  <si>
    <t>TGGATATG</t>
  </si>
  <si>
    <t>iTru5_110_H</t>
  </si>
  <si>
    <t>TCCAGCAA</t>
  </si>
  <si>
    <t>TTGCTGGA</t>
  </si>
  <si>
    <t>AGGTCGTT</t>
  </si>
  <si>
    <t>P7185</t>
  </si>
  <si>
    <t>TATGACGT</t>
  </si>
  <si>
    <t>P5163</t>
  </si>
  <si>
    <t>GATTAGCG</t>
  </si>
  <si>
    <t>P7186</t>
  </si>
  <si>
    <t>TTGGGTAC</t>
  </si>
  <si>
    <t>P5164</t>
  </si>
  <si>
    <t>GTTGGAAG</t>
  </si>
  <si>
    <t>iTru5_111_A</t>
  </si>
  <si>
    <t>AGGTGTTG</t>
  </si>
  <si>
    <t>CAACACCT</t>
  </si>
  <si>
    <t>TCCACAAC</t>
  </si>
  <si>
    <t>iTru5_111_B</t>
  </si>
  <si>
    <t>GCACACAA</t>
  </si>
  <si>
    <t>TTGTGTGC</t>
  </si>
  <si>
    <t>CGTGTGTT</t>
  </si>
  <si>
    <t>P7101</t>
  </si>
  <si>
    <t>TTCAATAG</t>
  </si>
  <si>
    <t>P5115</t>
  </si>
  <si>
    <t>TCGTGGGA</t>
  </si>
  <si>
    <t>iTru5_111_C</t>
  </si>
  <si>
    <t>AGGTTCCT</t>
  </si>
  <si>
    <t>AGGAACCT</t>
  </si>
  <si>
    <t>TCCAAGGA</t>
  </si>
  <si>
    <t>P7116</t>
  </si>
  <si>
    <t>GTTTGCTC</t>
  </si>
  <si>
    <t>P5132</t>
  </si>
  <si>
    <t>CTGTTGGT</t>
  </si>
  <si>
    <t>iTru5_111_D</t>
  </si>
  <si>
    <t>GCCACTTA</t>
  </si>
  <si>
    <t>TAAGTGGC</t>
  </si>
  <si>
    <t>CGGTGAAT</t>
  </si>
  <si>
    <t>iTru5_111_E</t>
  </si>
  <si>
    <t>P7187</t>
  </si>
  <si>
    <t>AGTACACG</t>
  </si>
  <si>
    <t>P5167</t>
  </si>
  <si>
    <t>ATACTGAC</t>
  </si>
  <si>
    <t>CGTGTACT</t>
  </si>
  <si>
    <t>TCATGTGC</t>
  </si>
  <si>
    <t>iTru5_111_F</t>
  </si>
  <si>
    <t>P7188</t>
  </si>
  <si>
    <t>CTAGGTTG</t>
  </si>
  <si>
    <t>P5168</t>
  </si>
  <si>
    <t>GCTCGAAT</t>
  </si>
  <si>
    <t>ATTCACCG</t>
  </si>
  <si>
    <t>iTru5_111_G</t>
  </si>
  <si>
    <t>P7190</t>
  </si>
  <si>
    <t>AGTATGCC</t>
  </si>
  <si>
    <t>P5171</t>
  </si>
  <si>
    <t>TACAGGTG</t>
  </si>
  <si>
    <t>GGCATACT</t>
  </si>
  <si>
    <t>TCATACGG</t>
  </si>
  <si>
    <t>iTru5_111_H</t>
  </si>
  <si>
    <t>P7191</t>
  </si>
  <si>
    <t>AGAACCAG</t>
  </si>
  <si>
    <t>P5172</t>
  </si>
  <si>
    <t>AGAGTCGG</t>
  </si>
  <si>
    <t>CTTAGGCA</t>
  </si>
  <si>
    <t>P7192</t>
  </si>
  <si>
    <t>ATTGGACA</t>
  </si>
  <si>
    <t>P5173</t>
  </si>
  <si>
    <t>iTru5_112_A</t>
  </si>
  <si>
    <t>AGTCTTGG</t>
  </si>
  <si>
    <t>CCAAGACT</t>
  </si>
  <si>
    <t>TCAGAACC</t>
  </si>
  <si>
    <t>P7385</t>
  </si>
  <si>
    <t>ACCCGTTG</t>
  </si>
  <si>
    <t>P5175</t>
  </si>
  <si>
    <t>CGAAGCTG</t>
  </si>
  <si>
    <t>iTru5_112_B</t>
  </si>
  <si>
    <t>CTTAGTGG</t>
  </si>
  <si>
    <t>P7105</t>
  </si>
  <si>
    <t>iTru5_112_C</t>
  </si>
  <si>
    <t>ACCGGAGT</t>
  </si>
  <si>
    <t>P5114</t>
  </si>
  <si>
    <t>TCACTGGA</t>
  </si>
  <si>
    <t>iTru5_112_D</t>
  </si>
  <si>
    <t>P7118</t>
  </si>
  <si>
    <t>CTTGACGA</t>
  </si>
  <si>
    <t>P5131</t>
  </si>
  <si>
    <t>AGGTAACG</t>
  </si>
  <si>
    <t>iTru5_112_E</t>
  </si>
  <si>
    <t>AGTGCATC</t>
  </si>
  <si>
    <t>P7998</t>
  </si>
  <si>
    <t>GCCACGAC</t>
  </si>
  <si>
    <t>P5178</t>
  </si>
  <si>
    <t>ACCCGAGG</t>
  </si>
  <si>
    <t>GATGCACT</t>
  </si>
  <si>
    <t>TCACGTAG</t>
  </si>
  <si>
    <t>iTru5_112_F</t>
  </si>
  <si>
    <t>GCAATGAG</t>
  </si>
  <si>
    <t>CTCATTGC</t>
  </si>
  <si>
    <t>CGTTACTC</t>
  </si>
  <si>
    <t>P7099</t>
  </si>
  <si>
    <t>P5179</t>
  </si>
  <si>
    <t>AGGTGCTA</t>
  </si>
  <si>
    <t>iTru5_112_G</t>
  </si>
  <si>
    <t>AGTTCGCA</t>
  </si>
  <si>
    <t>TGCGAACT</t>
  </si>
  <si>
    <t>TCAAGCGT</t>
  </si>
  <si>
    <t>P7100</t>
  </si>
  <si>
    <t>CACTAGAC</t>
  </si>
  <si>
    <t>P5180</t>
  </si>
  <si>
    <t>iTru5_112_H</t>
  </si>
  <si>
    <t>AGTCCTCA</t>
  </si>
  <si>
    <t>TACATCGG</t>
  </si>
  <si>
    <t>CCGATGTA</t>
  </si>
  <si>
    <t>ATGTAGCC</t>
  </si>
  <si>
    <t>P7102</t>
  </si>
  <si>
    <t>TTGCGTTA</t>
  </si>
  <si>
    <t>P5183</t>
  </si>
  <si>
    <t>iTru5_113_A</t>
  </si>
  <si>
    <t>TTCGGGAA</t>
  </si>
  <si>
    <t>TATTGCGG</t>
  </si>
  <si>
    <t>iTru5_113_B</t>
  </si>
  <si>
    <t>TCTGTCGT</t>
  </si>
  <si>
    <t>ACGACAGA</t>
  </si>
  <si>
    <t>AGACAGCA</t>
  </si>
  <si>
    <t>P7103</t>
  </si>
  <si>
    <t>CCTATGCA</t>
  </si>
  <si>
    <t>iTru5_113_C</t>
  </si>
  <si>
    <t>ATCGGAGA</t>
  </si>
  <si>
    <t>P5189</t>
  </si>
  <si>
    <t>TCTCCGAT</t>
  </si>
  <si>
    <t>TAGCCTCT</t>
  </si>
  <si>
    <t>iTru5_113_D</t>
  </si>
  <si>
    <t>GCGCATAT</t>
  </si>
  <si>
    <t>ATATGCGC</t>
  </si>
  <si>
    <t>CGCGTATA</t>
  </si>
  <si>
    <t>iTru5_113_E</t>
  </si>
  <si>
    <t>ATCGTCTC</t>
  </si>
  <si>
    <t>GAGACGAT</t>
  </si>
  <si>
    <t>TAGCAGAG</t>
  </si>
  <si>
    <t>P7104</t>
  </si>
  <si>
    <t>CAACCGAG</t>
  </si>
  <si>
    <t>iTru5_113_F</t>
  </si>
  <si>
    <t>P5997</t>
  </si>
  <si>
    <t>GCTACTCT</t>
  </si>
  <si>
    <t>CACAGGTA</t>
  </si>
  <si>
    <t>AGAGTAGC</t>
  </si>
  <si>
    <t>CGATGAGA</t>
  </si>
  <si>
    <t>iTru5_113_G</t>
  </si>
  <si>
    <t>ATCTCCTG</t>
  </si>
  <si>
    <t>CAGGAGAT</t>
  </si>
  <si>
    <t>TAGAGGAC</t>
  </si>
  <si>
    <t>iTru5_113_H</t>
  </si>
  <si>
    <t>P7106</t>
  </si>
  <si>
    <t>TGTTCGCC</t>
  </si>
  <si>
    <t>P5113</t>
  </si>
  <si>
    <t>CTCTCATG</t>
  </si>
  <si>
    <t>iTru5_114_A</t>
  </si>
  <si>
    <t>P7121</t>
  </si>
  <si>
    <t>ATGACAGG</t>
  </si>
  <si>
    <t>P5130</t>
  </si>
  <si>
    <t>CCTGTCAT</t>
  </si>
  <si>
    <t>TTGCGCGA</t>
  </si>
  <si>
    <t>TACTGTCC</t>
  </si>
  <si>
    <t>iTru5_114_B</t>
  </si>
  <si>
    <t>GAATGGCA</t>
  </si>
  <si>
    <t>TGCCATTC</t>
  </si>
  <si>
    <t>CTTACCGT</t>
  </si>
  <si>
    <t>P7107</t>
  </si>
  <si>
    <t>TCAGCGCC</t>
  </si>
  <si>
    <t>P5133</t>
  </si>
  <si>
    <t>AGGAACAT</t>
  </si>
  <si>
    <t>iTru5_114_C</t>
  </si>
  <si>
    <t>ATGCGCTT</t>
  </si>
  <si>
    <t>AAGCGCAT</t>
  </si>
  <si>
    <t>TACGCGAA</t>
  </si>
  <si>
    <t>P7108</t>
  </si>
  <si>
    <t>AGTCACAT</t>
  </si>
  <si>
    <t>P5141</t>
  </si>
  <si>
    <t>CCATAATG</t>
  </si>
  <si>
    <t>iTru5_114_D</t>
  </si>
  <si>
    <t>GAAGATCC</t>
  </si>
  <si>
    <t>GGATCTTC</t>
  </si>
  <si>
    <t>CTTCTAGG</t>
  </si>
  <si>
    <t>P7109</t>
  </si>
  <si>
    <t>CCTTTCAC</t>
  </si>
  <si>
    <t>iTru5_114_E</t>
  </si>
  <si>
    <t>P5142</t>
  </si>
  <si>
    <t>ATGGCGAT</t>
  </si>
  <si>
    <t>AAACAAGA</t>
  </si>
  <si>
    <t>ATCGCCAT</t>
  </si>
  <si>
    <t>TACCGCTA</t>
  </si>
  <si>
    <t>iTru5_114_F</t>
  </si>
  <si>
    <t>TACAGAGC</t>
  </si>
  <si>
    <t>GCTCTGTA</t>
  </si>
  <si>
    <t>P7111</t>
  </si>
  <si>
    <t>ATGTCTCG</t>
  </si>
  <si>
    <t>CTTTCCCT</t>
  </si>
  <si>
    <t>P5143</t>
  </si>
  <si>
    <t>AGTAAGCC</t>
  </si>
  <si>
    <t>iTru5_114_G</t>
  </si>
  <si>
    <t>ATGTGGAC</t>
  </si>
  <si>
    <t>GTCCACAT</t>
  </si>
  <si>
    <t>TACACCTG</t>
  </si>
  <si>
    <t>iTru5_114_H</t>
  </si>
  <si>
    <t>GACACAGT</t>
  </si>
  <si>
    <t>ACTGTGTC</t>
  </si>
  <si>
    <t>CTGTGTCA</t>
  </si>
  <si>
    <t>P7117</t>
  </si>
  <si>
    <t>GACAATTC</t>
  </si>
  <si>
    <t>P5146</t>
  </si>
  <si>
    <t>CATATCGT</t>
  </si>
  <si>
    <t>iTru5_115_A</t>
  </si>
  <si>
    <t>GTTGTGTC</t>
  </si>
  <si>
    <t>P7119</t>
  </si>
  <si>
    <t>ACACGACT</t>
  </si>
  <si>
    <t>P5152</t>
  </si>
  <si>
    <t>CTGCGGAT</t>
  </si>
  <si>
    <t>iTru5_115_B</t>
  </si>
  <si>
    <t>GTGTGTTC</t>
  </si>
  <si>
    <t>GAACACAC</t>
  </si>
  <si>
    <t>CACACAAG</t>
  </si>
  <si>
    <t>iTru5_115_C</t>
  </si>
  <si>
    <t>CAACCGTA</t>
  </si>
  <si>
    <t>TACGGTTG</t>
  </si>
  <si>
    <t>GTTGGCAT</t>
  </si>
  <si>
    <t>P7110</t>
  </si>
  <si>
    <t>CCTGTCAA</t>
  </si>
  <si>
    <t>P5112</t>
  </si>
  <si>
    <t>ACAGCCAT</t>
  </si>
  <si>
    <t>iTru5_115_D</t>
  </si>
  <si>
    <t>ATGCCAAC</t>
  </si>
  <si>
    <t>iTru5_115_E</t>
  </si>
  <si>
    <t>CAAGAAGC</t>
  </si>
  <si>
    <t>P7123</t>
  </si>
  <si>
    <t>GCTTCTTG</t>
  </si>
  <si>
    <t>CCATCCGC</t>
  </si>
  <si>
    <t>GTTCTTCG</t>
  </si>
  <si>
    <t>P5128</t>
  </si>
  <si>
    <t>iTru5_115_F</t>
  </si>
  <si>
    <t>GGTCGTAT</t>
  </si>
  <si>
    <t>ATACGACC</t>
  </si>
  <si>
    <t>CCAGCATA</t>
  </si>
  <si>
    <t>P7122</t>
  </si>
  <si>
    <t>GGTGTGAG</t>
  </si>
  <si>
    <t>P5153</t>
  </si>
  <si>
    <t>iTru5_115_G</t>
  </si>
  <si>
    <t>CAAGCCAA</t>
  </si>
  <si>
    <t>P7124</t>
  </si>
  <si>
    <t>CTTGCATA</t>
  </si>
  <si>
    <t>P5154</t>
  </si>
  <si>
    <t>iTru5_115_H</t>
  </si>
  <si>
    <t>TTGCTTGG</t>
  </si>
  <si>
    <t>CCAAGCAA</t>
  </si>
  <si>
    <t>AACGAACC</t>
  </si>
  <si>
    <t>P7125</t>
  </si>
  <si>
    <t>GCCAATCC</t>
  </si>
  <si>
    <t>P5155</t>
  </si>
  <si>
    <t>GATCGGAC</t>
  </si>
  <si>
    <t>iTru5_116_A</t>
  </si>
  <si>
    <t>CACCAGTT</t>
  </si>
  <si>
    <t>AACTGGTG</t>
  </si>
  <si>
    <t>GTGGTCAA</t>
  </si>
  <si>
    <t>iTru5_116_B</t>
  </si>
  <si>
    <t>CCAACTTG</t>
  </si>
  <si>
    <t>P7129</t>
  </si>
  <si>
    <t>iTru5_116_C</t>
  </si>
  <si>
    <t>ATGCCGGT</t>
  </si>
  <si>
    <t>P5157</t>
  </si>
  <si>
    <t>CACTTCAC</t>
  </si>
  <si>
    <t>TGGTCCTC</t>
  </si>
  <si>
    <t>GTGAAGTG</t>
  </si>
  <si>
    <t>iTru5_116_D</t>
  </si>
  <si>
    <t>GTGAATGG</t>
  </si>
  <si>
    <t>CCATTCAC</t>
  </si>
  <si>
    <t>CACTTACC</t>
  </si>
  <si>
    <t>P7137</t>
  </si>
  <si>
    <t>CATACCGT</t>
  </si>
  <si>
    <t>P5158</t>
  </si>
  <si>
    <t>TAAGAGCG</t>
  </si>
  <si>
    <t>iTru5_116_E</t>
  </si>
  <si>
    <t>CAGAACTG</t>
  </si>
  <si>
    <t>CAGTTCTG</t>
  </si>
  <si>
    <t>GTCTTGAC</t>
  </si>
  <si>
    <t>P7138</t>
  </si>
  <si>
    <t>ATCAGAGC</t>
  </si>
  <si>
    <t>P5159</t>
  </si>
  <si>
    <t>GAGCTCAG</t>
  </si>
  <si>
    <t>iTru5_116_F</t>
  </si>
  <si>
    <t>CAGCAATG</t>
  </si>
  <si>
    <t>P7112</t>
  </si>
  <si>
    <t>iTru5_116_G</t>
  </si>
  <si>
    <t>ATGGCTGT</t>
  </si>
  <si>
    <t>P5110</t>
  </si>
  <si>
    <t>CAGACGTT</t>
  </si>
  <si>
    <t>TTGACAGG</t>
  </si>
  <si>
    <t>AACGTCTG</t>
  </si>
  <si>
    <t>GTCTGCAA</t>
  </si>
  <si>
    <t>iTru5_116_H</t>
  </si>
  <si>
    <t>GTAGTACC</t>
  </si>
  <si>
    <t>GGTACTAC</t>
  </si>
  <si>
    <t>CATCATGG</t>
  </si>
  <si>
    <t>P7128</t>
  </si>
  <si>
    <t>P5123</t>
  </si>
  <si>
    <t>GCGGATGG</t>
  </si>
  <si>
    <t>CAGAGTGA</t>
  </si>
  <si>
    <t>TCACTCTG</t>
  </si>
  <si>
    <t>GTCTCACT</t>
  </si>
  <si>
    <t>P7139</t>
  </si>
  <si>
    <t>ACGAGGAG</t>
  </si>
  <si>
    <t>P5160</t>
  </si>
  <si>
    <t>AGTTTAGG</t>
  </si>
  <si>
    <t>iTru5_117_B</t>
  </si>
  <si>
    <t>GGCTCAAT</t>
  </si>
  <si>
    <t>ATTGAGCC</t>
  </si>
  <si>
    <t>CCGAGTTA</t>
  </si>
  <si>
    <t>iTru5_117_C</t>
  </si>
  <si>
    <t>CAGCTAGA</t>
  </si>
  <si>
    <t>TCTAGCTG</t>
  </si>
  <si>
    <t>GTCGATCT</t>
  </si>
  <si>
    <t>P7140</t>
  </si>
  <si>
    <t>TAATCTCG</t>
  </si>
  <si>
    <t>P5162</t>
  </si>
  <si>
    <t>GTGTGACA</t>
  </si>
  <si>
    <t>iTru5_117_D</t>
  </si>
  <si>
    <t>GTATCGAG</t>
  </si>
  <si>
    <t>CTCGATAC</t>
  </si>
  <si>
    <t>CATAGCTC</t>
  </si>
  <si>
    <t>iTru5_117_E</t>
  </si>
  <si>
    <t>P7144</t>
  </si>
  <si>
    <t>TACGGCAG</t>
  </si>
  <si>
    <t>P5165</t>
  </si>
  <si>
    <t>TTCATATC</t>
  </si>
  <si>
    <t>CTTACCTG</t>
  </si>
  <si>
    <t>GTCCATTC</t>
  </si>
  <si>
    <t>iTru5_117_F</t>
  </si>
  <si>
    <t>TTCACGGA</t>
  </si>
  <si>
    <t>TCCGTGAA</t>
  </si>
  <si>
    <t>AAGTGCCT</t>
  </si>
  <si>
    <t>P7145</t>
  </si>
  <si>
    <t>TGCCCATC</t>
  </si>
  <si>
    <t>P5166</t>
  </si>
  <si>
    <t>CCACACTT</t>
  </si>
  <si>
    <t>iTru5_117_G</t>
  </si>
  <si>
    <t>CATACTCG</t>
  </si>
  <si>
    <t>CGAGTATG</t>
  </si>
  <si>
    <t>GTATGAGC</t>
  </si>
  <si>
    <t>iTru5_117_H</t>
  </si>
  <si>
    <t>TTCGGCTA</t>
  </si>
  <si>
    <t>TAGCCGAA</t>
  </si>
  <si>
    <t>AAGCCGAT</t>
  </si>
  <si>
    <t>P7147</t>
  </si>
  <si>
    <t>CAGCAGTC</t>
  </si>
  <si>
    <t>P5174</t>
  </si>
  <si>
    <t>ACGCCAAC</t>
  </si>
  <si>
    <t>iTru5_118_A</t>
  </si>
  <si>
    <t>GGCTACAT</t>
  </si>
  <si>
    <t>iTru5_118_B</t>
  </si>
  <si>
    <t>TTCGCCAT</t>
  </si>
  <si>
    <t>P7149</t>
  </si>
  <si>
    <t>TACCGGCT</t>
  </si>
  <si>
    <t>ATGGCGAA</t>
  </si>
  <si>
    <t>P5176</t>
  </si>
  <si>
    <t>AAGCGGTA</t>
  </si>
  <si>
    <t>GCCAGCTA</t>
  </si>
  <si>
    <t>iTru5_118_C</t>
  </si>
  <si>
    <t>CCGTTATG</t>
  </si>
  <si>
    <t>CATAACGG</t>
  </si>
  <si>
    <t>GGCAATAC</t>
  </si>
  <si>
    <t>iTru5_118_D</t>
  </si>
  <si>
    <t>TGCAAGAC</t>
  </si>
  <si>
    <t>GTCTTGCA</t>
  </si>
  <si>
    <t>ACGTTCTG</t>
  </si>
  <si>
    <t>P7113</t>
  </si>
  <si>
    <t>P5106</t>
  </si>
  <si>
    <t>iTru5_118_E</t>
  </si>
  <si>
    <t>GGCGAACA</t>
  </si>
  <si>
    <t>CCTACCTA</t>
  </si>
  <si>
    <t>TAGGTAGG</t>
  </si>
  <si>
    <t>GGATGGAT</t>
  </si>
  <si>
    <t>iTru5_118_F</t>
  </si>
  <si>
    <t>AGCAAGCA</t>
  </si>
  <si>
    <t>P7130</t>
  </si>
  <si>
    <t>TCGCGCAA</t>
  </si>
  <si>
    <t>iTru5_118_G</t>
  </si>
  <si>
    <t>P5121</t>
  </si>
  <si>
    <t>TGCCTTGT</t>
  </si>
  <si>
    <t>GGACAGTT</t>
  </si>
  <si>
    <t>iTru5_118_H</t>
  </si>
  <si>
    <t>TGCACTTG</t>
  </si>
  <si>
    <t>CAAGTGCA</t>
  </si>
  <si>
    <t>ACGTGAAC</t>
  </si>
  <si>
    <t>P7150</t>
  </si>
  <si>
    <t>CTCGAAAT</t>
  </si>
  <si>
    <t>P5177</t>
  </si>
  <si>
    <t>iTru5_119_A</t>
  </si>
  <si>
    <t>GGAAGGTA</t>
  </si>
  <si>
    <t>iTru5_119_B</t>
  </si>
  <si>
    <t>P7151</t>
  </si>
  <si>
    <t>CAGGAACT</t>
  </si>
  <si>
    <t>CTCACAAC</t>
  </si>
  <si>
    <t>P5181</t>
  </si>
  <si>
    <t>GTCTCCTT</t>
  </si>
  <si>
    <t>iTru5_119_C</t>
  </si>
  <si>
    <t>CGAACAAC</t>
  </si>
  <si>
    <t>GTTGTTCG</t>
  </si>
  <si>
    <t>GCTTGTTG</t>
  </si>
  <si>
    <t>iTru5_119_D</t>
  </si>
  <si>
    <t>GAGTGTGT</t>
  </si>
  <si>
    <t>ACACACTC</t>
  </si>
  <si>
    <t>CTCACACA</t>
  </si>
  <si>
    <t>P7156</t>
  </si>
  <si>
    <t>GTAACCAC</t>
  </si>
  <si>
    <t>P5182</t>
  </si>
  <si>
    <t>iTru5_119_E</t>
  </si>
  <si>
    <t>CGAAGTCA</t>
  </si>
  <si>
    <t>TGACTTCG</t>
  </si>
  <si>
    <t>GCTTCAGT</t>
  </si>
  <si>
    <t>iTru5_119_F</t>
  </si>
  <si>
    <t>TCTTACGG</t>
  </si>
  <si>
    <t>P7161</t>
  </si>
  <si>
    <t>iTru5_119_G</t>
  </si>
  <si>
    <t>CATATCCA</t>
  </si>
  <si>
    <t>CGAGTTAG</t>
  </si>
  <si>
    <t>P5184</t>
  </si>
  <si>
    <t>CTTACGGT</t>
  </si>
  <si>
    <t>CTAACTCG</t>
  </si>
  <si>
    <t>GCTCAATC</t>
  </si>
  <si>
    <t>iTru5_119_H</t>
  </si>
  <si>
    <t>TAGAACGC</t>
  </si>
  <si>
    <t>GCGTTCTA</t>
  </si>
  <si>
    <t>ATCTTGCG</t>
  </si>
  <si>
    <t>P7163</t>
  </si>
  <si>
    <t>CGCTAATC</t>
  </si>
  <si>
    <t>P5185</t>
  </si>
  <si>
    <t>iTru5_120_A</t>
  </si>
  <si>
    <t>ACGTCATA</t>
  </si>
  <si>
    <t>CGGTAATC</t>
  </si>
  <si>
    <t>GATTACCG</t>
  </si>
  <si>
    <t>GCCATTAG</t>
  </si>
  <si>
    <t>iTru5_120_B</t>
  </si>
  <si>
    <t>TAACGTCG</t>
  </si>
  <si>
    <t>CGACGTTA</t>
  </si>
  <si>
    <t>ATTGCAGC</t>
  </si>
  <si>
    <t>P7164</t>
  </si>
  <si>
    <t>iTru5_120_C</t>
  </si>
  <si>
    <t>CTTCCAAC</t>
  </si>
  <si>
    <t>CGTAGATG</t>
  </si>
  <si>
    <t>P5186</t>
  </si>
  <si>
    <t>GTACCCAA</t>
  </si>
  <si>
    <t>CATCTACG</t>
  </si>
  <si>
    <t>GCATCTAC</t>
  </si>
  <si>
    <t>iTru5_120_D</t>
  </si>
  <si>
    <t>TAAGCGCA</t>
  </si>
  <si>
    <t>TGCGCTTA</t>
  </si>
  <si>
    <t>ATTCGCGT</t>
  </si>
  <si>
    <t>iTru5_120_E</t>
  </si>
  <si>
    <t>CGTCTTCA</t>
  </si>
  <si>
    <t>P7114</t>
  </si>
  <si>
    <t>TGAAGACG</t>
  </si>
  <si>
    <t>P5105</t>
  </si>
  <si>
    <t>GCAGAAGT</t>
  </si>
  <si>
    <t>ACTCCGGT</t>
  </si>
  <si>
    <t>iTru5_120_F</t>
  </si>
  <si>
    <t>AGGAGTAC</t>
  </si>
  <si>
    <t>iTru5_120_G</t>
  </si>
  <si>
    <t>P7131</t>
  </si>
  <si>
    <t>CTAACCTG</t>
  </si>
  <si>
    <t>P5118</t>
  </si>
  <si>
    <t>CAGGTTAG</t>
  </si>
  <si>
    <t>TCGTCAAG</t>
  </si>
  <si>
    <t>GATTGGAC</t>
  </si>
  <si>
    <t>iTru5_120_H</t>
  </si>
  <si>
    <t>GATTGTCC</t>
  </si>
  <si>
    <t>GGACAATC</t>
  </si>
  <si>
    <t>CTAACAGG</t>
  </si>
  <si>
    <t>P7167</t>
  </si>
  <si>
    <t>GTCAGTAT</t>
  </si>
  <si>
    <t>P5187</t>
  </si>
  <si>
    <t>iTru5_121_A</t>
  </si>
  <si>
    <t>CAACCTAG</t>
  </si>
  <si>
    <t>GATCCAAC</t>
  </si>
  <si>
    <t>iTru5_121_B</t>
  </si>
  <si>
    <t>GAGACCAA</t>
  </si>
  <si>
    <t>P7168</t>
  </si>
  <si>
    <t>ATTCGAGC</t>
  </si>
  <si>
    <t>P5188</t>
  </si>
  <si>
    <t>iTru5_121_C</t>
  </si>
  <si>
    <t>CTATGCCT</t>
  </si>
  <si>
    <t>AGGCATAG</t>
  </si>
  <si>
    <t>GATACGGA</t>
  </si>
  <si>
    <t>iTru5_121_D</t>
  </si>
  <si>
    <t>TAGCAGGA</t>
  </si>
  <si>
    <t>TCCTGCTA</t>
  </si>
  <si>
    <t>ATCGTCCT</t>
  </si>
  <si>
    <t>P7171</t>
  </si>
  <si>
    <t>iTru5_121_E</t>
  </si>
  <si>
    <t>CACCTGTA</t>
  </si>
  <si>
    <t>CTCAAGCT</t>
  </si>
  <si>
    <t>P5190</t>
  </si>
  <si>
    <t>AGCTTGAG</t>
  </si>
  <si>
    <t>GAGTTCGA</t>
  </si>
  <si>
    <t>iTru5_121_F</t>
  </si>
  <si>
    <t>GATGTCGA</t>
  </si>
  <si>
    <t>TCGACATC</t>
  </si>
  <si>
    <t>CTACAGCT</t>
  </si>
  <si>
    <t>iTru5_121_G</t>
  </si>
  <si>
    <t>CTCCTAGT</t>
  </si>
  <si>
    <t>ACTAGGAG</t>
  </si>
  <si>
    <t>P7172</t>
  </si>
  <si>
    <t>GAGGATCA</t>
  </si>
  <si>
    <t>CCGACTCT</t>
  </si>
  <si>
    <t>P5191</t>
  </si>
  <si>
    <t>CTGGTTCT</t>
  </si>
  <si>
    <t>iTru5_121_H</t>
  </si>
  <si>
    <t>GATGCTAC</t>
  </si>
  <si>
    <t>GTAGCATC</t>
  </si>
  <si>
    <t>CTACGATG</t>
  </si>
  <si>
    <t>iTru5_122_A</t>
  </si>
  <si>
    <t>CTCGGTAA</t>
  </si>
  <si>
    <t>P7173</t>
  </si>
  <si>
    <t>TTACCGAG</t>
  </si>
  <si>
    <t>P5192</t>
  </si>
  <si>
    <t>GAGCCATT</t>
  </si>
  <si>
    <t>TGTCCAAT</t>
  </si>
  <si>
    <t>iTru5_122_B</t>
  </si>
  <si>
    <t>GATCAAGG</t>
  </si>
  <si>
    <t>CCTTGATC</t>
  </si>
  <si>
    <t>CTAGTTCC</t>
  </si>
  <si>
    <t>iTru5_122_C</t>
  </si>
  <si>
    <t>CTGATGAG</t>
  </si>
  <si>
    <t>CTCATCAG</t>
  </si>
  <si>
    <t>P7175</t>
  </si>
  <si>
    <t>GACTACTC</t>
  </si>
  <si>
    <t>CAGCTTCG</t>
  </si>
  <si>
    <t>P5385</t>
  </si>
  <si>
    <t>CAACGGGT</t>
  </si>
  <si>
    <t>iTru5_122_D</t>
  </si>
  <si>
    <t>GACTACGA</t>
  </si>
  <si>
    <t>TCGTAGTC</t>
  </si>
  <si>
    <t>CTGATGCT</t>
  </si>
  <si>
    <t>iTru5_122_E</t>
  </si>
  <si>
    <t>CTGCCATA</t>
  </si>
  <si>
    <t>TATGGCAG</t>
  </si>
  <si>
    <t>P7115</t>
  </si>
  <si>
    <t>GACGGTAT</t>
  </si>
  <si>
    <t>TCCCACGA</t>
  </si>
  <si>
    <t>P5101</t>
  </si>
  <si>
    <t>CTATTGAA</t>
  </si>
  <si>
    <t>iTru5_122_F</t>
  </si>
  <si>
    <t>GAAGTGCT</t>
  </si>
  <si>
    <t>AGCACTTC</t>
  </si>
  <si>
    <t>CTTCACGA</t>
  </si>
  <si>
    <t>iTru5_122_G</t>
  </si>
  <si>
    <t>P7132</t>
  </si>
  <si>
    <t>ACCAACAG</t>
  </si>
  <si>
    <t>iTru5_122_H</t>
  </si>
  <si>
    <t>P5116</t>
  </si>
  <si>
    <t>GAGCAAAC</t>
  </si>
  <si>
    <t>CTTGCCAA</t>
  </si>
  <si>
    <t>iTru5_123_A</t>
  </si>
  <si>
    <t>P7178</t>
  </si>
  <si>
    <t>CTGTGGTA</t>
  </si>
  <si>
    <t>CCTCGGGT</t>
  </si>
  <si>
    <t>P5998</t>
  </si>
  <si>
    <t>TACCACAG</t>
  </si>
  <si>
    <t>GTCGTGGC</t>
  </si>
  <si>
    <t>GACACCAT</t>
  </si>
  <si>
    <t>iTru5_123_B</t>
  </si>
  <si>
    <t>GCAACCAT</t>
  </si>
  <si>
    <t>ATGGTTGC</t>
  </si>
  <si>
    <t>CGTTGGTA</t>
  </si>
  <si>
    <t>iTru5_123_C</t>
  </si>
  <si>
    <t>CTTCCTTC</t>
  </si>
  <si>
    <t>GAAGGAAG</t>
  </si>
  <si>
    <t>P7179</t>
  </si>
  <si>
    <t>TAGCACCT</t>
  </si>
  <si>
    <t>P5099</t>
  </si>
  <si>
    <t>GTTCCAGA</t>
  </si>
  <si>
    <t>iTru5_123_D</t>
  </si>
  <si>
    <t>CTGCAGTA</t>
  </si>
  <si>
    <t>iTru5_123_E</t>
  </si>
  <si>
    <t>GAACGATC</t>
  </si>
  <si>
    <t>P7180</t>
  </si>
  <si>
    <t>iTru5_123_F</t>
  </si>
  <si>
    <t>TCACTCGA</t>
  </si>
  <si>
    <t>TGAGGACT</t>
  </si>
  <si>
    <t>P5100</t>
  </si>
  <si>
    <t>TCGAGTGA</t>
  </si>
  <si>
    <t>GTCTAGTG</t>
  </si>
  <si>
    <t>AGTGAGCT</t>
  </si>
  <si>
    <t>iTru5_123_G</t>
  </si>
  <si>
    <t>GCTACAAC</t>
  </si>
  <si>
    <t>GTTGTAGC</t>
  </si>
  <si>
    <t>CGATGTTG</t>
  </si>
  <si>
    <t>iTru5_123_H</t>
  </si>
  <si>
    <t>CTCTTGTC</t>
  </si>
  <si>
    <t>P7183</t>
  </si>
  <si>
    <t>GACAAGAG</t>
  </si>
  <si>
    <t>TTCCCGAA</t>
  </si>
  <si>
    <t>GAGAACAG</t>
  </si>
  <si>
    <t>P5102</t>
  </si>
  <si>
    <t>TAACGCAA</t>
  </si>
  <si>
    <t>iTru5_124_A</t>
  </si>
  <si>
    <t>GTACGATC</t>
  </si>
  <si>
    <t>GATCGTAC</t>
  </si>
  <si>
    <t>CATGCTAG</t>
  </si>
  <si>
    <t>P7189</t>
  </si>
  <si>
    <t>iTru5_124_B</t>
  </si>
  <si>
    <t>GAGTCGAT</t>
  </si>
  <si>
    <t>P5103</t>
  </si>
  <si>
    <t>TGCATAGG</t>
  </si>
  <si>
    <t>TTCCTCTG</t>
  </si>
  <si>
    <t>iTru5_124_C</t>
  </si>
  <si>
    <t>GTCTCATC</t>
  </si>
  <si>
    <t>GATGAGAC</t>
  </si>
  <si>
    <t>CAGAGTAG</t>
  </si>
  <si>
    <t>iTru5_124_D</t>
  </si>
  <si>
    <t>AAGAGGCA</t>
  </si>
  <si>
    <t>P7997</t>
  </si>
  <si>
    <t>TGCCTCTT</t>
  </si>
  <si>
    <t>TACCTGTG</t>
  </si>
  <si>
    <t>TTCTCCGT</t>
  </si>
  <si>
    <t>P5104</t>
  </si>
  <si>
    <t>CTCGGTTG</t>
  </si>
  <si>
    <t>iTru5_124_E</t>
  </si>
  <si>
    <t>TTGCAGAC</t>
  </si>
  <si>
    <t>iTru5_124_F</t>
  </si>
  <si>
    <t>ACGCAGTA</t>
  </si>
  <si>
    <t>TACTGCGT</t>
  </si>
  <si>
    <t>TGCGTCAT</t>
  </si>
  <si>
    <t>iTru5_124_G</t>
  </si>
  <si>
    <t>CGAAGAAC</t>
  </si>
  <si>
    <t>iTru5_124_H</t>
  </si>
  <si>
    <t>AACGCCTT</t>
  </si>
  <si>
    <t>AAGGCGTT</t>
  </si>
  <si>
    <t>TTGCGGAA</t>
  </si>
  <si>
    <t>iTru7_101_01</t>
  </si>
  <si>
    <t>iTru7_101_02</t>
  </si>
  <si>
    <t>iTru7_101_03</t>
  </si>
  <si>
    <t>iTru7_101_04</t>
  </si>
  <si>
    <t>iTru7_101_05</t>
  </si>
  <si>
    <t>iTru7_101_06</t>
  </si>
  <si>
    <t>iTru7_101_07</t>
  </si>
  <si>
    <t>iTru7_101_08</t>
  </si>
  <si>
    <t>iTru7_101_09</t>
  </si>
  <si>
    <t>iTru7_101_10</t>
  </si>
  <si>
    <t>iTru7_101_11</t>
  </si>
  <si>
    <t>iTru7_101_12</t>
  </si>
  <si>
    <t>iTru7_102_01</t>
  </si>
  <si>
    <t>iTru7_102_02</t>
  </si>
  <si>
    <t>iTru7_102_03</t>
  </si>
  <si>
    <t>iTru7_102_04</t>
  </si>
  <si>
    <t>iTru7_102_05</t>
  </si>
  <si>
    <t>iTru7_102_06</t>
  </si>
  <si>
    <t>iTru7_102_07</t>
  </si>
  <si>
    <t>iTru7_102_08</t>
  </si>
  <si>
    <t>iTru7_102_09</t>
  </si>
  <si>
    <t>iTru7_102_10</t>
  </si>
  <si>
    <t>iTru7_102_11</t>
  </si>
  <si>
    <t>iTru7_102_12</t>
  </si>
  <si>
    <t>iTru7_103_01</t>
  </si>
  <si>
    <t>iTru7_103_02</t>
  </si>
  <si>
    <t>iTru7_103_03</t>
  </si>
  <si>
    <t>CGAGACTA</t>
  </si>
  <si>
    <t>iTru7_103_04</t>
  </si>
  <si>
    <t>iTru7_103_05</t>
  </si>
  <si>
    <t>iTru7_103_06</t>
  </si>
  <si>
    <t>iTru7_103_07</t>
  </si>
  <si>
    <t>iTru7_103_08</t>
  </si>
  <si>
    <t>iTru7_103_09</t>
  </si>
  <si>
    <t>iTru7_103_10</t>
  </si>
  <si>
    <t>iTru7_103_11</t>
  </si>
  <si>
    <t>iTru7_103_12</t>
  </si>
  <si>
    <t>iTru7_104_01</t>
  </si>
  <si>
    <t>iTru7_104_02</t>
  </si>
  <si>
    <t>CCTTGTAG</t>
  </si>
  <si>
    <t>iTru7_104_03</t>
  </si>
  <si>
    <t>iTru7_104_04</t>
  </si>
  <si>
    <t>iTru7_104_05</t>
  </si>
  <si>
    <t>iTru7_104_06</t>
  </si>
  <si>
    <t>iTru7_104_07</t>
  </si>
  <si>
    <t>iTru7_104_08</t>
  </si>
  <si>
    <t>iTru7_104_09</t>
  </si>
  <si>
    <t>iTru7_104_10</t>
  </si>
  <si>
    <t>iTru7_104_11</t>
  </si>
  <si>
    <t>iTru7_104_12</t>
  </si>
  <si>
    <t>iTru7_105_01</t>
  </si>
  <si>
    <t>iTru7_105_02</t>
  </si>
  <si>
    <t>iTru7_105_03</t>
  </si>
  <si>
    <t>iTru7_105_04</t>
  </si>
  <si>
    <t>iTru7_105_05</t>
  </si>
  <si>
    <t>iTru7_105_06</t>
  </si>
  <si>
    <t>iTru7_105_07</t>
  </si>
  <si>
    <t>iTru7_105_08</t>
  </si>
  <si>
    <t>iTru7_105_09</t>
  </si>
  <si>
    <t>iTru7_105_10</t>
  </si>
  <si>
    <t>iTru7_105_11</t>
  </si>
  <si>
    <t>iTru7_105_12</t>
  </si>
  <si>
    <t>iTru7_106_01</t>
  </si>
  <si>
    <t>iTru7_106_02</t>
  </si>
  <si>
    <t>iTru7_106_03</t>
  </si>
  <si>
    <t>iTru7_106_04</t>
  </si>
  <si>
    <t>iTru7_106_05</t>
  </si>
  <si>
    <t>iTru7_106_06</t>
  </si>
  <si>
    <t>iTru7_106_07</t>
  </si>
  <si>
    <t>iTru7_106_08</t>
  </si>
  <si>
    <t>iTru7_106_09</t>
  </si>
  <si>
    <t>CCAAGTTG</t>
  </si>
  <si>
    <t>iTru7_106_10</t>
  </si>
  <si>
    <t>iTru7_106_11</t>
  </si>
  <si>
    <t>iTru7_106_12</t>
  </si>
  <si>
    <t>iTru7_107_01</t>
  </si>
  <si>
    <t>iTru7_107_02</t>
  </si>
  <si>
    <t>iTru7_107_03</t>
  </si>
  <si>
    <t>GTCGAAGA</t>
  </si>
  <si>
    <t>iTru7_107_05</t>
  </si>
  <si>
    <t>GAGCTCAA</t>
  </si>
  <si>
    <t>iTru7_107_06</t>
  </si>
  <si>
    <t>iTru7_107_07</t>
  </si>
  <si>
    <t>CCGACTAT</t>
  </si>
  <si>
    <t>iTru7_107_08</t>
  </si>
  <si>
    <t>iTru7_107_09</t>
  </si>
  <si>
    <t>iTru7_107_10</t>
  </si>
  <si>
    <t>iTru7_107_11</t>
  </si>
  <si>
    <t>iTru7_107_12</t>
  </si>
  <si>
    <t>iTru7_108_01</t>
  </si>
  <si>
    <t>iTru7_108_02</t>
  </si>
  <si>
    <t>iTru7_108_03</t>
  </si>
  <si>
    <t>iTru7_108_04</t>
  </si>
  <si>
    <t>iTru7_108_05</t>
  </si>
  <si>
    <t>iTru7_108_06</t>
  </si>
  <si>
    <t>iTru7_108_07</t>
  </si>
  <si>
    <t>iTru7_108_08</t>
  </si>
  <si>
    <t>iTru7_108_09</t>
  </si>
  <si>
    <t>iTru7_108_10</t>
  </si>
  <si>
    <t>iTru7_108_11</t>
  </si>
  <si>
    <t>iTru7_108_12</t>
  </si>
  <si>
    <t>iTru7_109_01</t>
  </si>
  <si>
    <t>iTru7_109_02</t>
  </si>
  <si>
    <t>iTru7_109_03</t>
  </si>
  <si>
    <t>CATTCGGT</t>
  </si>
  <si>
    <t>iTru7_109_04</t>
  </si>
  <si>
    <t>PlateA_A01</t>
  </si>
  <si>
    <t>TGAACGTTGT</t>
  </si>
  <si>
    <t>ATGGCCGACT</t>
  </si>
  <si>
    <t>iTru7_109_05</t>
  </si>
  <si>
    <t>iTru7_109_06</t>
  </si>
  <si>
    <t>PlateA_B01</t>
  </si>
  <si>
    <t>i7QDIY-002</t>
  </si>
  <si>
    <t>ACCAGACTTG</t>
  </si>
  <si>
    <t>iTru7_109_07</t>
  </si>
  <si>
    <t>i5QDIY-002</t>
  </si>
  <si>
    <t>CGATGAGCAC</t>
  </si>
  <si>
    <t>iTru7_109_08</t>
  </si>
  <si>
    <t>iTru7_109_09</t>
  </si>
  <si>
    <t>PlateA_C01</t>
  </si>
  <si>
    <t>i7QDIY-003</t>
  </si>
  <si>
    <t>ACTGGCGAAC</t>
  </si>
  <si>
    <t>i5QDIY-003</t>
  </si>
  <si>
    <t>iTru7_109_10</t>
  </si>
  <si>
    <t>GATAAGTCGA</t>
  </si>
  <si>
    <t>iTru7_109_11</t>
  </si>
  <si>
    <t>iTru7_109_12</t>
  </si>
  <si>
    <t>PlateA_D01</t>
  </si>
  <si>
    <t>i7QDIY-004</t>
  </si>
  <si>
    <t>GCGTTAGGCA</t>
  </si>
  <si>
    <t>i5QDIY-004</t>
  </si>
  <si>
    <t>TCACGCCTTG</t>
  </si>
  <si>
    <t>iTru7_110_01</t>
  </si>
  <si>
    <t>ATGACCAG</t>
  </si>
  <si>
    <t>iTru7_110_02</t>
  </si>
  <si>
    <t>PlateA_E01</t>
  </si>
  <si>
    <t>i7QDIY-005</t>
  </si>
  <si>
    <t>TTATCGGCCT</t>
  </si>
  <si>
    <t>i5QDIY-005</t>
  </si>
  <si>
    <t>iTru7_110_03</t>
  </si>
  <si>
    <t>AGGAACACAA</t>
  </si>
  <si>
    <t>iTru7_110_04</t>
  </si>
  <si>
    <t>iTru7_110_05</t>
  </si>
  <si>
    <t>PlateA_F01</t>
  </si>
  <si>
    <t>iTru7_110_06</t>
  </si>
  <si>
    <t>i7QDIY-006</t>
  </si>
  <si>
    <t>GAGGTATAAG</t>
  </si>
  <si>
    <t>i5QDIY-006</t>
  </si>
  <si>
    <t>CTCAGTAGGC</t>
  </si>
  <si>
    <t>iTru7_110_07</t>
  </si>
  <si>
    <t>iTru7_110_08</t>
  </si>
  <si>
    <t>PlateA_G01</t>
  </si>
  <si>
    <t>iTru7_110_09</t>
  </si>
  <si>
    <t>i7QDIY-007</t>
  </si>
  <si>
    <t>TCAAGGATTC</t>
  </si>
  <si>
    <t>i5QDIY-007</t>
  </si>
  <si>
    <t>GAAGTGCCTG</t>
  </si>
  <si>
    <t>iTru7_110_10</t>
  </si>
  <si>
    <t>iTru7_110_11</t>
  </si>
  <si>
    <t>iTru7_110_12</t>
  </si>
  <si>
    <t>iTru7_111_01</t>
  </si>
  <si>
    <t>PlateA_H01</t>
  </si>
  <si>
    <t>iTru7_111_02</t>
  </si>
  <si>
    <t>i7QDIY-008</t>
  </si>
  <si>
    <t>CGAACCGAGA</t>
  </si>
  <si>
    <t>i5QDIY-008</t>
  </si>
  <si>
    <t>TCTCTCGCCT</t>
  </si>
  <si>
    <t>iTru7_111_03</t>
  </si>
  <si>
    <t>iTru7_111_04</t>
  </si>
  <si>
    <t>PlateA_A02</t>
  </si>
  <si>
    <t>iTru7_111_05</t>
  </si>
  <si>
    <t>i7QDIY-009</t>
  </si>
  <si>
    <t>GAGCCAAGTT</t>
  </si>
  <si>
    <t>i5QDIY-009</t>
  </si>
  <si>
    <t>AGGCACCTTC</t>
  </si>
  <si>
    <t>iTru7_111_06</t>
  </si>
  <si>
    <t>iTru7_111_07</t>
  </si>
  <si>
    <t>iTru7_111_08</t>
  </si>
  <si>
    <t>PlateA_B02</t>
  </si>
  <si>
    <t>i7QDIY-010</t>
  </si>
  <si>
    <t>AAGGCCGTAG</t>
  </si>
  <si>
    <t>i5QDIY-010</t>
  </si>
  <si>
    <t>iTru7_111_09</t>
  </si>
  <si>
    <t>CTGTTGGTAA</t>
  </si>
  <si>
    <t>iTru7_111_10</t>
  </si>
  <si>
    <t>iTru7_111_11</t>
  </si>
  <si>
    <t>PlateA_C02</t>
  </si>
  <si>
    <t>iTru7_111_12</t>
  </si>
  <si>
    <t>i7QDIY-011</t>
  </si>
  <si>
    <t>TTAGAGAAGC</t>
  </si>
  <si>
    <t>i5QDIY-011</t>
  </si>
  <si>
    <t>GCTGGTACCT</t>
  </si>
  <si>
    <t>iTru7_112_01</t>
  </si>
  <si>
    <t>iTru7_112_02</t>
  </si>
  <si>
    <t>PlateA_D02</t>
  </si>
  <si>
    <t>i7QDIY-012</t>
  </si>
  <si>
    <t>TCTAAGACCA</t>
  </si>
  <si>
    <t>i5QDIY-012</t>
  </si>
  <si>
    <t>iTru7_112_03</t>
  </si>
  <si>
    <t>TAAGGAGCGG</t>
  </si>
  <si>
    <t>iTru7_112_04</t>
  </si>
  <si>
    <t>iTru7_112_05</t>
  </si>
  <si>
    <t>PlateA_E02</t>
  </si>
  <si>
    <t>iTru7_112_06</t>
  </si>
  <si>
    <t>i7QDIY-013</t>
  </si>
  <si>
    <t>TGTAACCACT</t>
  </si>
  <si>
    <t>i5QDIY-013</t>
  </si>
  <si>
    <t>AATCGCTCCA</t>
  </si>
  <si>
    <t>iTru7_112_07</t>
  </si>
  <si>
    <t>iTru7_112_08</t>
  </si>
  <si>
    <t>iTru7_112_09</t>
  </si>
  <si>
    <t>PlateA_F02</t>
  </si>
  <si>
    <t>i7QDIY-014</t>
  </si>
  <si>
    <t>CCGACACAAG</t>
  </si>
  <si>
    <t>i5QDIY-014</t>
  </si>
  <si>
    <t>CTCCTAATTG</t>
  </si>
  <si>
    <t>iTru7_112_10</t>
  </si>
  <si>
    <t>iTru7_112_11</t>
  </si>
  <si>
    <t>iTru7_112_12</t>
  </si>
  <si>
    <t>PlateA_G02</t>
  </si>
  <si>
    <t>i7QDIY-015</t>
  </si>
  <si>
    <t>CTCTGATGGC</t>
  </si>
  <si>
    <t>i5QDIY-015</t>
  </si>
  <si>
    <t>GCCTCATAAT</t>
  </si>
  <si>
    <t>iTru7_113_01</t>
  </si>
  <si>
    <t>iTru7_113_02</t>
  </si>
  <si>
    <t>PlateA_H02</t>
  </si>
  <si>
    <t>i7QDIY-016</t>
  </si>
  <si>
    <t>iTru7_113_03</t>
  </si>
  <si>
    <t>CGGCCTGTTA</t>
  </si>
  <si>
    <t>CTACTTGG</t>
  </si>
  <si>
    <t>i5QDIY-016</t>
  </si>
  <si>
    <t>TGTATTGAGC</t>
  </si>
  <si>
    <t>iTru7_113_04</t>
  </si>
  <si>
    <t>iTru7_113_05</t>
  </si>
  <si>
    <t>iTru7_113_06</t>
  </si>
  <si>
    <t>PlateA_A03</t>
  </si>
  <si>
    <t>i7QDIY-017</t>
  </si>
  <si>
    <t>TGCATAGCTT</t>
  </si>
  <si>
    <t>i5QDIY-017</t>
  </si>
  <si>
    <t>iTru7_113_07</t>
  </si>
  <si>
    <t>AGCCATAACA</t>
  </si>
  <si>
    <t>iTru7_113_08</t>
  </si>
  <si>
    <t>iTru7_113_09</t>
  </si>
  <si>
    <t>iTru7_113_10</t>
  </si>
  <si>
    <t>PlateA_B03</t>
  </si>
  <si>
    <t>i7QDIY-018</t>
  </si>
  <si>
    <t>AACCTTCTCG</t>
  </si>
  <si>
    <t>i5QDIY-018</t>
  </si>
  <si>
    <t>CCACAAGTGG</t>
  </si>
  <si>
    <t>iTru7_113_11</t>
  </si>
  <si>
    <t>iTru7_113_12</t>
  </si>
  <si>
    <t>PlateA_C03</t>
  </si>
  <si>
    <t>i7QDIY-019</t>
  </si>
  <si>
    <t>iTru7_114_01</t>
  </si>
  <si>
    <t>AAGAGATCAC</t>
  </si>
  <si>
    <t>i5QDIY-019</t>
  </si>
  <si>
    <t>GTTATCACAC</t>
  </si>
  <si>
    <t>iTru7_114_02</t>
  </si>
  <si>
    <t>iTru7_114_03</t>
  </si>
  <si>
    <t>iTru7_114_04</t>
  </si>
  <si>
    <t>PlateA_D03</t>
  </si>
  <si>
    <t>i7QDIY-020</t>
  </si>
  <si>
    <t>GCCTGAAGGA</t>
  </si>
  <si>
    <t>i5QDIY-020</t>
  </si>
  <si>
    <t>iTru7_114_05</t>
  </si>
  <si>
    <t>TACCGTTCTT</t>
  </si>
  <si>
    <t>iTru7_114_06</t>
  </si>
  <si>
    <t>iTru7_114_07</t>
  </si>
  <si>
    <t>PlateA_E03</t>
  </si>
  <si>
    <t>i7QDIY-021</t>
  </si>
  <si>
    <t>ATTGTGCCTT</t>
  </si>
  <si>
    <t>i5QDIY-021</t>
  </si>
  <si>
    <t>AGGCGTTAGG</t>
  </si>
  <si>
    <t>iTru7_114_08</t>
  </si>
  <si>
    <t>iTru7_114_09</t>
  </si>
  <si>
    <t>iTru7_114_10</t>
  </si>
  <si>
    <t>PlateA_F03</t>
  </si>
  <si>
    <t>i7QDIY-022</t>
  </si>
  <si>
    <t>TCCTCTACCG</t>
  </si>
  <si>
    <t>i5QDIY-022</t>
  </si>
  <si>
    <t>CCGTAACGTC</t>
  </si>
  <si>
    <t>iTru7_114_11</t>
  </si>
  <si>
    <t>iTru7_114_12</t>
  </si>
  <si>
    <t>PlateA_G03</t>
  </si>
  <si>
    <t>i7QDIY-023</t>
  </si>
  <si>
    <t>TACCATGAAC</t>
  </si>
  <si>
    <t>i5QDIY-023</t>
  </si>
  <si>
    <t>GTAATAGCCA</t>
  </si>
  <si>
    <t>PlateA_H03</t>
  </si>
  <si>
    <t>i7QDIY-024</t>
  </si>
  <si>
    <t>CATTGGCAGA</t>
  </si>
  <si>
    <t>i5QDIY-024</t>
  </si>
  <si>
    <t>TAGCGCCGAT</t>
  </si>
  <si>
    <t>The sets below (sets 201-210) are tags that are NOT compatible with Illumina Indexes and were NOT included in the original synthesis (sets 01-13).</t>
  </si>
  <si>
    <t>PlateA_A04</t>
  </si>
  <si>
    <t>i7QDIY-025</t>
  </si>
  <si>
    <t>CACTGCTATT</t>
  </si>
  <si>
    <t>i5QDIY-025</t>
  </si>
  <si>
    <t>CATTCTTGGA</t>
  </si>
  <si>
    <t>iTru7_201_01</t>
  </si>
  <si>
    <t>CTTGGATG</t>
  </si>
  <si>
    <t>iTru7_201_02</t>
  </si>
  <si>
    <t>CAGTTGGA</t>
  </si>
  <si>
    <t>PlateA_B04</t>
  </si>
  <si>
    <t>i7QDIY-026</t>
  </si>
  <si>
    <t>AATGGTAGGT</t>
  </si>
  <si>
    <t>i5QDIY-026</t>
  </si>
  <si>
    <t>ATGCAAGGTT</t>
  </si>
  <si>
    <t>iTru7_201_03</t>
  </si>
  <si>
    <t>iTru7_201_04</t>
  </si>
  <si>
    <t>iTru7_201_05</t>
  </si>
  <si>
    <t>PlateA_C04</t>
  </si>
  <si>
    <t>i7QDIY-027</t>
  </si>
  <si>
    <t>GATACCTATG</t>
  </si>
  <si>
    <t>iTru7_201_06</t>
  </si>
  <si>
    <t>i5QDIY-027</t>
  </si>
  <si>
    <t>CGCCAGACAA</t>
  </si>
  <si>
    <t>iTru7_201_07</t>
  </si>
  <si>
    <t>TCATGGTG</t>
  </si>
  <si>
    <t>iTru7_201_08</t>
  </si>
  <si>
    <t>PlateA_D04</t>
  </si>
  <si>
    <t>i7QDIY-028</t>
  </si>
  <si>
    <t>iTru7_201_09</t>
  </si>
  <si>
    <t>CACTAGGTAC</t>
  </si>
  <si>
    <t>i5QDIY-028</t>
  </si>
  <si>
    <t>GAAGGTTGGC</t>
  </si>
  <si>
    <t>iTru7_201_10</t>
  </si>
  <si>
    <t>iTru7_201_11</t>
  </si>
  <si>
    <t>iTru7_201_12</t>
  </si>
  <si>
    <t>PlateA_E04</t>
  </si>
  <si>
    <t>i7QDIY-029</t>
  </si>
  <si>
    <t>AGCTCGTTCA</t>
  </si>
  <si>
    <t>i5QDIY-029</t>
  </si>
  <si>
    <t>TCGCATCACG</t>
  </si>
  <si>
    <t>iTru7_202_01</t>
  </si>
  <si>
    <t>PlateA_F04</t>
  </si>
  <si>
    <t>iTru7_202_02</t>
  </si>
  <si>
    <t>i7QDIY-030</t>
  </si>
  <si>
    <t>TTCCAAGG</t>
  </si>
  <si>
    <t>TGTCAGTCTT</t>
  </si>
  <si>
    <t>i5QDIY-030</t>
  </si>
  <si>
    <t>CCGGTCATGA</t>
  </si>
  <si>
    <t>iTru7_202_03</t>
  </si>
  <si>
    <t>iTru7_202_04</t>
  </si>
  <si>
    <t>PlateA_G04</t>
  </si>
  <si>
    <t>iTru7_202_05</t>
  </si>
  <si>
    <t>i7QDIY-031</t>
  </si>
  <si>
    <t>GATGTGTG</t>
  </si>
  <si>
    <t>GATGAACAGT</t>
  </si>
  <si>
    <t>i5QDIY-031</t>
  </si>
  <si>
    <t>ATTCACAAGC</t>
  </si>
  <si>
    <t>iTru7_202_06</t>
  </si>
  <si>
    <t>ACTCTCGA</t>
  </si>
  <si>
    <t>iTru7_202_07</t>
  </si>
  <si>
    <t>GAGTCTCT</t>
  </si>
  <si>
    <t>iTru7_202_08</t>
  </si>
  <si>
    <t>PlateA_H04</t>
  </si>
  <si>
    <t>i7QDIY-032</t>
  </si>
  <si>
    <t>ACAATCGGCG</t>
  </si>
  <si>
    <t>i5QDIY-032</t>
  </si>
  <si>
    <t>CAACCTGTAA</t>
  </si>
  <si>
    <t>iTru7_202_09</t>
  </si>
  <si>
    <t>iTru7_202_10</t>
  </si>
  <si>
    <t>iTru7_202_11</t>
  </si>
  <si>
    <t>PlateA_A05</t>
  </si>
  <si>
    <t>i7QDIY-033</t>
  </si>
  <si>
    <t>GATTGAGTTC</t>
  </si>
  <si>
    <t>i5QDIY-033</t>
  </si>
  <si>
    <t>GCCAGTCGTT</t>
  </si>
  <si>
    <t>iTru7_202_12</t>
  </si>
  <si>
    <t>iTru7_203_01</t>
  </si>
  <si>
    <t>PlateA_B05</t>
  </si>
  <si>
    <t>i7QDIY-034</t>
  </si>
  <si>
    <t>GTAATGCCAA</t>
  </si>
  <si>
    <t>i5QDIY-034</t>
  </si>
  <si>
    <t>TGCCTTGTCG</t>
  </si>
  <si>
    <t>iTru7_203_02</t>
  </si>
  <si>
    <t>iTru7_203_03</t>
  </si>
  <si>
    <t>iTru7_203_04</t>
  </si>
  <si>
    <t>CGTTGAGT</t>
  </si>
  <si>
    <t>PlateA_C05</t>
  </si>
  <si>
    <t>i7QDIY-035</t>
  </si>
  <si>
    <t>TCGTTGCGCT</t>
  </si>
  <si>
    <t>i5QDIY-035</t>
  </si>
  <si>
    <t>iTru7_203_05</t>
  </si>
  <si>
    <t>CTATCCGCTG</t>
  </si>
  <si>
    <t>iTru7_203_06</t>
  </si>
  <si>
    <t>iTru7_203_07</t>
  </si>
  <si>
    <t>PlateA_D05</t>
  </si>
  <si>
    <t>i7QDIY-036</t>
  </si>
  <si>
    <t>AGGTGAGTAT</t>
  </si>
  <si>
    <t>i5QDIY-036</t>
  </si>
  <si>
    <t>iTru7_203_08</t>
  </si>
  <si>
    <t>AATGCCGGAA</t>
  </si>
  <si>
    <t>iTru7_203_09</t>
  </si>
  <si>
    <t>iTru7_203_10</t>
  </si>
  <si>
    <t>iTru7_203_11</t>
  </si>
  <si>
    <t>PlateA_E05</t>
  </si>
  <si>
    <t>i7QDIY-037</t>
  </si>
  <si>
    <t>TCGATAATGG</t>
  </si>
  <si>
    <t>i5QDIY-037</t>
  </si>
  <si>
    <t>iTru7_203_12</t>
  </si>
  <si>
    <t>CGGTTATCCG</t>
  </si>
  <si>
    <t>iTru7_204_01</t>
  </si>
  <si>
    <t>iTru7_204_02</t>
  </si>
  <si>
    <t>PlateA_F05</t>
  </si>
  <si>
    <t>i7QDIY-038</t>
  </si>
  <si>
    <t>GCGTCTCTTC</t>
  </si>
  <si>
    <t>i5QDIY-038</t>
  </si>
  <si>
    <t>iTru7_204_03</t>
  </si>
  <si>
    <t>GCGGAAGAGT</t>
  </si>
  <si>
    <t>iTru7_204_04</t>
  </si>
  <si>
    <t>iTru7_204_05</t>
  </si>
  <si>
    <t>ACCATGTG</t>
  </si>
  <si>
    <t>PlateA_G05</t>
  </si>
  <si>
    <t>i7QDIY-039</t>
  </si>
  <si>
    <t>GTCTCCTGCA</t>
  </si>
  <si>
    <t>i5QDIY-039</t>
  </si>
  <si>
    <t>iTru7_204_06</t>
  </si>
  <si>
    <t>TTGGTTAGTC</t>
  </si>
  <si>
    <t>CAACGGAT</t>
  </si>
  <si>
    <t>iTru7_204_07</t>
  </si>
  <si>
    <t>iTru7_204_08</t>
  </si>
  <si>
    <t>PlateA_H05</t>
  </si>
  <si>
    <t>i7QDIY-040</t>
  </si>
  <si>
    <t>GAGCTTCATT</t>
  </si>
  <si>
    <t>i5QDIY-040</t>
  </si>
  <si>
    <t>TTCAGTGTGA</t>
  </si>
  <si>
    <t>iTru7_204_09</t>
  </si>
  <si>
    <t>iTru7_204_10</t>
  </si>
  <si>
    <t>iTru7_204_11</t>
  </si>
  <si>
    <t>PlateA_A06</t>
  </si>
  <si>
    <t>i7QDIY-041</t>
  </si>
  <si>
    <t>AGGCCTACAT</t>
  </si>
  <si>
    <t>i5QDIY-041</t>
  </si>
  <si>
    <t>iTru7_204_12</t>
  </si>
  <si>
    <t>AGAATTCTGG</t>
  </si>
  <si>
    <t>iTru7_205_01</t>
  </si>
  <si>
    <t>iTru7_205_02</t>
  </si>
  <si>
    <t>PlateA_B06</t>
  </si>
  <si>
    <t>i7QDIY-042</t>
  </si>
  <si>
    <t>TGTGGAACCG</t>
  </si>
  <si>
    <t>i5QDIY-042</t>
  </si>
  <si>
    <t>CATTGACTCT</t>
  </si>
  <si>
    <t>iTru7_205_03</t>
  </si>
  <si>
    <t>iTru7_205_04</t>
  </si>
  <si>
    <t>iTru7_205_05</t>
  </si>
  <si>
    <t>PlateA_C06</t>
  </si>
  <si>
    <t>i7QDIY-043</t>
  </si>
  <si>
    <t>CGTATTAAGC</t>
  </si>
  <si>
    <t>i5QDIY-043</t>
  </si>
  <si>
    <t>iTru7_205_06</t>
  </si>
  <si>
    <t>GCGGCTTCAA</t>
  </si>
  <si>
    <t>iTru7_205_07</t>
  </si>
  <si>
    <t>GAAGTTGG</t>
  </si>
  <si>
    <t>iTru7_205_08</t>
  </si>
  <si>
    <t>AGCCAAGT</t>
  </si>
  <si>
    <t>PlateA_D06</t>
  </si>
  <si>
    <t>i7QDIY-044</t>
  </si>
  <si>
    <t>iTru7_205_09</t>
  </si>
  <si>
    <t>CCAGTGGTTA</t>
  </si>
  <si>
    <t>i5QDIY-044</t>
  </si>
  <si>
    <t>TTATGGTCTC</t>
  </si>
  <si>
    <t>iTru7_205_10</t>
  </si>
  <si>
    <t>CACCTGTT</t>
  </si>
  <si>
    <t>iTru7_205_11</t>
  </si>
  <si>
    <t>ATCCGGTA</t>
  </si>
  <si>
    <t>iTru7_205_12</t>
  </si>
  <si>
    <t>ATCTGTCC</t>
  </si>
  <si>
    <t>PlateA_E06</t>
  </si>
  <si>
    <t>i7QDIY-045</t>
  </si>
  <si>
    <t>GCGTTCGAGT</t>
  </si>
  <si>
    <t>i5QDIY-045</t>
  </si>
  <si>
    <t>CGTAACCAGG</t>
  </si>
  <si>
    <t>iTru7_206_01</t>
  </si>
  <si>
    <t>iTru7_206_02</t>
  </si>
  <si>
    <t>PlateA_F06</t>
  </si>
  <si>
    <t>iTru7_206_03</t>
  </si>
  <si>
    <t>i7QDIY-046</t>
  </si>
  <si>
    <t>GGTAGTGT</t>
  </si>
  <si>
    <t>CCTTCCGGTT</t>
  </si>
  <si>
    <t>i5QDIY-046</t>
  </si>
  <si>
    <t>AGCTCAGATA</t>
  </si>
  <si>
    <t>iTru7_206_04</t>
  </si>
  <si>
    <t>iTru7_206_05</t>
  </si>
  <si>
    <t>PlateA_G06</t>
  </si>
  <si>
    <t>i7QDIY-047</t>
  </si>
  <si>
    <t>iTru7_206_06</t>
  </si>
  <si>
    <t>CACAAGACGG</t>
  </si>
  <si>
    <t>AACGACGT</t>
  </si>
  <si>
    <t>i5QDIY-047</t>
  </si>
  <si>
    <t>CCGGTGTTAC</t>
  </si>
  <si>
    <t>iTru7_206_07</t>
  </si>
  <si>
    <t>iTru7_206_08</t>
  </si>
  <si>
    <t>PlateA_H06</t>
  </si>
  <si>
    <t>i7QDIY-048</t>
  </si>
  <si>
    <t>GCTTACACAC</t>
  </si>
  <si>
    <t>i5QDIY-048</t>
  </si>
  <si>
    <t>GACCTAACCT</t>
  </si>
  <si>
    <t>iTru7_206_09</t>
  </si>
  <si>
    <t>CACTGACA</t>
  </si>
  <si>
    <t>iTru7_206_10</t>
  </si>
  <si>
    <t>PlateA_A07</t>
  </si>
  <si>
    <t>i7QDIY-049</t>
  </si>
  <si>
    <t>AGGATGTCCA</t>
  </si>
  <si>
    <t>i5QDIY-049</t>
  </si>
  <si>
    <t>TTGTAGAAGG</t>
  </si>
  <si>
    <t>iTru7_206_11</t>
  </si>
  <si>
    <t>PlateA_B07</t>
  </si>
  <si>
    <t>i7QDIY-050</t>
  </si>
  <si>
    <t>CACCTTATGT</t>
  </si>
  <si>
    <t>i5QDIY-050</t>
  </si>
  <si>
    <t>CCTAGCACTA</t>
  </si>
  <si>
    <t>GTCACTGT</t>
  </si>
  <si>
    <t>PlateA_C07</t>
  </si>
  <si>
    <t>iTru7_206_12</t>
  </si>
  <si>
    <t>i7QDIY-051</t>
  </si>
  <si>
    <t>AAGCGGCTGT</t>
  </si>
  <si>
    <t>i5QDIY-051</t>
  </si>
  <si>
    <t>ATCGTGTTCT</t>
  </si>
  <si>
    <t>iTru7_207_01</t>
  </si>
  <si>
    <t>PlateA_D07</t>
  </si>
  <si>
    <t>i7QDIY-052</t>
  </si>
  <si>
    <t>TTCCTGTGAG</t>
  </si>
  <si>
    <t>i5QDIY-052</t>
  </si>
  <si>
    <t>CCAACTTATC</t>
  </si>
  <si>
    <t>iTru7_207_02</t>
  </si>
  <si>
    <t>TATTCCGG</t>
  </si>
  <si>
    <t>iTru7_207_03</t>
  </si>
  <si>
    <t>PlateA_E07</t>
  </si>
  <si>
    <t>iTru7_207_04</t>
  </si>
  <si>
    <t>i7QDIY-053</t>
  </si>
  <si>
    <t>GTCTAGGT</t>
  </si>
  <si>
    <t>AGTACAGTTC</t>
  </si>
  <si>
    <t>i5QDIY-053</t>
  </si>
  <si>
    <t>GAAGCCAAGG</t>
  </si>
  <si>
    <t>iTru7_207_05</t>
  </si>
  <si>
    <t>iTru7_207_06</t>
  </si>
  <si>
    <t>PlateA_F07</t>
  </si>
  <si>
    <t>i7QDIY-054</t>
  </si>
  <si>
    <t>TACAGCCTCA</t>
  </si>
  <si>
    <t>i5QDIY-054</t>
  </si>
  <si>
    <t>iTru7_207_07</t>
  </si>
  <si>
    <t>TGGAGTTCAA</t>
  </si>
  <si>
    <t>iTru7_207_08</t>
  </si>
  <si>
    <t>TGCTTGGT</t>
  </si>
  <si>
    <t>iTru7_207_09</t>
  </si>
  <si>
    <t>PlateA_G07</t>
  </si>
  <si>
    <t>i7QDIY-055</t>
  </si>
  <si>
    <t>GTTCTATTGG</t>
  </si>
  <si>
    <t>i5QDIY-055</t>
  </si>
  <si>
    <t>CTTCAATCCT</t>
  </si>
  <si>
    <t>iTru7_207_10</t>
  </si>
  <si>
    <t>CCACTTCT</t>
  </si>
  <si>
    <t>iTru7_207_11</t>
  </si>
  <si>
    <t>iTru7_207_12</t>
  </si>
  <si>
    <t>PlateA_H07</t>
  </si>
  <si>
    <t>i7QDIY-056</t>
  </si>
  <si>
    <t>ATATACCGGT</t>
  </si>
  <si>
    <t>i5QDIY-056</t>
  </si>
  <si>
    <t>ATCTTGCGTG</t>
  </si>
  <si>
    <t>iTru7_208_01</t>
  </si>
  <si>
    <t>iTru7_208_02</t>
  </si>
  <si>
    <t>PlateA_A08</t>
  </si>
  <si>
    <t>iTru7_208_03</t>
  </si>
  <si>
    <t>i7QDIY-057</t>
  </si>
  <si>
    <t>CCTCGGAATG</t>
  </si>
  <si>
    <t>i5QDIY-057</t>
  </si>
  <si>
    <t>CGTCTAAGGT</t>
  </si>
  <si>
    <t>iTru7_208_04</t>
  </si>
  <si>
    <t>iTru7_208_05</t>
  </si>
  <si>
    <t>TCCGAGTT</t>
  </si>
  <si>
    <t>PlateA_B08</t>
  </si>
  <si>
    <t>i7QDIY-058</t>
  </si>
  <si>
    <t>iTru7_208_06</t>
  </si>
  <si>
    <t>GTTCTGGAAC</t>
  </si>
  <si>
    <t>ACCTAAGG</t>
  </si>
  <si>
    <t>i5QDIY-058</t>
  </si>
  <si>
    <t>GAGGTGAACA</t>
  </si>
  <si>
    <t>iTru7_208_07</t>
  </si>
  <si>
    <t>iTru7_208_08</t>
  </si>
  <si>
    <t>GATAGCGA</t>
  </si>
  <si>
    <t>PlateA_C08</t>
  </si>
  <si>
    <t>i7QDIY-059</t>
  </si>
  <si>
    <t>AGATTCACCA</t>
  </si>
  <si>
    <t>i5QDIY-059</t>
  </si>
  <si>
    <t>TCAGAACTAC</t>
  </si>
  <si>
    <t>iTru7_208_09</t>
  </si>
  <si>
    <t>TTGGTGAG</t>
  </si>
  <si>
    <t>iTru7_208_10</t>
  </si>
  <si>
    <t>PlateA_D08</t>
  </si>
  <si>
    <t>iTru7_208_11</t>
  </si>
  <si>
    <t>i7QDIY-060</t>
  </si>
  <si>
    <t>TCGGTCAGAT</t>
  </si>
  <si>
    <t>i5QDIY-060</t>
  </si>
  <si>
    <t>CGGATATTGA</t>
  </si>
  <si>
    <t>iTru7_208_12</t>
  </si>
  <si>
    <t>PlateA_E08</t>
  </si>
  <si>
    <t>i7QDIY-061</t>
  </si>
  <si>
    <t>CACTCTCGCT</t>
  </si>
  <si>
    <t>i5QDIY-061</t>
  </si>
  <si>
    <t>AGGAGTAGAT</t>
  </si>
  <si>
    <t>iTru7_209_01</t>
  </si>
  <si>
    <t>GACTTAGG</t>
  </si>
  <si>
    <t>iTru7_209_02</t>
  </si>
  <si>
    <t>iTru7_209_03</t>
  </si>
  <si>
    <t>PlateA_F08</t>
  </si>
  <si>
    <t>CCTGATTG</t>
  </si>
  <si>
    <t>i7QDIY-062</t>
  </si>
  <si>
    <t>GTTGGTCCAG</t>
  </si>
  <si>
    <t>i5QDIY-062</t>
  </si>
  <si>
    <t>CCGCCGAATA</t>
  </si>
  <si>
    <t>iTru7_209_04</t>
  </si>
  <si>
    <t>iTru7_209_05</t>
  </si>
  <si>
    <t>PlateA_G08</t>
  </si>
  <si>
    <t>iTru7_209_06</t>
  </si>
  <si>
    <t>i7QDIY-063</t>
  </si>
  <si>
    <t>ATTCGAGG</t>
  </si>
  <si>
    <t>AGCTCGAAGC</t>
  </si>
  <si>
    <t>i5QDIY-063</t>
  </si>
  <si>
    <t>GAGTCTATAC</t>
  </si>
  <si>
    <t>iTru7_209_07</t>
  </si>
  <si>
    <t>PlateA_H08</t>
  </si>
  <si>
    <t>i7QDIY-064</t>
  </si>
  <si>
    <t>AGAGGTTCTA</t>
  </si>
  <si>
    <t>i5QDIY-064</t>
  </si>
  <si>
    <t>iTru7_209_08</t>
  </si>
  <si>
    <t>TTATTACCGG</t>
  </si>
  <si>
    <t>iTru7_209_09</t>
  </si>
  <si>
    <t>iTru7_209_10</t>
  </si>
  <si>
    <t>PlateA_A09</t>
  </si>
  <si>
    <t>i7QDIY-065</t>
  </si>
  <si>
    <t>ATGACTCGAA</t>
  </si>
  <si>
    <t>i5QDIY-065</t>
  </si>
  <si>
    <t>iTru7_209_11</t>
  </si>
  <si>
    <t>CGCTCGTTAG</t>
  </si>
  <si>
    <t>iTru7_209_12</t>
  </si>
  <si>
    <t>PlateA_B09</t>
  </si>
  <si>
    <t>i7QDIY-066</t>
  </si>
  <si>
    <t>GAACAATCCT</t>
  </si>
  <si>
    <t>i5QDIY-066</t>
  </si>
  <si>
    <t>AACAACGCTG</t>
  </si>
  <si>
    <t>iTru7_210_01</t>
  </si>
  <si>
    <t>iTru7_210_02</t>
  </si>
  <si>
    <t>PlateA_C09</t>
  </si>
  <si>
    <t>i7QDIY-067</t>
  </si>
  <si>
    <t>TGGCAAGGAG</t>
  </si>
  <si>
    <t>i5QDIY-067</t>
  </si>
  <si>
    <t>iTru7_210_03</t>
  </si>
  <si>
    <t>CGCGGCTATT</t>
  </si>
  <si>
    <t>iTru7_210_04</t>
  </si>
  <si>
    <t>TGTAGCCA</t>
  </si>
  <si>
    <t>iTru7_210_05</t>
  </si>
  <si>
    <t>PlateA_D09</t>
  </si>
  <si>
    <t>i7QDIY-068</t>
  </si>
  <si>
    <t>GAATATTGGC</t>
  </si>
  <si>
    <t>i5QDIY-068</t>
  </si>
  <si>
    <t>GCTCGACACA</t>
  </si>
  <si>
    <t>iTru7_210_06</t>
  </si>
  <si>
    <t>iTru7_210_07</t>
  </si>
  <si>
    <t>CTCCATGT</t>
  </si>
  <si>
    <t>PlateA_E09</t>
  </si>
  <si>
    <t>i7QDIY-069</t>
  </si>
  <si>
    <t>CCGGAACCTA</t>
  </si>
  <si>
    <t>iTru7_210_08</t>
  </si>
  <si>
    <t>i5QDIY-069</t>
  </si>
  <si>
    <t>TTCTTCCAAC</t>
  </si>
  <si>
    <t>iTru7_210_09</t>
  </si>
  <si>
    <t>iTru7_210_10</t>
  </si>
  <si>
    <t>PlateA_F09</t>
  </si>
  <si>
    <t>i7QDIY-070</t>
  </si>
  <si>
    <t>ACTTGTTCGG</t>
  </si>
  <si>
    <t>i5QDIY-070</t>
  </si>
  <si>
    <t>iTru7_210_11</t>
  </si>
  <si>
    <t>TTGGCGGTTG</t>
  </si>
  <si>
    <t>TACCAGGA</t>
  </si>
  <si>
    <t>iTru7_210_12</t>
  </si>
  <si>
    <t>PlateA_G09</t>
  </si>
  <si>
    <t>i7QDIY-071</t>
  </si>
  <si>
    <t>CAAGTCCAAT</t>
  </si>
  <si>
    <t>i5QDIY-071</t>
  </si>
  <si>
    <t>AACAGGCAAT</t>
  </si>
  <si>
    <t>The set below (sets 301-305) INCLUDE tags from the original synthesis (sets 01-13) that ARE compatible with Illumina tags. They are renumbered here.</t>
  </si>
  <si>
    <t>iTru7_301_01</t>
  </si>
  <si>
    <t>PlateA_H09</t>
  </si>
  <si>
    <t>i7QDIY-072</t>
  </si>
  <si>
    <t>AACCGCAAGG</t>
  </si>
  <si>
    <t>i5QDIY-072</t>
  </si>
  <si>
    <t>CAGAATGGCG</t>
  </si>
  <si>
    <t>iTru7_301_02</t>
  </si>
  <si>
    <t>iTru7_301_03</t>
  </si>
  <si>
    <t>PlateA_A10</t>
  </si>
  <si>
    <t>i7QDIY-073</t>
  </si>
  <si>
    <t>ACGTTGACTC</t>
  </si>
  <si>
    <t>iTru7_301_04</t>
  </si>
  <si>
    <t>i5QDIY-073</t>
  </si>
  <si>
    <t>GTTGAGATTC</t>
  </si>
  <si>
    <t>iTru7_301_05</t>
  </si>
  <si>
    <t>iTru7_301_06</t>
  </si>
  <si>
    <t>PlateA_B10</t>
  </si>
  <si>
    <t>i7QDIY-074</t>
  </si>
  <si>
    <t>iTru7_301_07</t>
  </si>
  <si>
    <t>CCACTTAACA</t>
  </si>
  <si>
    <t>i5QDIY-074</t>
  </si>
  <si>
    <t>TGTGTGCGGA</t>
  </si>
  <si>
    <t>iTru7_301_08</t>
  </si>
  <si>
    <t>iTru7_301_09</t>
  </si>
  <si>
    <t>PlateA_C10</t>
  </si>
  <si>
    <t>i7QDIY-075</t>
  </si>
  <si>
    <t>AGCAGTTCCT</t>
  </si>
  <si>
    <t>i5QDIY-075</t>
  </si>
  <si>
    <t>iTru7_301_10</t>
  </si>
  <si>
    <t>GTTCGGCGAA</t>
  </si>
  <si>
    <t>iTru7_301_11</t>
  </si>
  <si>
    <t>iTru7_301_12</t>
  </si>
  <si>
    <t>PlateA_D10</t>
  </si>
  <si>
    <t>i7QDIY-076</t>
  </si>
  <si>
    <t>TCGCCTTCGT</t>
  </si>
  <si>
    <t>i5QDIY-076</t>
  </si>
  <si>
    <t>AGCTGTATTG</t>
  </si>
  <si>
    <t>iTru7_302_01</t>
  </si>
  <si>
    <t>iTru7_302_02</t>
  </si>
  <si>
    <t>PlateA_E10</t>
  </si>
  <si>
    <t>i7QDIY-077</t>
  </si>
  <si>
    <t>TAGGACTGCG</t>
  </si>
  <si>
    <t>i5QDIY-077</t>
  </si>
  <si>
    <t>CAGCGGATGA</t>
  </si>
  <si>
    <t>iTru7_302_03</t>
  </si>
  <si>
    <t>iTru7_302_04</t>
  </si>
  <si>
    <t>iTru7_302_05</t>
  </si>
  <si>
    <t>iTru7_302_06</t>
  </si>
  <si>
    <t>ATCACACG</t>
  </si>
  <si>
    <t>PlateA_F10</t>
  </si>
  <si>
    <t>i7QDIY-078</t>
  </si>
  <si>
    <t>TCCGAGCGAA</t>
  </si>
  <si>
    <t>i5QDIY-078</t>
  </si>
  <si>
    <t>iTru7_302_07</t>
  </si>
  <si>
    <t>GTCCTTGGAT</t>
  </si>
  <si>
    <t>ATGCCTGT</t>
  </si>
  <si>
    <t>iTru7_302_08</t>
  </si>
  <si>
    <t>iTru7_302_09</t>
  </si>
  <si>
    <t>PlateA_G10</t>
  </si>
  <si>
    <t>i7QDIY-079</t>
  </si>
  <si>
    <t>TTCGGTTGTT</t>
  </si>
  <si>
    <t>i5QDIY-079</t>
  </si>
  <si>
    <t>iTru7_302_10</t>
  </si>
  <si>
    <t>TCTAGATGCT</t>
  </si>
  <si>
    <t>iTru7_302_11</t>
  </si>
  <si>
    <t>iTru7_302_12</t>
  </si>
  <si>
    <t>PlateA_H10</t>
  </si>
  <si>
    <t>i7QDIY-080</t>
  </si>
  <si>
    <t>ACAGGAGGAA</t>
  </si>
  <si>
    <t>i5QDIY-080</t>
  </si>
  <si>
    <t>CGAGCCACAT</t>
  </si>
  <si>
    <t>iTru7_303_01</t>
  </si>
  <si>
    <t>iTru7_303_02</t>
  </si>
  <si>
    <t>PlateA_A11</t>
  </si>
  <si>
    <t>iTru7_303_03</t>
  </si>
  <si>
    <t>i7QDIY-081</t>
  </si>
  <si>
    <t>CCTCCATTAA</t>
  </si>
  <si>
    <t>i5QDIY-081</t>
  </si>
  <si>
    <t>ATGGAATGGA</t>
  </si>
  <si>
    <t>iTru7_303_04</t>
  </si>
  <si>
    <t>GAGCTTGT</t>
  </si>
  <si>
    <t>iTru7_303_05</t>
  </si>
  <si>
    <t>PlateA_B11</t>
  </si>
  <si>
    <t>i7QDIY-082</t>
  </si>
  <si>
    <t>AGTCGCGGTT</t>
  </si>
  <si>
    <t>i5QDIY-082</t>
  </si>
  <si>
    <t>CATTCCTCAC</t>
  </si>
  <si>
    <t>iTru7_303_06</t>
  </si>
  <si>
    <t>GAGTGGTT</t>
  </si>
  <si>
    <t>iTru7_303_07</t>
  </si>
  <si>
    <t>PlateA_C11</t>
  </si>
  <si>
    <t>iTru7_303_08</t>
  </si>
  <si>
    <t>i7QDIY-083</t>
  </si>
  <si>
    <t>CTCATCCAGG</t>
  </si>
  <si>
    <t>i5QDIY-083</t>
  </si>
  <si>
    <t>GCATAGGAAG</t>
  </si>
  <si>
    <t>iTru7_303_09</t>
  </si>
  <si>
    <t>PlateA_D11</t>
  </si>
  <si>
    <t>i7QDIY-084</t>
  </si>
  <si>
    <t>TGTGGTTGAA</t>
  </si>
  <si>
    <t>iTru7_303_10</t>
  </si>
  <si>
    <t>i5QDIY-084</t>
  </si>
  <si>
    <t>TGTTCGTGTT</t>
  </si>
  <si>
    <t>iTru7_303_11</t>
  </si>
  <si>
    <t>iTru7_303_12</t>
  </si>
  <si>
    <t>PlateA_E11</t>
  </si>
  <si>
    <t>i7QDIY-085</t>
  </si>
  <si>
    <t>TTATGCGTGG</t>
  </si>
  <si>
    <t>i5QDIY-085</t>
  </si>
  <si>
    <t>TAAGACCGTT</t>
  </si>
  <si>
    <t>iTru7_304_01</t>
  </si>
  <si>
    <t>PlateA_F11</t>
  </si>
  <si>
    <t>i7QDIY-086</t>
  </si>
  <si>
    <t>GCGAATGTAT</t>
  </si>
  <si>
    <t>i5QDIY-086</t>
  </si>
  <si>
    <t>ATGGTACCAG</t>
  </si>
  <si>
    <t>iTru7_304_02</t>
  </si>
  <si>
    <t>PlateA_G11</t>
  </si>
  <si>
    <t>GTTCTCGT</t>
  </si>
  <si>
    <t>i7QDIY-087</t>
  </si>
  <si>
    <t>GTCAAGCTCG</t>
  </si>
  <si>
    <t>i5QDIY-087</t>
  </si>
  <si>
    <t>CCGACAGCTT</t>
  </si>
  <si>
    <t>iTru7_304_03</t>
  </si>
  <si>
    <t>iTru7_304_04</t>
  </si>
  <si>
    <t>PlateA_H11</t>
  </si>
  <si>
    <t>i7QDIY-088</t>
  </si>
  <si>
    <t>TAGAGTTGGA</t>
  </si>
  <si>
    <t>iTru7_304_05</t>
  </si>
  <si>
    <t>i5QDIY-088</t>
  </si>
  <si>
    <t>GACGATATGA</t>
  </si>
  <si>
    <t>iTru7_304_06</t>
  </si>
  <si>
    <t>iTru7_304_07</t>
  </si>
  <si>
    <t>PlateA_A12</t>
  </si>
  <si>
    <t>i7QDIY-089</t>
  </si>
  <si>
    <t>CTGATGATCT</t>
  </si>
  <si>
    <t>iTru7_304_08</t>
  </si>
  <si>
    <t>i5QDIY-089</t>
  </si>
  <si>
    <t>TTGTACTCCA</t>
  </si>
  <si>
    <t>iTru7_304_09</t>
  </si>
  <si>
    <t>iTru7_304_10</t>
  </si>
  <si>
    <t>PlateA_B12</t>
  </si>
  <si>
    <t>i7QDIY-090</t>
  </si>
  <si>
    <t>ACTAGGTGTT</t>
  </si>
  <si>
    <t>i5QDIY-090</t>
  </si>
  <si>
    <t>GTGCACATAA</t>
  </si>
  <si>
    <t>iTru7_304_11</t>
  </si>
  <si>
    <t>iTru7_304_12</t>
  </si>
  <si>
    <t>GAATCGTG</t>
  </si>
  <si>
    <t>PlateA_C12</t>
  </si>
  <si>
    <t>i7QDIY-091</t>
  </si>
  <si>
    <t>CTGTTAGCGG</t>
  </si>
  <si>
    <t>i5QDIY-091</t>
  </si>
  <si>
    <t>iTru7_305_01</t>
  </si>
  <si>
    <t>AGGACAAGTA</t>
  </si>
  <si>
    <t>iTru7_305_02</t>
  </si>
  <si>
    <t>PlateA_D12</t>
  </si>
  <si>
    <t>iTru7_305_03</t>
  </si>
  <si>
    <t>i7QDIY-092</t>
  </si>
  <si>
    <t>ATCGCACCAA</t>
  </si>
  <si>
    <t>i5QDIY-092</t>
  </si>
  <si>
    <t>CCGATTCGAG</t>
  </si>
  <si>
    <t>iTru7_305_04</t>
  </si>
  <si>
    <t>PlateA_E12</t>
  </si>
  <si>
    <t>i7QDIY-093</t>
  </si>
  <si>
    <t>CTTACTTGGT</t>
  </si>
  <si>
    <t>i5QDIY-093</t>
  </si>
  <si>
    <t>iTru7_305_05</t>
  </si>
  <si>
    <t>GTAGGAACTT</t>
  </si>
  <si>
    <t>iTru7_305_06</t>
  </si>
  <si>
    <t>iTru7_305_07</t>
  </si>
  <si>
    <t>PlateA_F12</t>
  </si>
  <si>
    <t>i7QDIY-094</t>
  </si>
  <si>
    <t>CCTTAATGCG</t>
  </si>
  <si>
    <t>i5QDIY-094</t>
  </si>
  <si>
    <t>TACACTACGA</t>
  </si>
  <si>
    <t>iTru7_305_08</t>
  </si>
  <si>
    <t>iTru7_305_09</t>
  </si>
  <si>
    <t>iTru7_305_10</t>
  </si>
  <si>
    <t>PlateA_G12</t>
  </si>
  <si>
    <t>i7QDIY-095</t>
  </si>
  <si>
    <t>TCTCGCCTAG</t>
  </si>
  <si>
    <t>i5QDIY-095</t>
  </si>
  <si>
    <t>ATGACCTTGA</t>
  </si>
  <si>
    <t>iTru7_305_11</t>
  </si>
  <si>
    <t>iTru7_305_12</t>
  </si>
  <si>
    <t>PlateA_H12</t>
  </si>
  <si>
    <t>i7QDIY-096</t>
  </si>
  <si>
    <t>TCTTCAGAGA</t>
  </si>
  <si>
    <t>i5QDIY-096</t>
  </si>
  <si>
    <t>The set below (sets 401 &amp; 402) are tags from the original group (set 01-13) that are NOT compatible with Illumina tags. They are renumbered here</t>
  </si>
  <si>
    <t>CTACGTGACG</t>
  </si>
  <si>
    <t>iTru7_401_01</t>
  </si>
  <si>
    <t>ATGCACGA</t>
  </si>
  <si>
    <t>iTru7_401_02</t>
  </si>
  <si>
    <t>iTru7_401_03</t>
  </si>
  <si>
    <t>PlateB_A01</t>
  </si>
  <si>
    <t>i7QDIY-097</t>
  </si>
  <si>
    <t>iTru7_401_04</t>
  </si>
  <si>
    <t>TACCGGTGGT</t>
  </si>
  <si>
    <t>i5QDIY-097</t>
  </si>
  <si>
    <t>AACAATCAGG</t>
  </si>
  <si>
    <t>iTru7_401_05</t>
  </si>
  <si>
    <t>PlateB_B01</t>
  </si>
  <si>
    <t>i7QDIY-098</t>
  </si>
  <si>
    <t>AGGTGTTACG</t>
  </si>
  <si>
    <t>iTru7_401_06</t>
  </si>
  <si>
    <t>i5QDIY-098</t>
  </si>
  <si>
    <t>CTGGTGTGCA</t>
  </si>
  <si>
    <t>iTru7_401_07</t>
  </si>
  <si>
    <t>PlateB_C01</t>
  </si>
  <si>
    <t>i7QDIY-099</t>
  </si>
  <si>
    <t>ACAGACCGAC</t>
  </si>
  <si>
    <t>iTru7_401_08</t>
  </si>
  <si>
    <t>i5QDIY-099</t>
  </si>
  <si>
    <t>CGTAGGTT</t>
  </si>
  <si>
    <t>GCATATCCTT</t>
  </si>
  <si>
    <t>iTru7_401_09</t>
  </si>
  <si>
    <t>PlateB_D01</t>
  </si>
  <si>
    <t>i7QDIY-100</t>
  </si>
  <si>
    <t>CGAATACGTA</t>
  </si>
  <si>
    <t>i5QDIY-100</t>
  </si>
  <si>
    <t>iTru7_401_10</t>
  </si>
  <si>
    <t>TGTCCTGTAC</t>
  </si>
  <si>
    <t>PlateB_E01</t>
  </si>
  <si>
    <t>iTru7_401_11</t>
  </si>
  <si>
    <t>i7QDIY-101</t>
  </si>
  <si>
    <t>TAGCATCGAT</t>
  </si>
  <si>
    <t>i5QDIY-101</t>
  </si>
  <si>
    <t>iTru7_401_12</t>
  </si>
  <si>
    <t>AGAACGTCGC</t>
  </si>
  <si>
    <t>PlateB_F01</t>
  </si>
  <si>
    <t>i7QDIY-102</t>
  </si>
  <si>
    <t>CCATGAGTCG</t>
  </si>
  <si>
    <t>i5QDIY-102</t>
  </si>
  <si>
    <t>CACGGACTAG</t>
  </si>
  <si>
    <t>iTru7_402_01</t>
  </si>
  <si>
    <t>PlateB_G01</t>
  </si>
  <si>
    <t>i7QDIY-103</t>
  </si>
  <si>
    <t>ACTAACATGC</t>
  </si>
  <si>
    <t>iTru7_402_02</t>
  </si>
  <si>
    <t>i5QDIY-103</t>
  </si>
  <si>
    <t>GTTGAACACT</t>
  </si>
  <si>
    <t>iTru7_402_03</t>
  </si>
  <si>
    <t>PlateB_H01</t>
  </si>
  <si>
    <t>i7QDIY-104</t>
  </si>
  <si>
    <t>ACACTCTCTA</t>
  </si>
  <si>
    <t>i5QDIY-104</t>
  </si>
  <si>
    <t>iTru7_402_04</t>
  </si>
  <si>
    <t>TCGCGTGGTA</t>
  </si>
  <si>
    <t>PlateB_A02</t>
  </si>
  <si>
    <t>iTru7_402_05</t>
  </si>
  <si>
    <t>i7QDIY-105</t>
  </si>
  <si>
    <t>GCTCTTGCCT</t>
  </si>
  <si>
    <t>i5QDIY-105</t>
  </si>
  <si>
    <t>AGCCACTATG</t>
  </si>
  <si>
    <t>iTru7_402_06</t>
  </si>
  <si>
    <t>PlateB_B02</t>
  </si>
  <si>
    <t>i7QDIY-106</t>
  </si>
  <si>
    <t>iTru7_402_07</t>
  </si>
  <si>
    <t>AATCTTGAGG</t>
  </si>
  <si>
    <t>i5QDIY-106</t>
  </si>
  <si>
    <t>CCACCTACCA</t>
  </si>
  <si>
    <t>PlateB_C02</t>
  </si>
  <si>
    <t>iTru7_402_08</t>
  </si>
  <si>
    <t>i7QDIY-107</t>
  </si>
  <si>
    <t>CTTAACGGTC</t>
  </si>
  <si>
    <t>i5QDIY-107</t>
  </si>
  <si>
    <t>iTru7_402_09</t>
  </si>
  <si>
    <t>GTTCCGGTGT</t>
  </si>
  <si>
    <t>ACTGAGGT</t>
  </si>
  <si>
    <t>PlateB_D02</t>
  </si>
  <si>
    <t>iTru7_402_10</t>
  </si>
  <si>
    <t>i7QDIY-108</t>
  </si>
  <si>
    <t>TTGTGACCAA</t>
  </si>
  <si>
    <t>i5QDIY-108</t>
  </si>
  <si>
    <t>iTru7_402_11</t>
  </si>
  <si>
    <t>TAGGTCTGAC</t>
  </si>
  <si>
    <t>PlateB_E02</t>
  </si>
  <si>
    <t>i7QDIY-109</t>
  </si>
  <si>
    <t>iTru7_402_12</t>
  </si>
  <si>
    <t>TCTCGTGT</t>
  </si>
  <si>
    <t>TCACACACCT</t>
  </si>
  <si>
    <t>i5QDIY-109</t>
  </si>
  <si>
    <t>AGGAAGCATT</t>
  </si>
  <si>
    <t>PlateB_F02</t>
  </si>
  <si>
    <t>i7QDIY-110</t>
  </si>
  <si>
    <t>CTGCAATTAG</t>
  </si>
  <si>
    <t>i5QDIY-110</t>
  </si>
  <si>
    <t>The set below is compatible with Illumina indexes, except for the last one, which was borrowed from set 211, which is NOT compatible</t>
  </si>
  <si>
    <t>CCTTAGTTGG</t>
  </si>
  <si>
    <t>iTru7_115_01</t>
  </si>
  <si>
    <t>PlateB_G02</t>
  </si>
  <si>
    <t>i7QDIY-111</t>
  </si>
  <si>
    <t>CTCCTTACTC</t>
  </si>
  <si>
    <t>i5QDIY-111</t>
  </si>
  <si>
    <t>iTru7_115_02</t>
  </si>
  <si>
    <t>GTCCTATTCA</t>
  </si>
  <si>
    <t>TAGACGTG</t>
  </si>
  <si>
    <t>PlateB_H02</t>
  </si>
  <si>
    <t>i7QDIY-112</t>
  </si>
  <si>
    <t>GCAACGCAGA</t>
  </si>
  <si>
    <t>iTru7_115_03</t>
  </si>
  <si>
    <t>i5QDIY-112</t>
  </si>
  <si>
    <t>TAAGATGGAC</t>
  </si>
  <si>
    <t>PlateB_A03</t>
  </si>
  <si>
    <t>iTru7_115_04</t>
  </si>
  <si>
    <t>i7QDIY-113</t>
  </si>
  <si>
    <t>CCTTACCAAT</t>
  </si>
  <si>
    <t>i5QDIY-113</t>
  </si>
  <si>
    <t>AGGCCATGGT</t>
  </si>
  <si>
    <t>iTru7_115_05</t>
  </si>
  <si>
    <t>PlateB_B03</t>
  </si>
  <si>
    <t>i7QDIY-114</t>
  </si>
  <si>
    <t>TTAATCCTCG</t>
  </si>
  <si>
    <t>iTru7_115_06</t>
  </si>
  <si>
    <t>i5QDIY-114</t>
  </si>
  <si>
    <t>CATTGGCCAA</t>
  </si>
  <si>
    <t>PlateB_C03</t>
  </si>
  <si>
    <t>iTru7_115_07</t>
  </si>
  <si>
    <t>i7QDIY-115</t>
  </si>
  <si>
    <t>iTru7_115_08</t>
  </si>
  <si>
    <t>TTCCGAGTTC</t>
  </si>
  <si>
    <t>i5QDIY-115</t>
  </si>
  <si>
    <t>GCTATGAATC</t>
  </si>
  <si>
    <t>PlateB_D03</t>
  </si>
  <si>
    <t>iTru7_115_09</t>
  </si>
  <si>
    <t>i7QDIY-116</t>
  </si>
  <si>
    <t>CTCGAGAGGA</t>
  </si>
  <si>
    <t>i5QDIY-116</t>
  </si>
  <si>
    <t>TTGGTCCTCG</t>
  </si>
  <si>
    <t>iTru7_115_10</t>
  </si>
  <si>
    <t>PlateB_E03</t>
  </si>
  <si>
    <t>i7QDIY-117</t>
  </si>
  <si>
    <t>TGTTGGCTGT</t>
  </si>
  <si>
    <t>iTru7_115_11</t>
  </si>
  <si>
    <t>i5QDIY-117</t>
  </si>
  <si>
    <t>AGCGACATAC</t>
  </si>
  <si>
    <t>iTru7_211_01</t>
  </si>
  <si>
    <t>PlateB_F03</t>
  </si>
  <si>
    <t>i7QDIY-118</t>
  </si>
  <si>
    <t>Note: this index is borrowed from the set below to fill out 384.</t>
  </si>
  <si>
    <t>CGTATCTGCG</t>
  </si>
  <si>
    <t>i5QDIY-118</t>
  </si>
  <si>
    <t>CAAGTAGTCT</t>
  </si>
  <si>
    <t>PlateB_G03</t>
  </si>
  <si>
    <t>i7QDIY-119</t>
  </si>
  <si>
    <t>The set below is incomplete &amp; NOT compatible with Illumina indexes</t>
  </si>
  <si>
    <t>CCATAGTATC</t>
  </si>
  <si>
    <t>i5QDIY-119</t>
  </si>
  <si>
    <t>GTCAAGAAGA</t>
  </si>
  <si>
    <t>PlateB_H03</t>
  </si>
  <si>
    <t>i7QDIY-120</t>
  </si>
  <si>
    <t>TGGACAGTAA</t>
  </si>
  <si>
    <t>i5QDIY-120</t>
  </si>
  <si>
    <t>iTru7_211_02</t>
  </si>
  <si>
    <t>TCCTGTTATG</t>
  </si>
  <si>
    <t>Never synthesized</t>
  </si>
  <si>
    <t>iTru7_211_03</t>
  </si>
  <si>
    <t>PlateB_A04</t>
  </si>
  <si>
    <t>i7QDIY-121</t>
  </si>
  <si>
    <t>GTACCTTGTT</t>
  </si>
  <si>
    <t>i5QDIY-121</t>
  </si>
  <si>
    <t>AAGTGCGATA</t>
  </si>
  <si>
    <t>iTru7_211_04</t>
  </si>
  <si>
    <t>PlateB_B04</t>
  </si>
  <si>
    <t>i7QDIY-122</t>
  </si>
  <si>
    <t>GAGTGCCTCT</t>
  </si>
  <si>
    <t>i5QDIY-122</t>
  </si>
  <si>
    <t>AGGCTACACG</t>
  </si>
  <si>
    <t>PlateB_C04</t>
  </si>
  <si>
    <t>i7QDIY-123</t>
  </si>
  <si>
    <t>TAAGTAGCGG</t>
  </si>
  <si>
    <t>i5QDIY-123</t>
  </si>
  <si>
    <t>CTATATCGGC</t>
  </si>
  <si>
    <t>PlateB_D04</t>
  </si>
  <si>
    <t>i7QDIY-124</t>
  </si>
  <si>
    <t>CGTGGTGTTC</t>
  </si>
  <si>
    <t>i5QDIY-124</t>
  </si>
  <si>
    <t>GCTAAGGTAA</t>
  </si>
  <si>
    <t>PlateB_E04</t>
  </si>
  <si>
    <t>i7QDIY-125</t>
  </si>
  <si>
    <t>CATTCCTGAA</t>
  </si>
  <si>
    <t>i5QDIY-125</t>
  </si>
  <si>
    <t>TAACCTGGTT</t>
  </si>
  <si>
    <t>PlateB_F04</t>
  </si>
  <si>
    <t>i7QDIY-126</t>
  </si>
  <si>
    <t>AAGATGCATG</t>
  </si>
  <si>
    <t>i5QDIY-126</t>
  </si>
  <si>
    <t>AGTTGGTCTA</t>
  </si>
  <si>
    <t>PlateB_G04</t>
  </si>
  <si>
    <t>i7QDIY-127</t>
  </si>
  <si>
    <t>CCTTGGAGCT</t>
  </si>
  <si>
    <t>i5QDIY-127</t>
  </si>
  <si>
    <t>ATGCAGCTGG</t>
  </si>
  <si>
    <t>PlateB_H04</t>
  </si>
  <si>
    <t>i7QDIY-128</t>
  </si>
  <si>
    <t>ACCGGAACAG</t>
  </si>
  <si>
    <t>i5QDIY-128</t>
  </si>
  <si>
    <t>CGTTGCCTTC</t>
  </si>
  <si>
    <t>PlateB_A05</t>
  </si>
  <si>
    <t>i7QDIY-129</t>
  </si>
  <si>
    <t>GAATGGAAGC</t>
  </si>
  <si>
    <t>i5QDIY-129</t>
  </si>
  <si>
    <t>GCGTGGAGAA</t>
  </si>
  <si>
    <t>PlateB_B05</t>
  </si>
  <si>
    <t>i7QDIY-130</t>
  </si>
  <si>
    <t>GTTCTCCATA</t>
  </si>
  <si>
    <t>i5QDIY-130</t>
  </si>
  <si>
    <t>TACGCCTCCT</t>
  </si>
  <si>
    <t>PlateB_C05</t>
  </si>
  <si>
    <t>i7QDIY-131</t>
  </si>
  <si>
    <t>GTCACTATGT</t>
  </si>
  <si>
    <t>i5QDIY-131</t>
  </si>
  <si>
    <t>AATTCGGTAG</t>
  </si>
  <si>
    <t>PlateB_D05</t>
  </si>
  <si>
    <t>i7QDIY-132</t>
  </si>
  <si>
    <t>TGGTAGAACT</t>
  </si>
  <si>
    <t>i5QDIY-132</t>
  </si>
  <si>
    <t>ATTGTCGAAC</t>
  </si>
  <si>
    <t>PlateB_E05</t>
  </si>
  <si>
    <t>i7QDIY-133</t>
  </si>
  <si>
    <t>ACGCCTATGG</t>
  </si>
  <si>
    <t>i5QDIY-133</t>
  </si>
  <si>
    <t>CAACCTTGCG</t>
  </si>
  <si>
    <t>PlateB_F05</t>
  </si>
  <si>
    <t>i7QDIY-134</t>
  </si>
  <si>
    <t>AATCCGTTAC</t>
  </si>
  <si>
    <t>i5QDIY-134</t>
  </si>
  <si>
    <t>GCACTGCGTA</t>
  </si>
  <si>
    <t>PlateB_G05</t>
  </si>
  <si>
    <t>i7QDIY-135</t>
  </si>
  <si>
    <t>GTTGAGGCTA</t>
  </si>
  <si>
    <t>i5QDIY-135</t>
  </si>
  <si>
    <t>TGCTAGTAGT</t>
  </si>
  <si>
    <t>PlateB_H05</t>
  </si>
  <si>
    <t>i7QDIY-136</t>
  </si>
  <si>
    <t>TATCAACTGG</t>
  </si>
  <si>
    <t>i5QDIY-136</t>
  </si>
  <si>
    <t>AAGTCACGGA</t>
  </si>
  <si>
    <t>PlateB_A06</t>
  </si>
  <si>
    <t>i7QDIY-137</t>
  </si>
  <si>
    <t>AAGAGGAGAT</t>
  </si>
  <si>
    <t>i5QDIY-137</t>
  </si>
  <si>
    <t>AGCGATTGAA</t>
  </si>
  <si>
    <t>PlateB_B06</t>
  </si>
  <si>
    <t>i7QDIY-138</t>
  </si>
  <si>
    <t>GTCTTCTCGG</t>
  </si>
  <si>
    <t>i5QDIY-138</t>
  </si>
  <si>
    <t>CTACCTCTCT</t>
  </si>
  <si>
    <t>PlateB_C06</t>
  </si>
  <si>
    <t>i7QDIY-139</t>
  </si>
  <si>
    <t>GAAGCCACTC</t>
  </si>
  <si>
    <t>i5QDIY-139</t>
  </si>
  <si>
    <t>GACAACTGTC</t>
  </si>
  <si>
    <t>PlateB_D06</t>
  </si>
  <si>
    <t>i7QDIY-140</t>
  </si>
  <si>
    <t>GTAGGACACA</t>
  </si>
  <si>
    <t>i5QDIY-140</t>
  </si>
  <si>
    <t>TCCATTGCGG</t>
  </si>
  <si>
    <t>PlateB_E06</t>
  </si>
  <si>
    <t>i7QDIY-141</t>
  </si>
  <si>
    <t>CTCCTCGTAT</t>
  </si>
  <si>
    <t>i5QDIY-141</t>
  </si>
  <si>
    <t>AGCCTCGCAA</t>
  </si>
  <si>
    <t>PlateB_F06</t>
  </si>
  <si>
    <t>i7QDIY-142</t>
  </si>
  <si>
    <t>CCACATGATT</t>
  </si>
  <si>
    <t>i5QDIY-142</t>
  </si>
  <si>
    <t>AATACAGGCT</t>
  </si>
  <si>
    <t>PlateB_G06</t>
  </si>
  <si>
    <t>i7QDIY-143</t>
  </si>
  <si>
    <t>AGACGGTTGG</t>
  </si>
  <si>
    <t>i5QDIY-143</t>
  </si>
  <si>
    <t>CGGACCGTTA</t>
  </si>
  <si>
    <t>PlateB_H06</t>
  </si>
  <si>
    <t>i7QDIY-144</t>
  </si>
  <si>
    <t>CTAGGTTGAC</t>
  </si>
  <si>
    <t>i5QDIY-144</t>
  </si>
  <si>
    <t>GCGCTTATGC</t>
  </si>
  <si>
    <t>PlateB_A07</t>
  </si>
  <si>
    <t>i7QDIY-145</t>
  </si>
  <si>
    <t>AAGCGTACCA</t>
  </si>
  <si>
    <t>i5QDIY-145</t>
  </si>
  <si>
    <t>TTAACACGAG</t>
  </si>
  <si>
    <t>PlateB_B07</t>
  </si>
  <si>
    <t>i7QDIY-146</t>
  </si>
  <si>
    <t>TCATGTTGGT</t>
  </si>
  <si>
    <t>i5QDIY-146</t>
  </si>
  <si>
    <t>CGCCTCTAGA</t>
  </si>
  <si>
    <t>PlateB_C07</t>
  </si>
  <si>
    <t>i7QDIY-147</t>
  </si>
  <si>
    <t>TTGGAATGGT</t>
  </si>
  <si>
    <t>i5QDIY-147</t>
  </si>
  <si>
    <t>AATCGACCTT</t>
  </si>
  <si>
    <t>PlateB_D07</t>
  </si>
  <si>
    <t>i7QDIY-148</t>
  </si>
  <si>
    <t>GTGTATGTTG</t>
  </si>
  <si>
    <t>i5QDIY-148</t>
  </si>
  <si>
    <t>CCGCAATAAC</t>
  </si>
  <si>
    <t>PlateB_E07</t>
  </si>
  <si>
    <t>i7QDIY-149</t>
  </si>
  <si>
    <t>TCCTGTCAAC</t>
  </si>
  <si>
    <t>i5QDIY-149</t>
  </si>
  <si>
    <t>GTTCCAACGA</t>
  </si>
  <si>
    <t>PlateB_F07</t>
  </si>
  <si>
    <t>i7QDIY-150</t>
  </si>
  <si>
    <t>TAATCAGGCA</t>
  </si>
  <si>
    <t>i5QDIY-150</t>
  </si>
  <si>
    <t>TGTTAGACCG</t>
  </si>
  <si>
    <t>PlateB_G07</t>
  </si>
  <si>
    <t>i7QDIY-151</t>
  </si>
  <si>
    <t>GTAGTGGATT</t>
  </si>
  <si>
    <t>i5QDIY-151</t>
  </si>
  <si>
    <t>AACCTCATAG</t>
  </si>
  <si>
    <t>PlateB_H07</t>
  </si>
  <si>
    <t>i7QDIY-152</t>
  </si>
  <si>
    <t>AATTGCGCAT</t>
  </si>
  <si>
    <t>i5QDIY-152</t>
  </si>
  <si>
    <t>ATGAATCCAC</t>
  </si>
  <si>
    <t>PlateB_A08</t>
  </si>
  <si>
    <t>i7QDIY-153</t>
  </si>
  <si>
    <t>GACAATAACG</t>
  </si>
  <si>
    <t>i5QDIY-153</t>
  </si>
  <si>
    <t>CGGCTTAATT</t>
  </si>
  <si>
    <t>PlateB_B08</t>
  </si>
  <si>
    <t>i7QDIY-154</t>
  </si>
  <si>
    <t>ACAGTTAAGC</t>
  </si>
  <si>
    <t>i5QDIY-154</t>
  </si>
  <si>
    <t>GAGTTGCAGG</t>
  </si>
  <si>
    <t>PlateB_C08</t>
  </si>
  <si>
    <t>i7QDIY-155</t>
  </si>
  <si>
    <t>AGCCACACTA</t>
  </si>
  <si>
    <t>i5QDIY-155</t>
  </si>
  <si>
    <t>TCCACGAACA</t>
  </si>
  <si>
    <t>PlateB_D08</t>
  </si>
  <si>
    <t>i7QDIY-156</t>
  </si>
  <si>
    <t>CAATCGTCTT</t>
  </si>
  <si>
    <t>i5QDIY-156</t>
  </si>
  <si>
    <t>TGACGGAGGA</t>
  </si>
  <si>
    <t>Plateb_E08</t>
  </si>
  <si>
    <t>i7QDIY-157</t>
  </si>
  <si>
    <t>AGGAGCTTGT</t>
  </si>
  <si>
    <t>i5QDIY-157</t>
  </si>
  <si>
    <t>AATGAGTACG</t>
  </si>
  <si>
    <t>PlateB_F08</t>
  </si>
  <si>
    <t>i7QDIY-158</t>
  </si>
  <si>
    <t>TTGAGCGGAG</t>
  </si>
  <si>
    <t>i5QDIY-158</t>
  </si>
  <si>
    <t>CGTCTTCCGA</t>
  </si>
  <si>
    <t>PlateB_G08</t>
  </si>
  <si>
    <t>i7QDIY-159</t>
  </si>
  <si>
    <t>AGTAGCTCTC</t>
  </si>
  <si>
    <t>i5QDIY-159</t>
  </si>
  <si>
    <t>GACAGAGATT</t>
  </si>
  <si>
    <t>PlateB_H08</t>
  </si>
  <si>
    <t>i7QDIY-160</t>
  </si>
  <si>
    <t>CACGCTGTCA</t>
  </si>
  <si>
    <t>i5QDIY-160</t>
  </si>
  <si>
    <t>TTACGCTAAC</t>
  </si>
  <si>
    <t>PlateB_A09</t>
  </si>
  <si>
    <t>i7QDIY-161</t>
  </si>
  <si>
    <t>AAGACCTCTT</t>
  </si>
  <si>
    <t>i5QDIY-161</t>
  </si>
  <si>
    <t>CTCCTCGAAG</t>
  </si>
  <si>
    <t>PlateB_B09</t>
  </si>
  <si>
    <t>i7QDIY-162</t>
  </si>
  <si>
    <t>GACCTCTTCT</t>
  </si>
  <si>
    <t>i5QDIY-162</t>
  </si>
  <si>
    <t>ATACCGCAGA</t>
  </si>
  <si>
    <t>PlateB_C09</t>
  </si>
  <si>
    <t>i7QDIY-163</t>
  </si>
  <si>
    <t>TACTTCCTTG</t>
  </si>
  <si>
    <t>i5QDIY-163</t>
  </si>
  <si>
    <t>CCTATCTGAT</t>
  </si>
  <si>
    <t>PlateB_D09</t>
  </si>
  <si>
    <t>i7QDIY-164</t>
  </si>
  <si>
    <t>TGCGATACGC</t>
  </si>
  <si>
    <t>i5QDIY-164</t>
  </si>
  <si>
    <t>GATCGGTTAC</t>
  </si>
  <si>
    <t>PlateB_E09</t>
  </si>
  <si>
    <t>i7QDIY-165</t>
  </si>
  <si>
    <t>GCAGGCTTAA</t>
  </si>
  <si>
    <t>i5QDIY-165</t>
  </si>
  <si>
    <t>TGGTGAGGTG</t>
  </si>
  <si>
    <t>PlateB_F09</t>
  </si>
  <si>
    <t>i7QDIY-166</t>
  </si>
  <si>
    <t>TAAGCTTGTG</t>
  </si>
  <si>
    <t>i5QDIY-166</t>
  </si>
  <si>
    <t>AACCGGCGTA</t>
  </si>
  <si>
    <t>PlateB_G09</t>
  </si>
  <si>
    <t>i7QDIY-167</t>
  </si>
  <si>
    <t>ATGGTCCGCT</t>
  </si>
  <si>
    <t>i5QDIY-167</t>
  </si>
  <si>
    <t>AATACCGATC</t>
  </si>
  <si>
    <t>PlateB_H09</t>
  </si>
  <si>
    <t>i7QDIY-168</t>
  </si>
  <si>
    <t>ATGTCAGAAG</t>
  </si>
  <si>
    <t>i5QDIY-168</t>
  </si>
  <si>
    <t>CGATACTCAA</t>
  </si>
  <si>
    <t>PlateB_A10</t>
  </si>
  <si>
    <t>i7QDIY-169</t>
  </si>
  <si>
    <t>GACGAAGGTC</t>
  </si>
  <si>
    <t>i5QDIY-169</t>
  </si>
  <si>
    <t>GTAAGGCGGT</t>
  </si>
  <si>
    <t>PlateB_B10</t>
  </si>
  <si>
    <t>i7QDIY-170</t>
  </si>
  <si>
    <t>ATCACCGTGA</t>
  </si>
  <si>
    <t>i5QDIY-170</t>
  </si>
  <si>
    <t>TTCAAGGTCG</t>
  </si>
  <si>
    <t>PlateB_C10</t>
  </si>
  <si>
    <t>i7QDIY-171</t>
  </si>
  <si>
    <t>GCTACAGTGT</t>
  </si>
  <si>
    <t>i5QDIY-171</t>
  </si>
  <si>
    <t>TATCCGAGTA</t>
  </si>
  <si>
    <t>PlateB_D10</t>
  </si>
  <si>
    <t>i7QDIY-172</t>
  </si>
  <si>
    <t>CGTCGAATAT</t>
  </si>
  <si>
    <t>i5QDIY-172</t>
  </si>
  <si>
    <t>AGCGCGCTTA</t>
  </si>
  <si>
    <t>PlateB_E10</t>
  </si>
  <si>
    <t>i7QDIY-173</t>
  </si>
  <si>
    <t>CAACCATCGG</t>
  </si>
  <si>
    <t>i5QDIY-173</t>
  </si>
  <si>
    <t>CCGGAGACAT</t>
  </si>
  <si>
    <t>PlateB_F10</t>
  </si>
  <si>
    <t>i7QDIY-174</t>
  </si>
  <si>
    <t>CGGTCCATTC</t>
  </si>
  <si>
    <t>i5QDIY-174</t>
  </si>
  <si>
    <t>GAGATAACTG</t>
  </si>
  <si>
    <t>PlateB_G10</t>
  </si>
  <si>
    <t>i7QDIY-175</t>
  </si>
  <si>
    <t>AGAAGAGCCA</t>
  </si>
  <si>
    <t>i5QDIY-175</t>
  </si>
  <si>
    <t>TTGTAAGCGC</t>
  </si>
  <si>
    <t>PlateB_H10</t>
  </si>
  <si>
    <t>i7QDIY-176</t>
  </si>
  <si>
    <t>CTATGCAATG</t>
  </si>
  <si>
    <t>i5QDIY-176</t>
  </si>
  <si>
    <t>CAAGAGGAGG</t>
  </si>
  <si>
    <t>PlateB_A11</t>
  </si>
  <si>
    <t>i7QDIY-177</t>
  </si>
  <si>
    <t>CACTGAACCG</t>
  </si>
  <si>
    <t>i5QDIY-177</t>
  </si>
  <si>
    <t>AACCTTAGGA</t>
  </si>
  <si>
    <t>PlateB_B11</t>
  </si>
  <si>
    <t>i7QDIY-178</t>
  </si>
  <si>
    <t>TACTGTGTGA</t>
  </si>
  <si>
    <t>i5QDIY-178</t>
  </si>
  <si>
    <t>CTGGCAACTC</t>
  </si>
  <si>
    <t>PlateB_C11</t>
  </si>
  <si>
    <t>i7QDIY-179</t>
  </si>
  <si>
    <t>GCATTCTGTT</t>
  </si>
  <si>
    <t>i5QDIY-179</t>
  </si>
  <si>
    <t>GAACTTGTTG</t>
  </si>
  <si>
    <t>PlateB_D11</t>
  </si>
  <si>
    <t>i7QDIY-180</t>
  </si>
  <si>
    <t>CTCCGCTAAG</t>
  </si>
  <si>
    <t>i5QDIY-180</t>
  </si>
  <si>
    <t>TGTGCAAGAT</t>
  </si>
  <si>
    <t>PlateB_E11</t>
  </si>
  <si>
    <t>i7QDIY-181</t>
  </si>
  <si>
    <t>TCGCTTGAGA</t>
  </si>
  <si>
    <t>i5QDIY-181</t>
  </si>
  <si>
    <t>AATCGAGAGA</t>
  </si>
  <si>
    <t>PlateB_F11</t>
  </si>
  <si>
    <t>i7QDIY-182</t>
  </si>
  <si>
    <t>AACTAGCCTT</t>
  </si>
  <si>
    <t>i5QDIY-182</t>
  </si>
  <si>
    <t>AGCGTGTCAG</t>
  </si>
  <si>
    <t>PlateB_G11</t>
  </si>
  <si>
    <t>i7QDIY-183</t>
  </si>
  <si>
    <t>TTCGCTCAGG</t>
  </si>
  <si>
    <t>i5QDIY-183</t>
  </si>
  <si>
    <t>CTTGGTGATT</t>
  </si>
  <si>
    <t>PlateB_H11</t>
  </si>
  <si>
    <t>i7QDIY-184</t>
  </si>
  <si>
    <t>CTCTACAACA</t>
  </si>
  <si>
    <t>i5QDIY-184</t>
  </si>
  <si>
    <t>GAAGCAGCAA</t>
  </si>
  <si>
    <t>PlateB_A12</t>
  </si>
  <si>
    <t>i7QDIY-185</t>
  </si>
  <si>
    <t>TGAGTGTGTT</t>
  </si>
  <si>
    <t>i5QDIY-185</t>
  </si>
  <si>
    <t>TTCCGTCGAC</t>
  </si>
  <si>
    <t>PlateB_B12</t>
  </si>
  <si>
    <t>i7QDIY-186</t>
  </si>
  <si>
    <t>TAGTTAGTCG</t>
  </si>
  <si>
    <t>i5QDIY-186</t>
  </si>
  <si>
    <t>CGAGATGCCA</t>
  </si>
  <si>
    <t>PlateB_C12</t>
  </si>
  <si>
    <t>i7QDIY-187</t>
  </si>
  <si>
    <t>GCCTGATCCT</t>
  </si>
  <si>
    <t>i5QDIY-187</t>
  </si>
  <si>
    <t>AAGTTCGTGC</t>
  </si>
  <si>
    <t>PlateB_D12</t>
  </si>
  <si>
    <t>i7QDIY-188</t>
  </si>
  <si>
    <t>CGAGTACAGG</t>
  </si>
  <si>
    <t>i5QDIY-188</t>
  </si>
  <si>
    <t>CGTCCATAAG</t>
  </si>
  <si>
    <t>PlateB_E12</t>
  </si>
  <si>
    <t>i7QDIY-189</t>
  </si>
  <si>
    <t>GCCTAGATTA</t>
  </si>
  <si>
    <t>i5QDIY-189</t>
  </si>
  <si>
    <t>TTGTGGCATA</t>
  </si>
  <si>
    <t>PlateB_F12</t>
  </si>
  <si>
    <t>i7QDIY-190</t>
  </si>
  <si>
    <t>TCGGCACTGT</t>
  </si>
  <si>
    <t>i5QDIY-190</t>
  </si>
  <si>
    <t>AGATCGGAAT</t>
  </si>
  <si>
    <t>PlateB_G12</t>
  </si>
  <si>
    <t>i7QDIY-191</t>
  </si>
  <si>
    <t>CCGTGCAAGA</t>
  </si>
  <si>
    <t>i5QDIY-191</t>
  </si>
  <si>
    <t>CATTCTACTG</t>
  </si>
  <si>
    <t>PlateB_H12</t>
  </si>
  <si>
    <t>i7QDIY-192</t>
  </si>
  <si>
    <t>CTGGCTGGTT</t>
  </si>
  <si>
    <t>i5QDIY-192</t>
  </si>
  <si>
    <t>ATCGCCGTAG</t>
  </si>
  <si>
    <t>PlateC_A01</t>
  </si>
  <si>
    <t>i7QDIY-193</t>
  </si>
  <si>
    <t>CGTTAGGATT</t>
  </si>
  <si>
    <t>i5QDIY-193</t>
  </si>
  <si>
    <t>ATCCTTACAC</t>
  </si>
  <si>
    <t>PlateC_B01</t>
  </si>
  <si>
    <t>i7QDIY-194</t>
  </si>
  <si>
    <t>TTCCATTACG</t>
  </si>
  <si>
    <t>i5QDIY-194</t>
  </si>
  <si>
    <t>CGCAAGGACT</t>
  </si>
  <si>
    <t>PlateC_C01</t>
  </si>
  <si>
    <t>i7QDIY-195</t>
  </si>
  <si>
    <t>TAGCGGTAAC</t>
  </si>
  <si>
    <t>i5QDIY-195</t>
  </si>
  <si>
    <t>GCTGGCGTTA</t>
  </si>
  <si>
    <t>PlateC_D01</t>
  </si>
  <si>
    <t>i7QDIY-196</t>
  </si>
  <si>
    <t>GTAGCCAGGA</t>
  </si>
  <si>
    <t>i5QDIY-196</t>
  </si>
  <si>
    <t>TACTTAGAGG</t>
  </si>
  <si>
    <t>PlateC_E01</t>
  </si>
  <si>
    <t>i7QDIY-197</t>
  </si>
  <si>
    <t>AGGATACTCT</t>
  </si>
  <si>
    <t>i5QDIY-197</t>
  </si>
  <si>
    <t>ATGGCGATGC</t>
  </si>
  <si>
    <t>PlateC_F01</t>
  </si>
  <si>
    <t>i7QDIY-198</t>
  </si>
  <si>
    <t>TATCCTCCAG</t>
  </si>
  <si>
    <t>i5QDIY-198</t>
  </si>
  <si>
    <t>CATTGGTGCG</t>
  </si>
  <si>
    <t>PlateC_G01</t>
  </si>
  <si>
    <t>i7QDIY-199</t>
  </si>
  <si>
    <t>TAAGTCGTTC</t>
  </si>
  <si>
    <t>i5QDIY-199</t>
  </si>
  <si>
    <t>GCGAGATATA</t>
  </si>
  <si>
    <t>PlateC_H01</t>
  </si>
  <si>
    <t>i7QDIY-200</t>
  </si>
  <si>
    <t>TCCGGATTGA</t>
  </si>
  <si>
    <t>i5QDIY-200</t>
  </si>
  <si>
    <t>TGACTGCTAT</t>
  </si>
  <si>
    <t>PlateC_A02</t>
  </si>
  <si>
    <t>i7QDIY-201</t>
  </si>
  <si>
    <t>ACGTCTTGTT</t>
  </si>
  <si>
    <t>i5QDIY-201</t>
  </si>
  <si>
    <t>AACGTCCGCT</t>
  </si>
  <si>
    <t>PlateC_B02</t>
  </si>
  <si>
    <t>i7QDIY-202</t>
  </si>
  <si>
    <t>ATGAAGTGCG</t>
  </si>
  <si>
    <t>i5QDIY-202</t>
  </si>
  <si>
    <t>CGCACATGTC</t>
  </si>
  <si>
    <t>PlateC_C02</t>
  </si>
  <si>
    <t>i7QDIY-203</t>
  </si>
  <si>
    <t>CGATCACTGC</t>
  </si>
  <si>
    <t>i5QDIY-203</t>
  </si>
  <si>
    <t>GCACACCTGA</t>
  </si>
  <si>
    <t>PlateC_D02</t>
  </si>
  <si>
    <t>i7QDIY-204</t>
  </si>
  <si>
    <t>CCTATCGGAA</t>
  </si>
  <si>
    <t>i5QDIY-204</t>
  </si>
  <si>
    <t>TTGTCCAGAG</t>
  </si>
  <si>
    <t>PlateC_E02</t>
  </si>
  <si>
    <t>i7QDIY-205</t>
  </si>
  <si>
    <t>CAGAGAGCTT</t>
  </si>
  <si>
    <t>i5QDIY-205</t>
  </si>
  <si>
    <t>AGCCTTCCTG</t>
  </si>
  <si>
    <t>PlateC_F02</t>
  </si>
  <si>
    <t>i7QDIY-206</t>
  </si>
  <si>
    <t>GCAACTTGCG</t>
  </si>
  <si>
    <t>i5QDIY-206</t>
  </si>
  <si>
    <t>CCTTACGCCA</t>
  </si>
  <si>
    <t>PlateC_G02</t>
  </si>
  <si>
    <t>i7QDIY-207</t>
  </si>
  <si>
    <t>TATGGAGGAC</t>
  </si>
  <si>
    <t>i5QDIY-207</t>
  </si>
  <si>
    <t>GAATACGTAC</t>
  </si>
  <si>
    <t>PlateC_H02</t>
  </si>
  <si>
    <t>i7QDIY-208</t>
  </si>
  <si>
    <t>TGAGATCAGA</t>
  </si>
  <si>
    <t>i5QDIY-208</t>
  </si>
  <si>
    <t>TTGGCACCGT</t>
  </si>
  <si>
    <t>PlateC_A03</t>
  </si>
  <si>
    <t>i7QDIY-209</t>
  </si>
  <si>
    <t>TCAGCCTATT</t>
  </si>
  <si>
    <t>i5QDIY-209</t>
  </si>
  <si>
    <t>ATTAGGTGGC</t>
  </si>
  <si>
    <t>PlateC_B03</t>
  </si>
  <si>
    <t>i7QDIY-210</t>
  </si>
  <si>
    <t>GTTGTGAGCG</t>
  </si>
  <si>
    <t>i5QDIY-210</t>
  </si>
  <si>
    <t>CGATCAAGAA</t>
  </si>
  <si>
    <t>PlateC_C03</t>
  </si>
  <si>
    <t>i7QDIY-211</t>
  </si>
  <si>
    <t>TCAGTAACAC</t>
  </si>
  <si>
    <t>i5QDIY-211</t>
  </si>
  <si>
    <t>GCTGTCTTCT</t>
  </si>
  <si>
    <t>PlateC_D03</t>
  </si>
  <si>
    <t>i7QDIY-212</t>
  </si>
  <si>
    <t>AAGGCTCAGA</t>
  </si>
  <si>
    <t>i5QDIY-212</t>
  </si>
  <si>
    <t>TACATGTCTG</t>
  </si>
  <si>
    <t>PlateC_E03</t>
  </si>
  <si>
    <t>i7QDIY-213</t>
  </si>
  <si>
    <t>GTGTGGTGGT</t>
  </si>
  <si>
    <t>i5QDIY-213</t>
  </si>
  <si>
    <t>AACCAGTTGA</t>
  </si>
  <si>
    <t>PlateC_F03</t>
  </si>
  <si>
    <t>i7QDIY-214</t>
  </si>
  <si>
    <t>CCGAGCTTAG</t>
  </si>
  <si>
    <t>i5QDIY-214</t>
  </si>
  <si>
    <t>CCGGTAAGCT</t>
  </si>
  <si>
    <t>PlateC_G03</t>
  </si>
  <si>
    <t>i7QDIY-215</t>
  </si>
  <si>
    <t>ATCACGCTTC</t>
  </si>
  <si>
    <t>i5QDIY-215</t>
  </si>
  <si>
    <t>GTTCGAATAG</t>
  </si>
  <si>
    <t>PlateC_H03</t>
  </si>
  <si>
    <t>i7QDIY-216</t>
  </si>
  <si>
    <t>TAGCTATGCA</t>
  </si>
  <si>
    <t>i5QDIY-216</t>
  </si>
  <si>
    <t>TGTCAGGCTC</t>
  </si>
  <si>
    <t>PlateC_A04</t>
  </si>
  <si>
    <t>i7QDIY-217</t>
  </si>
  <si>
    <t>TGTTCCTCAT</t>
  </si>
  <si>
    <t>i5QDIY-217</t>
  </si>
  <si>
    <t>CAACAGTGTT</t>
  </si>
  <si>
    <t>PlateC_B04</t>
  </si>
  <si>
    <t>i7QDIY-218</t>
  </si>
  <si>
    <t>CATACCTTCT</t>
  </si>
  <si>
    <t>i5QDIY-218</t>
  </si>
  <si>
    <t>AAGAGAGGAA</t>
  </si>
  <si>
    <t>PlateC_C04</t>
  </si>
  <si>
    <t>i7QDIY-219</t>
  </si>
  <si>
    <t>GCCTTCAATG</t>
  </si>
  <si>
    <t>i5QDIY-219</t>
  </si>
  <si>
    <t>CGGTTGTAGC</t>
  </si>
  <si>
    <t>PlateC_D04</t>
  </si>
  <si>
    <t>i7QDIY-220</t>
  </si>
  <si>
    <t>CTTGACCAGC</t>
  </si>
  <si>
    <t>i5QDIY-220</t>
  </si>
  <si>
    <t>GCCTGAAGTG</t>
  </si>
  <si>
    <t>PlateC_E04</t>
  </si>
  <si>
    <t>i7QDIY-221</t>
  </si>
  <si>
    <t>CTACACACAA</t>
  </si>
  <si>
    <t>i5QDIY-221</t>
  </si>
  <si>
    <t>TTACGACACT</t>
  </si>
  <si>
    <t>PlateC_F04</t>
  </si>
  <si>
    <t>i7QDIY-222</t>
  </si>
  <si>
    <t>TAGGCTGAAT</t>
  </si>
  <si>
    <t>i5QDIY-222</t>
  </si>
  <si>
    <t>CGCCTAGATC</t>
  </si>
  <si>
    <t>PlateC_G04</t>
  </si>
  <si>
    <t>i7QDIY-223</t>
  </si>
  <si>
    <t>TCGGAGTCCT</t>
  </si>
  <si>
    <t>i5QDIY-223</t>
  </si>
  <si>
    <t>AATCTGGATG</t>
  </si>
  <si>
    <t>PlateC_H04</t>
  </si>
  <si>
    <t>i7QDIY-224</t>
  </si>
  <si>
    <t>AACATCGCGG</t>
  </si>
  <si>
    <t>i5QDIY-224</t>
  </si>
  <si>
    <t>CGACGGTACA</t>
  </si>
  <si>
    <t>PlateC_A05</t>
  </si>
  <si>
    <t>i7QDIY-225</t>
  </si>
  <si>
    <t>GTTGTCTTAC</t>
  </si>
  <si>
    <t>i5QDIY-225</t>
  </si>
  <si>
    <t>GTAGTATTGC</t>
  </si>
  <si>
    <t>PlateC_B05</t>
  </si>
  <si>
    <t>i7QDIY-226</t>
  </si>
  <si>
    <t>GTGGCAACTA</t>
  </si>
  <si>
    <t>i5QDIY-226</t>
  </si>
  <si>
    <t>TCCAGCGGAT</t>
  </si>
  <si>
    <t>PlateC_C05</t>
  </si>
  <si>
    <t>i7QDIY-227</t>
  </si>
  <si>
    <t>GAGCAGGCAT</t>
  </si>
  <si>
    <t>i5QDIY-227</t>
  </si>
  <si>
    <t>CAACCACCTC</t>
  </si>
  <si>
    <t>PlateC_D05</t>
  </si>
  <si>
    <t>i7QDIY-228</t>
  </si>
  <si>
    <t>AACGGCACCT</t>
  </si>
  <si>
    <t>i5QDIY-228</t>
  </si>
  <si>
    <t>AGCTTAGGCG</t>
  </si>
  <si>
    <t>PlateC_E05</t>
  </si>
  <si>
    <t>i7QDIY-229</t>
  </si>
  <si>
    <t>AGTAACCTTG</t>
  </si>
  <si>
    <t>i5QDIY-229</t>
  </si>
  <si>
    <t>CCGGTTCCTT</t>
  </si>
  <si>
    <t>PlateC_F05</t>
  </si>
  <si>
    <t>i7QDIY-230</t>
  </si>
  <si>
    <t>TCTCATAAGC</t>
  </si>
  <si>
    <t>i5QDIY-230</t>
  </si>
  <si>
    <t>GACATTGAAC</t>
  </si>
  <si>
    <t>PlateC_G05</t>
  </si>
  <si>
    <t>i7QDIY-231</t>
  </si>
  <si>
    <t>TGCTTGCCAA</t>
  </si>
  <si>
    <t>i5QDIY-231</t>
  </si>
  <si>
    <t>TTAGAGGCGA</t>
  </si>
  <si>
    <t>PlateC_H05</t>
  </si>
  <si>
    <t>i7QDIY-232</t>
  </si>
  <si>
    <t>CGGTTCCTGT</t>
  </si>
  <si>
    <t>i5QDIY-232</t>
  </si>
  <si>
    <t>CAAGCCGAAC</t>
  </si>
  <si>
    <t>PlateC_A06</t>
  </si>
  <si>
    <t>i7QDIY-233</t>
  </si>
  <si>
    <t>CCAAGTAGAT</t>
  </si>
  <si>
    <t>i5QDIY-233</t>
  </si>
  <si>
    <t>AGGAGAACGG</t>
  </si>
  <si>
    <t>PlateC_B06</t>
  </si>
  <si>
    <t>i7QDIY-234</t>
  </si>
  <si>
    <t>AAGGTTGGCG</t>
  </si>
  <si>
    <t>i5QDIY-234</t>
  </si>
  <si>
    <t>CCTGTTAGAC</t>
  </si>
  <si>
    <t>PlateC_C06</t>
  </si>
  <si>
    <t>i7QDIY-235</t>
  </si>
  <si>
    <t>TGCTCTGGTC</t>
  </si>
  <si>
    <t>i5QDIY-235</t>
  </si>
  <si>
    <t>GTTCTACGTT</t>
  </si>
  <si>
    <t>PlateC_D06</t>
  </si>
  <si>
    <t>i7QDIY-236</t>
  </si>
  <si>
    <t>ACTGTAACGA</t>
  </si>
  <si>
    <t>i5QDIY-236</t>
  </si>
  <si>
    <t>TAAGTCCACA</t>
  </si>
  <si>
    <t>PlateC_E06</t>
  </si>
  <si>
    <t>i7QDIY-237</t>
  </si>
  <si>
    <t>GATTCCAGGT</t>
  </si>
  <si>
    <t>i5QDIY-237</t>
  </si>
  <si>
    <t>CAAGAACCAT</t>
  </si>
  <si>
    <t>PlateC_F06</t>
  </si>
  <si>
    <t>i7QDIY-238</t>
  </si>
  <si>
    <t>TTCACCAGAT</t>
  </si>
  <si>
    <t>i5QDIY-238</t>
  </si>
  <si>
    <t>AGTTGATGAC</t>
  </si>
  <si>
    <t>PlateC_G06</t>
  </si>
  <si>
    <t>i7QDIY-239</t>
  </si>
  <si>
    <t>ACTTCCAAGG</t>
  </si>
  <si>
    <t>i5QDIY-239</t>
  </si>
  <si>
    <t>CCTACTCTTG</t>
  </si>
  <si>
    <t>PlateC_H06</t>
  </si>
  <si>
    <t>i7QDIY-240</t>
  </si>
  <si>
    <t>CCGAATATTC</t>
  </si>
  <si>
    <t>i5QDIY-240</t>
  </si>
  <si>
    <t>GAACAATCCA</t>
  </si>
  <si>
    <t>PlateC_A07</t>
  </si>
  <si>
    <t>i7QDIY-241</t>
  </si>
  <si>
    <t>CTCTTATCCA</t>
  </si>
  <si>
    <t>i5QDIY-241</t>
  </si>
  <si>
    <t>TTCTGTTGGT</t>
  </si>
  <si>
    <t>PlateC_B07</t>
  </si>
  <si>
    <t>i7QDIY-242</t>
  </si>
  <si>
    <t>TCACAGCGGT</t>
  </si>
  <si>
    <t>i5QDIY-242</t>
  </si>
  <si>
    <t>CATCGTCAGG</t>
  </si>
  <si>
    <t>PlateC_C07</t>
  </si>
  <si>
    <t>i7QDIY-243</t>
  </si>
  <si>
    <t>CCTCTGTCGT</t>
  </si>
  <si>
    <t>i5QDIY-243</t>
  </si>
  <si>
    <t>ATGCATGAAG</t>
  </si>
  <si>
    <t>PlateC_D07</t>
  </si>
  <si>
    <t>i7QDIY-244</t>
  </si>
  <si>
    <t>TCTGTTCTCG</t>
  </si>
  <si>
    <t>i5QDIY-244</t>
  </si>
  <si>
    <t>CGTGAATCGC</t>
  </si>
  <si>
    <t>PlateC_E07</t>
  </si>
  <si>
    <t>i7QDIY-245</t>
  </si>
  <si>
    <t>GATACTTCAC</t>
  </si>
  <si>
    <t>i5QDIY-245</t>
  </si>
  <si>
    <t>GAGCAGCCTT</t>
  </si>
  <si>
    <t>PlateC_F07</t>
  </si>
  <si>
    <t>i7QDIY-246</t>
  </si>
  <si>
    <t>AGTGCTGATA</t>
  </si>
  <si>
    <t>i5QDIY-246</t>
  </si>
  <si>
    <t>TCGATTACCA</t>
  </si>
  <si>
    <t>PlateC_G07</t>
  </si>
  <si>
    <t>i7QDIY-247</t>
  </si>
  <si>
    <t>ATCCTTCGGT</t>
  </si>
  <si>
    <t>i5QDIY-247</t>
  </si>
  <si>
    <t>CAGTCCAATT</t>
  </si>
  <si>
    <t>PlateC_H07</t>
  </si>
  <si>
    <t>i7QDIY-248</t>
  </si>
  <si>
    <t>GACAACGATT</t>
  </si>
  <si>
    <t>i5QDIY-248</t>
  </si>
  <si>
    <t>AGAGGCTTGG</t>
  </si>
  <si>
    <t>PlateC_A08</t>
  </si>
  <si>
    <t>i7QDIY-249</t>
  </si>
  <si>
    <t>GAACCGGTAG</t>
  </si>
  <si>
    <t>i5QDIY-249</t>
  </si>
  <si>
    <t>CAGGCTCTCA</t>
  </si>
  <si>
    <t>PlateC_B08</t>
  </si>
  <si>
    <t>i7QDIY-250</t>
  </si>
  <si>
    <t>AGCAATGAGC</t>
  </si>
  <si>
    <t>i5QDIY-250</t>
  </si>
  <si>
    <t>GTTCGCTCTC</t>
  </si>
  <si>
    <t>PlateC_C08</t>
  </si>
  <si>
    <t>i7QDIY-251</t>
  </si>
  <si>
    <t>CAAGACTCCA</t>
  </si>
  <si>
    <t>i5QDIY-251</t>
  </si>
  <si>
    <t>TCGGACTAAT</t>
  </si>
  <si>
    <t>PlateC_D08</t>
  </si>
  <si>
    <t>i7QDIY-252</t>
  </si>
  <si>
    <t>ACCGTGTAGG</t>
  </si>
  <si>
    <t>i5QDIY-252</t>
  </si>
  <si>
    <t>CGAGATCTTC</t>
  </si>
  <si>
    <t>PlateC_E08</t>
  </si>
  <si>
    <t>i7QDIY-253</t>
  </si>
  <si>
    <t>AGGCACAGGT</t>
  </si>
  <si>
    <t>i5QDIY-253</t>
  </si>
  <si>
    <t>ATAACCGGAC</t>
  </si>
  <si>
    <t>PlateC_F08</t>
  </si>
  <si>
    <t>i7QDIY-254</t>
  </si>
  <si>
    <t>CGACAGATCG</t>
  </si>
  <si>
    <t>i5QDIY-254</t>
  </si>
  <si>
    <t>CGTGTAGTTA</t>
  </si>
  <si>
    <t>PlateC_G08</t>
  </si>
  <si>
    <t>i7QDIY-255</t>
  </si>
  <si>
    <t>ACGCGACAAC</t>
  </si>
  <si>
    <t>i5QDIY-255</t>
  </si>
  <si>
    <t>GAACATAGGT</t>
  </si>
  <si>
    <t>PlateC_H08</t>
  </si>
  <si>
    <t>i7QDIY-256</t>
  </si>
  <si>
    <t>ACTTGCGTTA</t>
  </si>
  <si>
    <t>i5QDIY-256</t>
  </si>
  <si>
    <t>TCTAACATCG</t>
  </si>
  <si>
    <t>PlateC_A09</t>
  </si>
  <si>
    <t>i7QDIY-257</t>
  </si>
  <si>
    <t>CACCACTCAT</t>
  </si>
  <si>
    <t>i5QDIY-257</t>
  </si>
  <si>
    <t>AACGGTGGCA</t>
  </si>
  <si>
    <t>PlateC_B09</t>
  </si>
  <si>
    <t>i7QDIY-258</t>
  </si>
  <si>
    <t>CTTCGTAACT</t>
  </si>
  <si>
    <t>i5QDIY-258</t>
  </si>
  <si>
    <t>AGGACGGTGT</t>
  </si>
  <si>
    <t>PlateC_C09</t>
  </si>
  <si>
    <t>i7QDIY-259</t>
  </si>
  <si>
    <t>CAGTATTCGG</t>
  </si>
  <si>
    <t>i5QDIY-259</t>
  </si>
  <si>
    <t>CTGTGACCTG</t>
  </si>
  <si>
    <t>PlateC_D09</t>
  </si>
  <si>
    <t>i7QDIY-260</t>
  </si>
  <si>
    <t>CAGTCTGGAC</t>
  </si>
  <si>
    <t>i5QDIY-260</t>
  </si>
  <si>
    <t>GCTGTAACAA</t>
  </si>
  <si>
    <t>PlateC_E09</t>
  </si>
  <si>
    <t>i7QDIY-261</t>
  </si>
  <si>
    <t>TACCGTTCTA</t>
  </si>
  <si>
    <t>i5QDIY-261</t>
  </si>
  <si>
    <t>TACGGACGTC</t>
  </si>
  <si>
    <t>PlateC_F09</t>
  </si>
  <si>
    <t>i7QDIY-262</t>
  </si>
  <si>
    <t>GTGTCCACAG</t>
  </si>
  <si>
    <t>i5QDIY-262</t>
  </si>
  <si>
    <t>CCTAAGGAGC</t>
  </si>
  <si>
    <t>PlateC_G09</t>
  </si>
  <si>
    <t>i7QDIY-263</t>
  </si>
  <si>
    <t>TTACGACTGT</t>
  </si>
  <si>
    <t>i5QDIY-263</t>
  </si>
  <si>
    <t>ATAAGGCCAG</t>
  </si>
  <si>
    <t>PlateC_H09</t>
  </si>
  <si>
    <t>i7QDIY-264</t>
  </si>
  <si>
    <t>GACGCGAATG</t>
  </si>
  <si>
    <t>i5QDIY-264</t>
  </si>
  <si>
    <t>CTCATCTGTA</t>
  </si>
  <si>
    <t>PlateC_A10</t>
  </si>
  <si>
    <t>i7QDIY-265</t>
  </si>
  <si>
    <t>CAACGTACGC</t>
  </si>
  <si>
    <t>i5QDIY-265</t>
  </si>
  <si>
    <t>GAAGGCATCT</t>
  </si>
  <si>
    <t>PlateC_B10</t>
  </si>
  <si>
    <t>i7QDIY-266</t>
  </si>
  <si>
    <t>AGCTCAGGAA</t>
  </si>
  <si>
    <t>i5QDIY-266</t>
  </si>
  <si>
    <t>TCTCTACTGC</t>
  </si>
  <si>
    <t>PlateC_C10</t>
  </si>
  <si>
    <t>i7QDIY-267</t>
  </si>
  <si>
    <t>GATAGGCGGT</t>
  </si>
  <si>
    <t>i5QDIY-267</t>
  </si>
  <si>
    <t>AACCGAACAA</t>
  </si>
  <si>
    <t>PlateC_D10</t>
  </si>
  <si>
    <t>i7QDIY-268</t>
  </si>
  <si>
    <t>AGTAGGAAGT</t>
  </si>
  <si>
    <t>i5QDIY-268</t>
  </si>
  <si>
    <t>ATCTCGCCAC</t>
  </si>
  <si>
    <t>PlateC_E10</t>
  </si>
  <si>
    <t>i7QDIY-269</t>
  </si>
  <si>
    <t>CATGTTGTAG</t>
  </si>
  <si>
    <t>i5QDIY-269</t>
  </si>
  <si>
    <t>CCATGCAACG</t>
  </si>
  <si>
    <t>PlateC_F10</t>
  </si>
  <si>
    <t>i7QDIY-270</t>
  </si>
  <si>
    <t>CACATTCTTC</t>
  </si>
  <si>
    <t>i5QDIY-270</t>
  </si>
  <si>
    <t>GAATGGTGTA</t>
  </si>
  <si>
    <t>PlateC_G10</t>
  </si>
  <si>
    <t>i7QDIY-271</t>
  </si>
  <si>
    <t>GCAGCTCGTA</t>
  </si>
  <si>
    <t>i5QDIY-271</t>
  </si>
  <si>
    <t>TATATGCCGT</t>
  </si>
  <si>
    <t>PlateC_H10</t>
  </si>
  <si>
    <t>i7QDIY-272</t>
  </si>
  <si>
    <t>GTTCAGACGG</t>
  </si>
  <si>
    <t>i5QDIY-272</t>
  </si>
  <si>
    <t>CTCGATAGAT</t>
  </si>
  <si>
    <t>PlateC_A11</t>
  </si>
  <si>
    <t>i7QDIY-273</t>
  </si>
  <si>
    <t>TCCTGGAAGT</t>
  </si>
  <si>
    <t>i5QDIY-273</t>
  </si>
  <si>
    <t>AACACAAGAG</t>
  </si>
  <si>
    <t>PlateC_B11</t>
  </si>
  <si>
    <t>i7QDIY-274</t>
  </si>
  <si>
    <t>GCATTGTTAG</t>
  </si>
  <si>
    <t>i5QDIY-274</t>
  </si>
  <si>
    <t>CGCAATCGGT</t>
  </si>
  <si>
    <t>PlateC_C11</t>
  </si>
  <si>
    <t>i7QDIY-275</t>
  </si>
  <si>
    <t>GACCTACAGC</t>
  </si>
  <si>
    <t>i5QDIY-275</t>
  </si>
  <si>
    <t>GTTGCGTAGA</t>
  </si>
  <si>
    <t>PlateC_D11</t>
  </si>
  <si>
    <t>i7QDIY-276</t>
  </si>
  <si>
    <t>CACCGACGTA</t>
  </si>
  <si>
    <t>i5QDIY-276</t>
  </si>
  <si>
    <t>TAGAGTGATC</t>
  </si>
  <si>
    <t>PlateC_E11</t>
  </si>
  <si>
    <t>i7QDIY-277</t>
  </si>
  <si>
    <t>CTCTCACCTT</t>
  </si>
  <si>
    <t>i5QDIY-277</t>
  </si>
  <si>
    <t>AAGACGCAGC</t>
  </si>
  <si>
    <t>PlateC_F11</t>
  </si>
  <si>
    <t>i7QDIY-278</t>
  </si>
  <si>
    <t>CTCGTTCATT</t>
  </si>
  <si>
    <t>i5QDIY-278</t>
  </si>
  <si>
    <t>AACTTCTCGA</t>
  </si>
  <si>
    <t>PlateC_G11</t>
  </si>
  <si>
    <t>i7QDIY-279</t>
  </si>
  <si>
    <t>TGGTGGCAAG</t>
  </si>
  <si>
    <t>i5QDIY-279</t>
  </si>
  <si>
    <t>CGCAACTGAG</t>
  </si>
  <si>
    <t>PlateC_H11</t>
  </si>
  <si>
    <t>i7QDIY-280</t>
  </si>
  <si>
    <t>GATTGCTTGA</t>
  </si>
  <si>
    <t>i5QDIY-280</t>
  </si>
  <si>
    <t>GCTCCGCAAT</t>
  </si>
  <si>
    <t>PlateC_A12</t>
  </si>
  <si>
    <t>i7QDIY-281</t>
  </si>
  <si>
    <t>CCGTTAAGGT</t>
  </si>
  <si>
    <t>i5QDIY-281</t>
  </si>
  <si>
    <t>GTAACTTCCG</t>
  </si>
  <si>
    <t>PlateC_B12</t>
  </si>
  <si>
    <t>i7QDIY-282</t>
  </si>
  <si>
    <t>TGCTGAGAGG</t>
  </si>
  <si>
    <t>i5QDIY-282</t>
  </si>
  <si>
    <t>CTCACGACTA</t>
  </si>
  <si>
    <t>PlateC_C12</t>
  </si>
  <si>
    <t>i7QDIY-283</t>
  </si>
  <si>
    <t>TTGTCACTTG</t>
  </si>
  <si>
    <t>i5QDIY-283</t>
  </si>
  <si>
    <t>AACCAACGGC</t>
  </si>
  <si>
    <t>PlateC_D12</t>
  </si>
  <si>
    <t>i7QDIY-284</t>
  </si>
  <si>
    <t>GCTGTTATGT</t>
  </si>
  <si>
    <t>i5QDIY-284</t>
  </si>
  <si>
    <t>CCTGCCTGTA</t>
  </si>
  <si>
    <t>PlateC_E12</t>
  </si>
  <si>
    <t>i7QDIY-285</t>
  </si>
  <si>
    <t>GCAGCAGTTG</t>
  </si>
  <si>
    <t>i5QDIY-285</t>
  </si>
  <si>
    <t>TACGCTGCAG</t>
  </si>
  <si>
    <t>PlateC_F12</t>
  </si>
  <si>
    <t>i7QDIY-286</t>
  </si>
  <si>
    <t>GCAGATCAAT</t>
  </si>
  <si>
    <t>i5QDIY-286</t>
  </si>
  <si>
    <t>AATGTTGCGA</t>
  </si>
  <si>
    <t>PlateC_G12</t>
  </si>
  <si>
    <t>i7QDIY-287</t>
  </si>
  <si>
    <t>TGGTTCACGG</t>
  </si>
  <si>
    <t>i5QDIY-287</t>
  </si>
  <si>
    <t>CGACGTTCTG</t>
  </si>
  <si>
    <t>PlateC_H12</t>
  </si>
  <si>
    <t>i7QDIY-288</t>
  </si>
  <si>
    <t>TCGACCGCAT</t>
  </si>
  <si>
    <t>i5QDIY-288</t>
  </si>
  <si>
    <t>AATAGGACAC</t>
  </si>
  <si>
    <t>PlateD_A01</t>
  </si>
  <si>
    <t>i7QDIY-289</t>
  </si>
  <si>
    <t>TAACCTAGGT</t>
  </si>
  <si>
    <t>i5QDIY-289</t>
  </si>
  <si>
    <t>ATGTGCCTCA</t>
  </si>
  <si>
    <t>PlateD_B01</t>
  </si>
  <si>
    <t>i7QDIY-290</t>
  </si>
  <si>
    <t>AACTCATGCG</t>
  </si>
  <si>
    <t>i5QDIY-290</t>
  </si>
  <si>
    <t>CGACTCCGTT</t>
  </si>
  <si>
    <t>PlateD_C01</t>
  </si>
  <si>
    <t>i7QDIY-291</t>
  </si>
  <si>
    <t>CCGGATGAAC</t>
  </si>
  <si>
    <t>i5QDIY-291</t>
  </si>
  <si>
    <t>GCTGTTGTGG</t>
  </si>
  <si>
    <t>PlateD_D01</t>
  </si>
  <si>
    <t>i7QDIY-292</t>
  </si>
  <si>
    <t>CGTTGCCGTA</t>
  </si>
  <si>
    <t>i5QDIY-292</t>
  </si>
  <si>
    <t>TACCAATCAC</t>
  </si>
  <si>
    <t>PlateD_E01</t>
  </si>
  <si>
    <t>i7QDIY-293</t>
  </si>
  <si>
    <t>GCTCTACGGT</t>
  </si>
  <si>
    <t>i5QDIY-293</t>
  </si>
  <si>
    <t>ATGTCTTACG</t>
  </si>
  <si>
    <t>PlateD_F01</t>
  </si>
  <si>
    <t>i7QDIY-294</t>
  </si>
  <si>
    <t>TGCATTGGCG</t>
  </si>
  <si>
    <t>i5QDIY-294</t>
  </si>
  <si>
    <t>CGCAACAATA</t>
  </si>
  <si>
    <t>PlateD_G01</t>
  </si>
  <si>
    <t>i7QDIY-295</t>
  </si>
  <si>
    <t>CGATTGTGAC</t>
  </si>
  <si>
    <t>i5QDIY-295</t>
  </si>
  <si>
    <t>GAACGAAGAC</t>
  </si>
  <si>
    <t>PlateD_H01</t>
  </si>
  <si>
    <t>i7QDIY-296</t>
  </si>
  <si>
    <t>GACTGCACTA</t>
  </si>
  <si>
    <t>i5QDIY-296</t>
  </si>
  <si>
    <t>TCGAGGACGT</t>
  </si>
  <si>
    <t>PlateD_A02</t>
  </si>
  <si>
    <t>i7QDIY-297</t>
  </si>
  <si>
    <t>GTTAACTGCT</t>
  </si>
  <si>
    <t>i5QDIY-297</t>
  </si>
  <si>
    <t>ATTATGAGCG</t>
  </si>
  <si>
    <t>PlateD_B02</t>
  </si>
  <si>
    <t>i7QDIY-298</t>
  </si>
  <si>
    <t>TCGGACCTTG</t>
  </si>
  <si>
    <t>i5QDIY-298</t>
  </si>
  <si>
    <t>CGCGTTATAA</t>
  </si>
  <si>
    <t>PlateD_C02</t>
  </si>
  <si>
    <t>i7QDIY-299</t>
  </si>
  <si>
    <t>TGCAGCAAGC</t>
  </si>
  <si>
    <t>i5QDIY-299</t>
  </si>
  <si>
    <t>GCGTGCATGT</t>
  </si>
  <si>
    <t>PlateD_D02</t>
  </si>
  <si>
    <t>i7QDIY-300</t>
  </si>
  <si>
    <t>CACATGCGAA</t>
  </si>
  <si>
    <t>i5QDIY-300</t>
  </si>
  <si>
    <t>TAAGCGGCTC</t>
  </si>
  <si>
    <t>PlateD_E02</t>
  </si>
  <si>
    <t>i7QDIY-301</t>
  </si>
  <si>
    <t>CAGACGTAAT</t>
  </si>
  <si>
    <t>i5QDIY-301</t>
  </si>
  <si>
    <t>AACATGGAGA</t>
  </si>
  <si>
    <t>PlateD_F02</t>
  </si>
  <si>
    <t>i7QDIY-302</t>
  </si>
  <si>
    <t>ATTCGGTACG</t>
  </si>
  <si>
    <t>i5QDIY-302</t>
  </si>
  <si>
    <t>CCGAGTCTCT</t>
  </si>
  <si>
    <t>PlateD_G02</t>
  </si>
  <si>
    <t>i7QDIY-303</t>
  </si>
  <si>
    <t>TTAGCACGGC</t>
  </si>
  <si>
    <t>i5QDIY-303</t>
  </si>
  <si>
    <t>GTACTTCTAC</t>
  </si>
  <si>
    <t>PlateD_H02</t>
  </si>
  <si>
    <t>i7QDIY-304</t>
  </si>
  <si>
    <t>GAGGATAGTA</t>
  </si>
  <si>
    <t>i5QDIY-304</t>
  </si>
  <si>
    <t>TGTTCACATG</t>
  </si>
  <si>
    <t>PlateD_A03</t>
  </si>
  <si>
    <t>i7QDIY-305</t>
  </si>
  <si>
    <t>AACTGTGGTT</t>
  </si>
  <si>
    <t>i5QDIY-305</t>
  </si>
  <si>
    <t>AAGGTAACGC</t>
  </si>
  <si>
    <t>PlateD_B03</t>
  </si>
  <si>
    <t>i7QDIY-306</t>
  </si>
  <si>
    <t>ATTACCTCGG</t>
  </si>
  <si>
    <t>i5QDIY-306</t>
  </si>
  <si>
    <t>CCGCCTTACT</t>
  </si>
  <si>
    <t>PlateD_C03</t>
  </si>
  <si>
    <t>i7QDIY-307</t>
  </si>
  <si>
    <t>CGCTGTATAC</t>
  </si>
  <si>
    <t>i5QDIY-307</t>
  </si>
  <si>
    <t>GTTGAGGCAG</t>
  </si>
  <si>
    <t>PlateD_D03</t>
  </si>
  <si>
    <t>i7QDIY-308</t>
  </si>
  <si>
    <t>CTTGCTCACA</t>
  </si>
  <si>
    <t>i5QDIY-308</t>
  </si>
  <si>
    <t>TGGCGACCTA</t>
  </si>
  <si>
    <t>PlateD_E03</t>
  </si>
  <si>
    <t>i7QDIY-309</t>
  </si>
  <si>
    <t>CAACACCTGT</t>
  </si>
  <si>
    <t>i5QDIY-309</t>
  </si>
  <si>
    <t>AGAAGCGACA</t>
  </si>
  <si>
    <t>PlateD_F03</t>
  </si>
  <si>
    <t>i7QDIY-310</t>
  </si>
  <si>
    <t>CAATTGCTCG</t>
  </si>
  <si>
    <t>i5QDIY-310</t>
  </si>
  <si>
    <t>CAGGATAATC</t>
  </si>
  <si>
    <t>PlateD_G03</t>
  </si>
  <si>
    <t>i7QDIY-311</t>
  </si>
  <si>
    <t>CATAGACAAC</t>
  </si>
  <si>
    <t>i5QDIY-311</t>
  </si>
  <si>
    <t>GCTCCTACAG</t>
  </si>
  <si>
    <t>PlateD_H03</t>
  </si>
  <si>
    <t>i7QDIY-312</t>
  </si>
  <si>
    <t>TTGGTGTCTA</t>
  </si>
  <si>
    <t>i5QDIY-312</t>
  </si>
  <si>
    <t>TTCAACAGGT</t>
  </si>
  <si>
    <t>PlateD_A04</t>
  </si>
  <si>
    <t>i7QDIY-313</t>
  </si>
  <si>
    <t>TATGTCCTGT</t>
  </si>
  <si>
    <t>i5QDIY-313</t>
  </si>
  <si>
    <t>CCTCGTCCAT</t>
  </si>
  <si>
    <t>PlateD_B04</t>
  </si>
  <si>
    <t>i7QDIY-314</t>
  </si>
  <si>
    <t>GCCAATTCGT</t>
  </si>
  <si>
    <t>i5QDIY-314</t>
  </si>
  <si>
    <t>AGCGTTGGTT</t>
  </si>
  <si>
    <t>PlateD_C04</t>
  </si>
  <si>
    <t>i7QDIY-315</t>
  </si>
  <si>
    <t>TAGGCGATCG</t>
  </si>
  <si>
    <t>i5QDIY-315</t>
  </si>
  <si>
    <t>CATTCGAACA</t>
  </si>
  <si>
    <t>PlateD_D04</t>
  </si>
  <si>
    <t>i7QDIY-316</t>
  </si>
  <si>
    <t>ATGAGTGTAC</t>
  </si>
  <si>
    <t>i5QDIY-316</t>
  </si>
  <si>
    <t>GCTTACCGAC</t>
  </si>
  <si>
    <t>PlateD_E04</t>
  </si>
  <si>
    <t>i7QDIY-317</t>
  </si>
  <si>
    <t>CCGAAGGATA</t>
  </si>
  <si>
    <t>i5QDIY-317</t>
  </si>
  <si>
    <t>TTAGCTTAGG</t>
  </si>
  <si>
    <t>PlateD_F04</t>
  </si>
  <si>
    <t>i7QDIY-318</t>
  </si>
  <si>
    <t>AGTCCACTGT</t>
  </si>
  <si>
    <t>i5QDIY-318</t>
  </si>
  <si>
    <t>CCGACACACA</t>
  </si>
  <si>
    <t>PlateD_G04</t>
  </si>
  <si>
    <t>i7QDIY-319</t>
  </si>
  <si>
    <t>GCGGCTAATT</t>
  </si>
  <si>
    <t>i5QDIY-319</t>
  </si>
  <si>
    <t>ATTCGCTGAT</t>
  </si>
  <si>
    <t>PlateD_H04</t>
  </si>
  <si>
    <t>i7QDIY-320</t>
  </si>
  <si>
    <t>TCTAACTCAG</t>
  </si>
  <si>
    <t>i5QDIY-320</t>
  </si>
  <si>
    <t>CCAAGAGGCA</t>
  </si>
  <si>
    <t>PlateD_A05</t>
  </si>
  <si>
    <t>i7QDIY-321</t>
  </si>
  <si>
    <t>CAAGCTGAGC</t>
  </si>
  <si>
    <t>i5QDIY-321</t>
  </si>
  <si>
    <t>GACGCAGTTC</t>
  </si>
  <si>
    <t>PlateD_B05</t>
  </si>
  <si>
    <t>i7QDIY-322</t>
  </si>
  <si>
    <t>CCAGAGCACA</t>
  </si>
  <si>
    <t>i5QDIY-322</t>
  </si>
  <si>
    <t>TGGAACTCGG</t>
  </si>
  <si>
    <t>PlateD_C05</t>
  </si>
  <si>
    <t>i7QDIY-323</t>
  </si>
  <si>
    <t>TGTACAAGGT</t>
  </si>
  <si>
    <t>i5QDIY-323</t>
  </si>
  <si>
    <t>CCACACCAAT</t>
  </si>
  <si>
    <t>PlateD_D05</t>
  </si>
  <si>
    <t>i7QDIY-324</t>
  </si>
  <si>
    <t>TAGAATGCCT</t>
  </si>
  <si>
    <t>i5QDIY-324</t>
  </si>
  <si>
    <t>AGTTCTCGGC</t>
  </si>
  <si>
    <t>PlateD_E05</t>
  </si>
  <si>
    <t>i7QDIY-325</t>
  </si>
  <si>
    <t>TGTCTTACTG</t>
  </si>
  <si>
    <t>i5QDIY-325</t>
  </si>
  <si>
    <t>CTTGACGACG</t>
  </si>
  <si>
    <t>PlateD_F05</t>
  </si>
  <si>
    <t>i7QDIY-326</t>
  </si>
  <si>
    <t>ATGACTAAGC</t>
  </si>
  <si>
    <t>i5QDIY-326</t>
  </si>
  <si>
    <t>GAGGTCGCTA</t>
  </si>
  <si>
    <t>PlateD_G05</t>
  </si>
  <si>
    <t>i7QDIY-327</t>
  </si>
  <si>
    <t>ATGTAGGCAA</t>
  </si>
  <si>
    <t>i5QDIY-327</t>
  </si>
  <si>
    <t>TCAGTAGCAT</t>
  </si>
  <si>
    <t>PlateD_H05</t>
  </si>
  <si>
    <t>i7QDIY-328</t>
  </si>
  <si>
    <t>GCGAAGAGGT</t>
  </si>
  <si>
    <t>i5QDIY-328</t>
  </si>
  <si>
    <t>CTAACGTGGA</t>
  </si>
  <si>
    <t>PlateD_A06</t>
  </si>
  <si>
    <t>i7QDIY-329</t>
  </si>
  <si>
    <t>CGGTGGTTCT</t>
  </si>
  <si>
    <t>i5QDIY-329</t>
  </si>
  <si>
    <t>ATGCCAACCG</t>
  </si>
  <si>
    <t>PlateD_B06</t>
  </si>
  <si>
    <t>i7QDIY-330</t>
  </si>
  <si>
    <t>CTGTCGTTGG</t>
  </si>
  <si>
    <t>i5QDIY-330</t>
  </si>
  <si>
    <t>CGGTCGATTC</t>
  </si>
  <si>
    <t>PlateD_C06</t>
  </si>
  <si>
    <t>i7QDIY-331</t>
  </si>
  <si>
    <t>TGATCGACAC</t>
  </si>
  <si>
    <t>i5QDIY-331</t>
  </si>
  <si>
    <t>GAAGTACAGT</t>
  </si>
  <si>
    <t>PlateD_D06</t>
  </si>
  <si>
    <t>i7QDIY-332</t>
  </si>
  <si>
    <t>CCACCAGCTA</t>
  </si>
  <si>
    <t>i5QDIY-332</t>
  </si>
  <si>
    <t>TCTGCAGTAA</t>
  </si>
  <si>
    <t>PlateD_E06</t>
  </si>
  <si>
    <t>i7QDIY-333</t>
  </si>
  <si>
    <t>CACGGTTCGT</t>
  </si>
  <si>
    <t>i5QDIY-333</t>
  </si>
  <si>
    <t>CTATCCTAGC</t>
  </si>
  <si>
    <t>PlateD_F06</t>
  </si>
  <si>
    <t>i7QDIY-334</t>
  </si>
  <si>
    <t>AGTGAGAGCT</t>
  </si>
  <si>
    <t>i5QDIY-334</t>
  </si>
  <si>
    <t>AACACTCCTT</t>
  </si>
  <si>
    <t>PlateD_G06</t>
  </si>
  <si>
    <t>i7QDIY-335</t>
  </si>
  <si>
    <t>TTGCATGCGG</t>
  </si>
  <si>
    <t>i5QDIY-335</t>
  </si>
  <si>
    <t>CCGAACCTAA</t>
  </si>
  <si>
    <t>PlateD_H06</t>
  </si>
  <si>
    <t>i7QDIY-336</t>
  </si>
  <si>
    <t>TATACGTGTC</t>
  </si>
  <si>
    <t>i5QDIY-336</t>
  </si>
  <si>
    <t>GTCTAGTCGC</t>
  </si>
  <si>
    <t>PlateD_A07</t>
  </si>
  <si>
    <t>i7QDIY-337</t>
  </si>
  <si>
    <t>TGACGCGTTA</t>
  </si>
  <si>
    <t>i5QDIY-337</t>
  </si>
  <si>
    <t>TGGATGTACG</t>
  </si>
  <si>
    <t>PlateD_B07</t>
  </si>
  <si>
    <t>i7QDIY-338</t>
  </si>
  <si>
    <t>TACAGAACGT</t>
  </si>
  <si>
    <t>i5QDIY-338</t>
  </si>
  <si>
    <t>CTACCAGCGT</t>
  </si>
  <si>
    <t>PlateD_C07</t>
  </si>
  <si>
    <t>i7QDIY-339</t>
  </si>
  <si>
    <t>CTTGTCAGGT</t>
  </si>
  <si>
    <t>i5QDIY-339</t>
  </si>
  <si>
    <t>AAGGATTCAG</t>
  </si>
  <si>
    <t>PlateD_D07</t>
  </si>
  <si>
    <t>i7QDIY-340</t>
  </si>
  <si>
    <t>ATCCACAGCG</t>
  </si>
  <si>
    <t>i5QDIY-340</t>
  </si>
  <si>
    <t>CGAGGTGTGT</t>
  </si>
  <si>
    <t>PlateD_E07</t>
  </si>
  <si>
    <t>i7QDIY-341</t>
  </si>
  <si>
    <t>CCTATCCATC</t>
  </si>
  <si>
    <t>i5QDIY-341</t>
  </si>
  <si>
    <t>GTAGACGCTC</t>
  </si>
  <si>
    <t>PlateD_F07</t>
  </si>
  <si>
    <t>i7QDIY-342</t>
  </si>
  <si>
    <t>ACCGCGAGTA</t>
  </si>
  <si>
    <t>i5QDIY-342</t>
  </si>
  <si>
    <t>TCGTCCGTCA</t>
  </si>
  <si>
    <t>PlateD_G07</t>
  </si>
  <si>
    <t>i7QDIY-343</t>
  </si>
  <si>
    <t>AAGTTCTGGT</t>
  </si>
  <si>
    <t>i5QDIY-343</t>
  </si>
  <si>
    <t>CCGTGATAGG</t>
  </si>
  <si>
    <t>PlateD_H07</t>
  </si>
  <si>
    <t>i7QDIY-344</t>
  </si>
  <si>
    <t>ACAGGTATCG</t>
  </si>
  <si>
    <t>i5QDIY-344</t>
  </si>
  <si>
    <t>AGGATGACCT</t>
  </si>
  <si>
    <t>PlateD_A08</t>
  </si>
  <si>
    <t>i7QDIY-345</t>
  </si>
  <si>
    <t>ATGACGGATT</t>
  </si>
  <si>
    <t>i5QDIY-345</t>
  </si>
  <si>
    <t>CCTCGAGTAC</t>
  </si>
  <si>
    <t>PlateD_B08</t>
  </si>
  <si>
    <t>i7QDIY-346</t>
  </si>
  <si>
    <t>GTCTGAGTAG</t>
  </si>
  <si>
    <t>i5QDIY-346</t>
  </si>
  <si>
    <t>GTCACTGAGG</t>
  </si>
  <si>
    <t>PlateD_C08</t>
  </si>
  <si>
    <t>i7QDIY-347</t>
  </si>
  <si>
    <t>TGCCAGATGT</t>
  </si>
  <si>
    <t>i5QDIY-347</t>
  </si>
  <si>
    <t>TACGGTTAGA</t>
  </si>
  <si>
    <t>PlateD_D08</t>
  </si>
  <si>
    <t>i7QDIY-348</t>
  </si>
  <si>
    <t>GCTAAGCATT</t>
  </si>
  <si>
    <t>i5QDIY-348</t>
  </si>
  <si>
    <t>CAACGAGAAT</t>
  </si>
  <si>
    <t>PlateD_E08</t>
  </si>
  <si>
    <t>i7QDIY-349</t>
  </si>
  <si>
    <t>ACAGCATGGT</t>
  </si>
  <si>
    <t>i5QDIY-349</t>
  </si>
  <si>
    <t>AATACACCGG</t>
  </si>
  <si>
    <t>PlateD_F08</t>
  </si>
  <si>
    <t>i7QDIY-350</t>
  </si>
  <si>
    <t>ATAGAGACCG</t>
  </si>
  <si>
    <t>i5QDIY-350</t>
  </si>
  <si>
    <t>CCGATCCATC</t>
  </si>
  <si>
    <t>PlateD_G08</t>
  </si>
  <si>
    <t>i7QDIY-351</t>
  </si>
  <si>
    <t>ATATCGCGTA</t>
  </si>
  <si>
    <t>i5QDIY-351</t>
  </si>
  <si>
    <t>GAATCTCGCT</t>
  </si>
  <si>
    <t>PlateD_H08</t>
  </si>
  <si>
    <t>i7QDIY-352</t>
  </si>
  <si>
    <t>TTAAGGAGGT</t>
  </si>
  <si>
    <t>i5QDIY-352</t>
  </si>
  <si>
    <t>TGACCGGCAA</t>
  </si>
  <si>
    <t>PlateD_A09</t>
  </si>
  <si>
    <t>i7QDIY-353</t>
  </si>
  <si>
    <t>CTGTGCGACT</t>
  </si>
  <si>
    <t>i5QDIY-353</t>
  </si>
  <si>
    <t>CATGATAGCA</t>
  </si>
  <si>
    <t>PlateD_B09</t>
  </si>
  <si>
    <t>i7QDIY-354</t>
  </si>
  <si>
    <t>TCCGTATGCT</t>
  </si>
  <si>
    <t>i5QDIY-354</t>
  </si>
  <si>
    <t>AACAGCTTCG</t>
  </si>
  <si>
    <t>PlateD_C09</t>
  </si>
  <si>
    <t>i7QDIY-355</t>
  </si>
  <si>
    <t>CCATCGATGT</t>
  </si>
  <si>
    <t>i5QDIY-355</t>
  </si>
  <si>
    <t>CTAGTGCTTA</t>
  </si>
  <si>
    <t>PlateD_D09</t>
  </si>
  <si>
    <t>i7QDIY-356</t>
  </si>
  <si>
    <t>GTGAGCCGTT</t>
  </si>
  <si>
    <t>i5QDIY-356</t>
  </si>
  <si>
    <t>TGTGATACGT</t>
  </si>
  <si>
    <t>PlateD_E09</t>
  </si>
  <si>
    <t>i7QDIY-357</t>
  </si>
  <si>
    <t>TGCCGTTAAT</t>
  </si>
  <si>
    <t>i5QDIY-357</t>
  </si>
  <si>
    <t>ATGAGCGTAT</t>
  </si>
  <si>
    <t>PlateD_F09</t>
  </si>
  <si>
    <t>i7QDIY-358</t>
  </si>
  <si>
    <t>CGGATGTGGT</t>
  </si>
  <si>
    <t>i5QDIY-358</t>
  </si>
  <si>
    <t>CTAGATATGG</t>
  </si>
  <si>
    <t>PlateD_G09</t>
  </si>
  <si>
    <t>i7QDIY-359</t>
  </si>
  <si>
    <t>TCGCGTGTTG</t>
  </si>
  <si>
    <t>i5QDIY-359</t>
  </si>
  <si>
    <t>CGCTATGCTG</t>
  </si>
  <si>
    <t>PlateD_H09</t>
  </si>
  <si>
    <t>i7QDIY-360</t>
  </si>
  <si>
    <t>CCGCGATCAT</t>
  </si>
  <si>
    <t>i5QDIY-360</t>
  </si>
  <si>
    <t>TACTACGTGA</t>
  </si>
  <si>
    <t>PlateD_A10</t>
  </si>
  <si>
    <t>i7QDIY-361</t>
  </si>
  <si>
    <t>CGCGTTATCG</t>
  </si>
  <si>
    <t>i5QDIY-361</t>
  </si>
  <si>
    <t>ATGTGGAGGT</t>
  </si>
  <si>
    <t>PlateD_B10</t>
  </si>
  <si>
    <t>i7QDIY-362</t>
  </si>
  <si>
    <t>GTAGCCTCCT</t>
  </si>
  <si>
    <t>i5QDIY-362</t>
  </si>
  <si>
    <t>CCATGGCTCA</t>
  </si>
  <si>
    <t>PlateD_C10</t>
  </si>
  <si>
    <t>i7QDIY-363</t>
  </si>
  <si>
    <t>ACTAGACACT</t>
  </si>
  <si>
    <t>i5QDIY-363</t>
  </si>
  <si>
    <t>CCAATCACGC</t>
  </si>
  <si>
    <t>PlateD_D10</t>
  </si>
  <si>
    <t>i7QDIY-364</t>
  </si>
  <si>
    <t>CGATTCGTTG</t>
  </si>
  <si>
    <t>i5QDIY-364</t>
  </si>
  <si>
    <t>TTAGATCCAG</t>
  </si>
  <si>
    <t>PlateD_E10</t>
  </si>
  <si>
    <t>i7QDIY-365</t>
  </si>
  <si>
    <t>GAAGAGATGT</t>
  </si>
  <si>
    <t>i5QDIY-365</t>
  </si>
  <si>
    <t>AGGAATATCG</t>
  </si>
  <si>
    <t>PlateD_F10</t>
  </si>
  <si>
    <t>i7QDIY-366</t>
  </si>
  <si>
    <t>AGATCCGACG</t>
  </si>
  <si>
    <t>i5QDIY-366</t>
  </si>
  <si>
    <t>CCTCCTATGT</t>
  </si>
  <si>
    <t>PlateD_G10</t>
  </si>
  <si>
    <t>i7QDIY-367</t>
  </si>
  <si>
    <t>CCAGGACATT</t>
  </si>
  <si>
    <t>i5QDIY-367</t>
  </si>
  <si>
    <t>TAGAGACACG</t>
  </si>
  <si>
    <t>PlateD_H10</t>
  </si>
  <si>
    <t>i7QDIY-368</t>
  </si>
  <si>
    <t>ACGTGGCATT</t>
  </si>
  <si>
    <t>i5QDIY-368</t>
  </si>
  <si>
    <t>CCAGCTCAGT</t>
  </si>
  <si>
    <t>PlateD_A11</t>
  </si>
  <si>
    <t>i7QDIY-369</t>
  </si>
  <si>
    <t>AAGCAGGACG</t>
  </si>
  <si>
    <t>i5QDIY-369</t>
  </si>
  <si>
    <t>ATGGCTCATA</t>
  </si>
  <si>
    <t>PlateD_B11</t>
  </si>
  <si>
    <t>i7QDIY-370</t>
  </si>
  <si>
    <t>ACGAGTCGGT</t>
  </si>
  <si>
    <t>i5QDIY-370</t>
  </si>
  <si>
    <t>CGGAGTGAAG</t>
  </si>
  <si>
    <t>PlateD_C11</t>
  </si>
  <si>
    <t>i7QDIY-371</t>
  </si>
  <si>
    <t>AGTGTACGCG</t>
  </si>
  <si>
    <t>i5QDIY-371</t>
  </si>
  <si>
    <t>TACCTATGGT</t>
  </si>
  <si>
    <t>PlateD_D11</t>
  </si>
  <si>
    <t>i7QDIY-372</t>
  </si>
  <si>
    <t>ACCGACCATT</t>
  </si>
  <si>
    <t>i5QDIY-372</t>
  </si>
  <si>
    <t>ATGAGACAGT</t>
  </si>
  <si>
    <t>PlateD_E11</t>
  </si>
  <si>
    <t>i7QDIY-373</t>
  </si>
  <si>
    <t>TTGCTAACGT</t>
  </si>
  <si>
    <t>i5QDIY-373</t>
  </si>
  <si>
    <t>CTAAGAGTTG</t>
  </si>
  <si>
    <t>PlateD_F11</t>
  </si>
  <si>
    <t>i7QDIY-374</t>
  </si>
  <si>
    <t>CTTGATACTG</t>
  </si>
  <si>
    <t>i5QDIY-374</t>
  </si>
  <si>
    <t>TAACCGTATG</t>
  </si>
  <si>
    <t>PlateD_G11</t>
  </si>
  <si>
    <t>i7QDIY-375</t>
  </si>
  <si>
    <t>CTGGATAAGT</t>
  </si>
  <si>
    <t>i5QDIY-375</t>
  </si>
  <si>
    <t>AGAGTCCATG</t>
  </si>
  <si>
    <t>PlateD_H11</t>
  </si>
  <si>
    <t>i7QDIY-376</t>
  </si>
  <si>
    <t>ATAGCTTACG</t>
  </si>
  <si>
    <t>i5QDIY-376</t>
  </si>
  <si>
    <t>CTAGACCGCA</t>
  </si>
  <si>
    <t>PlateD_A12</t>
  </si>
  <si>
    <t>i7QDIY-377</t>
  </si>
  <si>
    <t>GTCCATGAGT</t>
  </si>
  <si>
    <t>i5QDIY-377</t>
  </si>
  <si>
    <t>TATGGCTTGT</t>
  </si>
  <si>
    <t>PlateD_B12</t>
  </si>
  <si>
    <t>i7QDIY-378</t>
  </si>
  <si>
    <t>ACTCCAGTCG</t>
  </si>
  <si>
    <t>i5QDIY-378</t>
  </si>
  <si>
    <t>CGTTGTTCCT</t>
  </si>
  <si>
    <t>PlateD_C12</t>
  </si>
  <si>
    <t>i7QDIY-379</t>
  </si>
  <si>
    <t>TCTCAGCACG</t>
  </si>
  <si>
    <t>i5QDIY-379</t>
  </si>
  <si>
    <t>CCGACATTAG</t>
  </si>
  <si>
    <t>PlateD_D12</t>
  </si>
  <si>
    <t>i7QDIY-380</t>
  </si>
  <si>
    <t>ATCGTGATGT</t>
  </si>
  <si>
    <t>i5QDIY-380</t>
  </si>
  <si>
    <t>TGTGAAGGCA</t>
  </si>
  <si>
    <t>PlateD_E12</t>
  </si>
  <si>
    <t>i7QDIY-381</t>
  </si>
  <si>
    <t>ACGCAATCCG</t>
  </si>
  <si>
    <t>i5QDIY-381</t>
  </si>
  <si>
    <t>AGCATCGTCT</t>
  </si>
  <si>
    <t>PlateD_F12</t>
  </si>
  <si>
    <t>i7QDIY-382</t>
  </si>
  <si>
    <t>GAGATCGGCT</t>
  </si>
  <si>
    <t>i5QDIY-382</t>
  </si>
  <si>
    <t>CCGACTAGGA</t>
  </si>
  <si>
    <t>PlateD_G12</t>
  </si>
  <si>
    <t>i7QDIY-383</t>
  </si>
  <si>
    <t>CTACGTCTCG</t>
  </si>
  <si>
    <t>i5QDIY-383</t>
  </si>
  <si>
    <t>AACATTACCG</t>
  </si>
  <si>
    <t>PlateD_H12</t>
  </si>
  <si>
    <t>i7QDIY-384</t>
  </si>
  <si>
    <t>CTCAGGCTGT</t>
  </si>
  <si>
    <t>i5QDIY-384</t>
  </si>
  <si>
    <t>CCTAATTCGT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</si>
</sst>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quot;-&quot;mm&quot;-&quot;dd"/>
    <numFmt numFmtId="166" formatCode="#,##0.000"/>
    <numFmt numFmtId="167" formatCode="0.000"/>
    <numFmt numFmtId="168" formatCode="0.0"/>
  </numFmts>
  <fonts count="38">
    <font>
      <sz val="10.0"/>
      <color rgb="FF000000"/>
      <name val="Arial"/>
      <scheme val="minor"/>
    </font>
    <font>
      <b/>
      <sz val="11.0"/>
      <color rgb="FF000000"/>
      <name val="Calibri"/>
    </font>
    <font>
      <b/>
      <sz val="13.0"/>
      <color rgb="FFFFFFFF"/>
      <name val="Calibri"/>
    </font>
    <font>
      <b/>
      <sz val="11.0"/>
      <color rgb="FFFFFFFF"/>
      <name val="Calibri"/>
    </font>
    <font>
      <color theme="1"/>
      <name val="Arial"/>
      <scheme val="minor"/>
    </font>
    <font>
      <sz val="11.0"/>
      <color rgb="FF0000FF"/>
      <name val="Calibri"/>
    </font>
    <font/>
    <font>
      <sz val="11.0"/>
      <color rgb="FF000000"/>
      <name val="Calibri"/>
    </font>
    <font>
      <color rgb="FF000000"/>
      <name val="Arial"/>
      <scheme val="minor"/>
    </font>
    <font>
      <sz val="11.0"/>
      <color theme="1"/>
      <name val="Calibri"/>
    </font>
    <font>
      <b/>
      <sz val="11.0"/>
      <color theme="1"/>
      <name val="Calibri"/>
    </font>
    <font>
      <b/>
      <sz val="12.0"/>
      <color theme="1"/>
      <name val="Calibri"/>
    </font>
    <font>
      <sz val="12.0"/>
      <color rgb="FF000000"/>
      <name val="Calibri"/>
    </font>
    <font>
      <sz val="12.0"/>
      <color theme="1"/>
      <name val="Calibri"/>
    </font>
    <font>
      <b/>
      <sz val="11.0"/>
      <color rgb="FF666666"/>
      <name val="Calibri"/>
    </font>
    <font>
      <sz val="11.0"/>
      <color rgb="FFFF0000"/>
      <name val="Calibri"/>
    </font>
    <font>
      <color rgb="FF000000"/>
      <name val="Calibri"/>
    </font>
    <font>
      <b/>
      <sz val="12.0"/>
      <color rgb="FFFF0000"/>
      <name val="Calibri"/>
    </font>
    <font>
      <sz val="12.0"/>
      <color rgb="FFFF0000"/>
      <name val="Calibri"/>
    </font>
    <font>
      <b/>
      <sz val="11.0"/>
      <color rgb="FFFF0000"/>
      <name val="Calibri"/>
    </font>
    <font>
      <u/>
      <sz val="12.0"/>
      <color theme="1"/>
      <name val="Calibri"/>
    </font>
    <font>
      <b/>
      <sz val="12.0"/>
      <color rgb="FF000000"/>
      <name val="Calibri"/>
    </font>
    <font>
      <sz val="12.0"/>
      <color rgb="FF000000"/>
      <name val="&quot;Aptos Narrow&quot;"/>
    </font>
    <font>
      <u/>
      <sz val="12.0"/>
      <color rgb="FF000000"/>
      <name val="Calibri"/>
    </font>
    <font>
      <i/>
      <sz val="12.0"/>
      <color rgb="FF000000"/>
      <name val="&quot;Cambria Math&quot;"/>
    </font>
    <font>
      <b/>
      <color theme="1"/>
      <name val="Verdana"/>
    </font>
    <font>
      <b/>
      <color rgb="FF000000"/>
      <name val="Verdana"/>
    </font>
    <font>
      <b/>
      <color rgb="FF0070C0"/>
      <name val="Verdana"/>
    </font>
    <font>
      <color rgb="FF0000FF"/>
      <name val="Verdana"/>
    </font>
    <font>
      <color theme="1"/>
      <name val="Verdana"/>
    </font>
    <font>
      <color rgb="FF000000"/>
      <name val="Verdana"/>
    </font>
    <font>
      <color rgb="FF0070C0"/>
      <name val="Verdana"/>
    </font>
    <font>
      <sz val="12.0"/>
      <color rgb="FF333333"/>
      <name val="&quot;Courier New&quot;"/>
    </font>
    <font>
      <color rgb="FF000000"/>
      <name val="Arial"/>
    </font>
    <font>
      <sz val="12.0"/>
      <color rgb="FF0070C0"/>
      <name val="Calibri"/>
    </font>
    <font>
      <sz val="12.0"/>
      <color rgb="FF000000"/>
      <name val="&quot;Courier New&quot;"/>
    </font>
    <font>
      <color rgb="FFC00000"/>
      <name val="Verdana"/>
    </font>
    <font>
      <sz val="12.0"/>
      <color rgb="FFC00000"/>
      <name val="Calibri"/>
    </font>
  </fonts>
  <fills count="24">
    <fill>
      <patternFill patternType="none"/>
    </fill>
    <fill>
      <patternFill patternType="lightGray"/>
    </fill>
    <fill>
      <patternFill patternType="solid">
        <fgColor rgb="FF1F4E78"/>
        <bgColor rgb="FF1F4E78"/>
      </patternFill>
    </fill>
    <fill>
      <patternFill patternType="solid">
        <fgColor rgb="FFF4CCCC"/>
        <bgColor rgb="FFF4CCCC"/>
      </patternFill>
    </fill>
    <fill>
      <patternFill patternType="solid">
        <fgColor rgb="FFD9EAD3"/>
        <bgColor rgb="FFD9EAD3"/>
      </patternFill>
    </fill>
    <fill>
      <patternFill patternType="solid">
        <fgColor rgb="FF0F766E"/>
        <bgColor rgb="FF0F766E"/>
      </patternFill>
    </fill>
    <fill>
      <patternFill patternType="solid">
        <fgColor rgb="FFCFE2F3"/>
        <bgColor rgb="FFCFE2F3"/>
      </patternFill>
    </fill>
    <fill>
      <patternFill patternType="solid">
        <fgColor rgb="FFD9EAF7"/>
        <bgColor rgb="FFD9EAF7"/>
      </patternFill>
    </fill>
    <fill>
      <patternFill patternType="solid">
        <fgColor rgb="FFFCE5CD"/>
        <bgColor rgb="FFFCE5CD"/>
      </patternFill>
    </fill>
    <fill>
      <patternFill patternType="solid">
        <fgColor rgb="FFFFFFFF"/>
        <bgColor rgb="FFFFFFFF"/>
      </patternFill>
    </fill>
    <fill>
      <patternFill patternType="solid">
        <fgColor rgb="FFFDE2E1"/>
        <bgColor rgb="FFFDE2E1"/>
      </patternFill>
    </fill>
    <fill>
      <patternFill patternType="solid">
        <fgColor rgb="FF95B3D7"/>
        <bgColor rgb="FF95B3D7"/>
      </patternFill>
    </fill>
    <fill>
      <patternFill patternType="solid">
        <fgColor rgb="FFD0E0E3"/>
        <bgColor rgb="FFD0E0E3"/>
      </patternFill>
    </fill>
    <fill>
      <patternFill patternType="solid">
        <fgColor rgb="FFD8E4BC"/>
        <bgColor rgb="FFD8E4BC"/>
      </patternFill>
    </fill>
    <fill>
      <patternFill patternType="solid">
        <fgColor rgb="FFFCD5B4"/>
        <bgColor rgb="FFFCD5B4"/>
      </patternFill>
    </fill>
    <fill>
      <patternFill patternType="solid">
        <fgColor rgb="FFFCD5B5"/>
        <bgColor rgb="FFFCD5B5"/>
      </patternFill>
    </fill>
    <fill>
      <patternFill patternType="solid">
        <fgColor rgb="FFD7E4BD"/>
        <bgColor rgb="FFD7E4BD"/>
      </patternFill>
    </fill>
    <fill>
      <patternFill patternType="solid">
        <fgColor rgb="FFEEECE1"/>
        <bgColor rgb="FFEEECE1"/>
      </patternFill>
    </fill>
    <fill>
      <patternFill patternType="solid">
        <fgColor rgb="FFFFFF00"/>
        <bgColor rgb="FFFFFF00"/>
      </patternFill>
    </fill>
    <fill>
      <patternFill patternType="solid">
        <fgColor rgb="FFFAC090"/>
        <bgColor rgb="FFFAC090"/>
      </patternFill>
    </fill>
    <fill>
      <patternFill patternType="solid">
        <fgColor rgb="FFC3D69B"/>
        <bgColor rgb="FFC3D69B"/>
      </patternFill>
    </fill>
    <fill>
      <patternFill patternType="solid">
        <fgColor rgb="FFF1C232"/>
        <bgColor rgb="FFF1C232"/>
      </patternFill>
    </fill>
    <fill>
      <patternFill patternType="solid">
        <fgColor rgb="FF93C47D"/>
        <bgColor rgb="FF93C47D"/>
      </patternFill>
    </fill>
    <fill>
      <patternFill patternType="solid">
        <fgColor rgb="FFFF6600"/>
        <bgColor rgb="FFFF6600"/>
      </patternFill>
    </fill>
  </fills>
  <borders count="54">
    <border/>
    <border>
      <left style="thin">
        <color rgb="FFD0D7DE"/>
      </left>
      <top style="thin">
        <color rgb="FFD0D7DE"/>
      </top>
    </border>
    <border>
      <left style="thin">
        <color rgb="FFD0D7DE"/>
      </left>
      <right style="thin">
        <color rgb="FFD0D7DE"/>
      </right>
      <top style="thin">
        <color rgb="FFD0D7DE"/>
      </top>
    </border>
    <border>
      <top style="thin">
        <color rgb="FFD0D7DE"/>
      </top>
    </border>
    <border>
      <left style="thin">
        <color rgb="FFD0D7DE"/>
      </left>
      <right style="thin">
        <color rgb="FFD0D7DE"/>
      </right>
      <top style="thin">
        <color rgb="FFD0D7DE"/>
      </top>
      <bottom style="thin">
        <color rgb="FFD0D7DE"/>
      </bottom>
    </border>
    <border>
      <right style="thin">
        <color rgb="FFD0D7DE"/>
      </right>
      <top style="thin">
        <color rgb="FFD0D7DE"/>
      </top>
    </border>
    <border>
      <left style="thin">
        <color rgb="FFD0D7DE"/>
      </left>
      <top style="thin">
        <color rgb="FFD0D7DE"/>
      </top>
      <bottom style="thin">
        <color rgb="FFD0D7DE"/>
      </bottom>
    </border>
    <border>
      <top style="thin">
        <color rgb="FFD0D7DE"/>
      </top>
      <bottom style="thin">
        <color rgb="FFD0D7DE"/>
      </bottom>
    </border>
    <border>
      <right style="thin">
        <color rgb="FFD0D7DE"/>
      </right>
      <top style="thin">
        <color rgb="FFD0D7DE"/>
      </top>
      <bottom style="thin">
        <color rgb="FFD0D7DE"/>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medium">
        <color rgb="FF000000"/>
      </top>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left style="thin">
        <color rgb="FF000000"/>
      </left>
      <right/>
      <top style="thin">
        <color rgb="FF000000"/>
      </top>
      <bottom/>
    </border>
    <border>
      <left/>
      <right/>
      <top style="thin">
        <color rgb="FF000000"/>
      </top>
      <bottom/>
    </border>
    <border>
      <right style="thin">
        <color rgb="FF000000"/>
      </right>
      <top style="thin">
        <color rgb="FF000000"/>
      </top>
    </border>
    <border>
      <left style="thin">
        <color rgb="FF000000"/>
      </left>
      <right/>
      <top/>
      <bottom/>
    </border>
    <border>
      <left/>
      <right/>
      <top/>
      <bottom style="thin">
        <color rgb="FF000000"/>
      </bottom>
    </border>
    <border>
      <left/>
      <right style="thin">
        <color rgb="FF000000"/>
      </right>
      <top/>
      <bottom style="thin">
        <color rgb="FF000000"/>
      </bottom>
    </border>
    <border>
      <left/>
      <right/>
      <top/>
      <bottom/>
    </border>
    <border>
      <left/>
      <right style="thin">
        <color rgb="FF000000"/>
      </right>
      <top/>
      <bottom/>
    </border>
    <border>
      <left style="thin">
        <color rgb="FF000000"/>
      </left>
      <right/>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border>
    <border>
      <left style="medium">
        <color rgb="FF000000"/>
      </left>
    </border>
    <border>
      <right style="medium">
        <color rgb="FF000000"/>
      </right>
    </border>
    <border>
      <left style="medium">
        <color rgb="FF000000"/>
      </left>
      <right/>
      <top/>
      <bottom/>
    </border>
    <border>
      <left/>
      <right style="medium">
        <color rgb="FF000000"/>
      </right>
      <top/>
      <bottom/>
    </border>
    <border>
      <left style="medium">
        <color rgb="FF000000"/>
      </left>
      <bottom style="medium">
        <color rgb="FF000000"/>
      </bottom>
    </border>
    <border>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28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bottom" wrapText="0"/>
    </xf>
    <xf borderId="0" fillId="3" fontId="1" numFmtId="0" xfId="0" applyAlignment="1" applyFill="1" applyFont="1">
      <alignment horizontal="center" readingOrder="0" shrinkToFit="0" vertical="center" wrapText="1"/>
    </xf>
    <xf borderId="0" fillId="0" fontId="2" numFmtId="0" xfId="0" applyAlignment="1" applyFont="1">
      <alignment horizontal="center" readingOrder="0" shrinkToFit="0" vertical="bottom" wrapText="0"/>
    </xf>
    <xf borderId="0" fillId="4" fontId="1" numFmtId="0" xfId="0" applyAlignment="1" applyFill="1" applyFont="1">
      <alignment horizontal="center" readingOrder="0" shrinkToFit="0" vertical="center" wrapText="1"/>
    </xf>
    <xf borderId="0" fillId="5" fontId="3" numFmtId="0" xfId="0" applyAlignment="1" applyFill="1" applyFont="1">
      <alignment horizontal="left" readingOrder="0" shrinkToFit="0" wrapText="1"/>
    </xf>
    <xf borderId="0" fillId="2" fontId="2" numFmtId="0" xfId="0" applyAlignment="1" applyFont="1">
      <alignment horizontal="left" readingOrder="0" shrinkToFit="0" vertical="bottom" wrapText="1"/>
    </xf>
    <xf borderId="0" fillId="6" fontId="1"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2" fontId="4" numFmtId="0" xfId="0" applyFont="1"/>
    <xf borderId="0" fillId="7" fontId="5" numFmtId="0" xfId="0" applyAlignment="1" applyFill="1" applyFont="1">
      <alignment horizontal="center" readingOrder="0" shrinkToFit="0" vertical="bottom" wrapText="0"/>
    </xf>
    <xf borderId="0" fillId="0" fontId="5" numFmtId="0" xfId="0" applyAlignment="1" applyFont="1">
      <alignment readingOrder="0" shrinkToFit="0" vertical="bottom" wrapText="0"/>
    </xf>
    <xf borderId="0" fillId="8" fontId="1" numFmtId="0" xfId="0" applyAlignment="1" applyFill="1" applyFont="1">
      <alignment horizontal="center" readingOrder="0" shrinkToFit="0" vertical="center" wrapText="1"/>
    </xf>
    <xf borderId="1" fillId="2" fontId="3" numFmtId="0" xfId="0" applyAlignment="1" applyBorder="1" applyFont="1">
      <alignment horizontal="center" readingOrder="0" shrinkToFit="0" vertical="center" wrapText="1"/>
    </xf>
    <xf borderId="2" fillId="2" fontId="3" numFmtId="0" xfId="0" applyAlignment="1" applyBorder="1" applyFont="1">
      <alignment horizontal="center" readingOrder="0" shrinkToFit="0" vertical="center" wrapText="1"/>
    </xf>
    <xf borderId="3" fillId="0" fontId="6" numFmtId="0" xfId="0" applyBorder="1" applyFont="1"/>
    <xf borderId="4" fillId="2" fontId="3" numFmtId="0" xfId="0" applyAlignment="1" applyBorder="1" applyFont="1">
      <alignment horizontal="center" readingOrder="0" shrinkToFit="0" vertical="center" wrapText="1"/>
    </xf>
    <xf borderId="0" fillId="0" fontId="7" numFmtId="0" xfId="0" applyAlignment="1" applyFont="1">
      <alignment shrinkToFit="0" vertical="bottom" wrapText="0"/>
    </xf>
    <xf borderId="5" fillId="0" fontId="6" numFmtId="0" xfId="0" applyBorder="1" applyFont="1"/>
    <xf borderId="0" fillId="0" fontId="8" numFmtId="0" xfId="0" applyAlignment="1" applyFont="1">
      <alignment shrinkToFit="0" vertical="center" wrapText="1"/>
    </xf>
    <xf borderId="4" fillId="5" fontId="3" numFmtId="0" xfId="0" applyAlignment="1" applyBorder="1" applyFont="1">
      <alignment horizontal="left" readingOrder="0" shrinkToFit="0" wrapText="1"/>
    </xf>
    <xf borderId="6" fillId="7" fontId="5" numFmtId="0" xfId="0" applyAlignment="1" applyBorder="1" applyFont="1">
      <alignment horizontal="center" readingOrder="0" shrinkToFit="0" vertical="bottom" wrapText="0"/>
    </xf>
    <xf borderId="7" fillId="0" fontId="6" numFmtId="0" xfId="0" applyBorder="1" applyFont="1"/>
    <xf borderId="7" fillId="0" fontId="5" numFmtId="0" xfId="0" applyAlignment="1" applyBorder="1" applyFont="1">
      <alignment readingOrder="0" shrinkToFit="0" vertical="bottom" wrapText="0"/>
    </xf>
    <xf borderId="7" fillId="0" fontId="5" numFmtId="0" xfId="0" applyAlignment="1" applyBorder="1" applyFont="1">
      <alignment readingOrder="0" shrinkToFit="0" vertical="bottom" wrapText="1"/>
    </xf>
    <xf borderId="0" fillId="0" fontId="9" numFmtId="0" xfId="0" applyAlignment="1" applyFont="1">
      <alignment horizontal="center" readingOrder="0" vertical="center"/>
    </xf>
    <xf borderId="8" fillId="0" fontId="6" numFmtId="0" xfId="0" applyBorder="1" applyFont="1"/>
    <xf borderId="0" fillId="0" fontId="10" numFmtId="0" xfId="0" applyAlignment="1" applyFont="1">
      <alignment horizontal="center" readingOrder="0" vertical="center"/>
    </xf>
    <xf borderId="0" fillId="9" fontId="7" numFmtId="0" xfId="0" applyAlignment="1" applyFill="1" applyFont="1">
      <alignment horizontal="center" readingOrder="0" shrinkToFit="0" vertical="center" wrapText="0"/>
    </xf>
    <xf borderId="6" fillId="7" fontId="5" numFmtId="0" xfId="0" applyAlignment="1" applyBorder="1" applyFont="1">
      <alignment horizontal="center" shrinkToFit="0" vertical="bottom" wrapText="0"/>
    </xf>
    <xf borderId="7" fillId="0" fontId="5" numFmtId="0" xfId="0" applyAlignment="1" applyBorder="1" applyFont="1">
      <alignment shrinkToFit="0" vertical="bottom" wrapText="0"/>
    </xf>
    <xf borderId="0" fillId="0" fontId="5" numFmtId="0" xfId="0" applyAlignment="1" applyFont="1">
      <alignment readingOrder="0" shrinkToFit="0" vertical="bottom" wrapText="1"/>
    </xf>
    <xf borderId="6" fillId="7" fontId="5" numFmtId="164" xfId="0" applyAlignment="1" applyBorder="1" applyFont="1" applyNumberFormat="1">
      <alignment horizontal="center" readingOrder="0" shrinkToFit="0" vertical="bottom" wrapText="0"/>
    </xf>
    <xf borderId="0" fillId="0" fontId="4" numFmtId="0" xfId="0" applyAlignment="1" applyFont="1">
      <alignment shrinkToFit="0" vertical="center" wrapText="1"/>
    </xf>
    <xf borderId="0" fillId="0" fontId="11" numFmtId="0" xfId="0" applyAlignment="1" applyFont="1">
      <alignment horizontal="center" shrinkToFit="0" vertical="center" wrapText="1"/>
    </xf>
    <xf borderId="4" fillId="7" fontId="5" numFmtId="0" xfId="0" applyAlignment="1" applyBorder="1" applyFont="1">
      <alignment horizontal="center" readingOrder="0"/>
    </xf>
    <xf borderId="0" fillId="9" fontId="12" numFmtId="0" xfId="0" applyAlignment="1" applyFont="1">
      <alignment horizontal="center" readingOrder="0" shrinkToFit="0" vertical="center" wrapText="0"/>
    </xf>
    <xf borderId="4" fillId="10" fontId="5" numFmtId="165" xfId="0" applyAlignment="1" applyBorder="1" applyFill="1" applyFont="1" applyNumberFormat="1">
      <alignment horizontal="center" readingOrder="0"/>
    </xf>
    <xf borderId="4" fillId="10" fontId="5" numFmtId="0" xfId="0" applyAlignment="1" applyBorder="1" applyFont="1">
      <alignment horizontal="center"/>
    </xf>
    <xf borderId="4" fillId="4" fontId="5" numFmtId="0" xfId="0" applyAlignment="1" applyBorder="1" applyFont="1">
      <alignment horizontal="center" readingOrder="0"/>
    </xf>
    <xf borderId="0" fillId="0" fontId="13" numFmtId="2" xfId="0" applyAlignment="1" applyFont="1" applyNumberFormat="1">
      <alignment horizontal="center" vertical="center"/>
    </xf>
    <xf borderId="0" fillId="0" fontId="13" numFmtId="0" xfId="0" applyAlignment="1" applyFont="1">
      <alignment horizontal="center" readingOrder="0" vertical="center"/>
    </xf>
    <xf borderId="4" fillId="4" fontId="5" numFmtId="0" xfId="0" applyAlignment="1" applyBorder="1" applyFont="1">
      <alignment horizontal="center"/>
    </xf>
    <xf borderId="0" fillId="11" fontId="13" numFmtId="2" xfId="0" applyAlignment="1" applyFill="1" applyFont="1" applyNumberFormat="1">
      <alignment horizontal="center" vertical="center"/>
    </xf>
    <xf borderId="4" fillId="7" fontId="5" numFmtId="0" xfId="0" applyAlignment="1" applyBorder="1" applyFont="1">
      <alignment horizontal="center"/>
    </xf>
    <xf borderId="0" fillId="6" fontId="13" numFmtId="2" xfId="0" applyAlignment="1" applyFont="1" applyNumberFormat="1">
      <alignment horizontal="center" vertical="center"/>
    </xf>
    <xf borderId="9" fillId="6" fontId="13" numFmtId="2" xfId="0" applyAlignment="1" applyBorder="1" applyFont="1" applyNumberFormat="1">
      <alignment horizontal="center" vertical="center"/>
    </xf>
    <xf borderId="10" fillId="4" fontId="4" numFmtId="0" xfId="0" applyAlignment="1" applyBorder="1" applyFont="1">
      <alignment vertical="center"/>
    </xf>
    <xf borderId="9" fillId="0" fontId="6" numFmtId="0" xfId="0" applyBorder="1" applyFont="1"/>
    <xf borderId="11" fillId="0" fontId="6" numFmtId="0" xfId="0" applyBorder="1" applyFont="1"/>
    <xf borderId="4" fillId="0" fontId="14" numFmtId="0" xfId="0" applyAlignment="1" applyBorder="1" applyFont="1">
      <alignment horizontal="center" readingOrder="0"/>
    </xf>
    <xf borderId="4" fillId="8" fontId="5" numFmtId="0" xfId="0" applyAlignment="1" applyBorder="1" applyFont="1">
      <alignment horizontal="center" readingOrder="0"/>
    </xf>
    <xf borderId="0" fillId="12" fontId="15" numFmtId="0" xfId="0" applyAlignment="1" applyFill="1" applyFont="1">
      <alignment horizontal="right" vertical="bottom"/>
    </xf>
    <xf borderId="0" fillId="9" fontId="7" numFmtId="0" xfId="0" applyAlignment="1" applyFont="1">
      <alignment horizontal="center" readingOrder="0" vertical="center"/>
    </xf>
    <xf borderId="0" fillId="9" fontId="16" numFmtId="0" xfId="0" applyAlignment="1" applyFont="1">
      <alignment horizontal="center" readingOrder="0" shrinkToFit="0" vertical="center" wrapText="0"/>
    </xf>
    <xf borderId="4" fillId="0" fontId="7" numFmtId="0" xfId="0" applyAlignment="1" applyBorder="1" applyFont="1">
      <alignment horizontal="center" readingOrder="0"/>
    </xf>
    <xf borderId="0" fillId="0" fontId="9" numFmtId="0" xfId="0" applyAlignment="1" applyFont="1">
      <alignment horizontal="center" vertical="center"/>
    </xf>
    <xf borderId="0" fillId="0" fontId="10" numFmtId="0" xfId="0" applyAlignment="1" applyFont="1">
      <alignment horizontal="center" vertical="center"/>
    </xf>
    <xf borderId="0" fillId="0" fontId="9" numFmtId="0" xfId="0" applyAlignment="1" applyFont="1">
      <alignment vertical="center"/>
    </xf>
    <xf borderId="0" fillId="0" fontId="13" numFmtId="2" xfId="0" applyAlignment="1" applyFont="1" applyNumberFormat="1">
      <alignment horizontal="center" readingOrder="0" vertical="center"/>
    </xf>
    <xf borderId="12" fillId="0" fontId="9" numFmtId="0" xfId="0" applyAlignment="1" applyBorder="1" applyFont="1">
      <alignment horizontal="center" vertical="center"/>
    </xf>
    <xf borderId="12" fillId="0" fontId="10" numFmtId="0" xfId="0" applyAlignment="1" applyBorder="1" applyFont="1">
      <alignment horizontal="center" vertical="center"/>
    </xf>
    <xf borderId="12" fillId="0" fontId="9" numFmtId="0" xfId="0" applyAlignment="1" applyBorder="1" applyFont="1">
      <alignment vertical="center"/>
    </xf>
    <xf borderId="12" fillId="0" fontId="6" numFmtId="0" xfId="0" applyBorder="1" applyFont="1"/>
    <xf borderId="12" fillId="0" fontId="9" numFmtId="0" xfId="0" applyAlignment="1" applyBorder="1" applyFont="1">
      <alignment horizontal="center" readingOrder="0" vertical="center"/>
    </xf>
    <xf borderId="12" fillId="0" fontId="13" numFmtId="2" xfId="0" applyAlignment="1" applyBorder="1" applyFont="1" applyNumberFormat="1">
      <alignment horizontal="center" readingOrder="0" vertical="center"/>
    </xf>
    <xf borderId="12" fillId="11" fontId="13" numFmtId="2" xfId="0" applyAlignment="1" applyBorder="1" applyFont="1" applyNumberFormat="1">
      <alignment horizontal="center" vertical="center"/>
    </xf>
    <xf borderId="13" fillId="0" fontId="6" numFmtId="0" xfId="0" applyBorder="1" applyFont="1"/>
    <xf borderId="14" fillId="0" fontId="6" numFmtId="0" xfId="0" applyBorder="1" applyFont="1"/>
    <xf borderId="0" fillId="0" fontId="7" numFmtId="0" xfId="0" applyAlignment="1" applyFont="1">
      <alignment horizontal="center" readingOrder="0" shrinkToFit="0" vertical="center" wrapText="0"/>
    </xf>
    <xf borderId="0" fillId="0" fontId="4" numFmtId="0" xfId="0" applyFont="1"/>
    <xf borderId="15" fillId="0" fontId="13" numFmtId="0" xfId="0" applyAlignment="1" applyBorder="1" applyFont="1">
      <alignment vertical="bottom"/>
    </xf>
    <xf borderId="15" fillId="0" fontId="13" numFmtId="0" xfId="0" applyBorder="1" applyFont="1"/>
    <xf borderId="0" fillId="0" fontId="15" numFmtId="0" xfId="0" applyAlignment="1" applyFont="1">
      <alignment horizontal="center" readingOrder="0" shrinkToFit="0" vertical="center" wrapText="0"/>
    </xf>
    <xf borderId="0" fillId="0" fontId="13" numFmtId="0" xfId="0" applyAlignment="1" applyFont="1">
      <alignment vertical="bottom"/>
    </xf>
    <xf borderId="0" fillId="0" fontId="12" numFmtId="0" xfId="0" applyAlignment="1" applyFont="1">
      <alignment horizontal="center" readingOrder="0" shrinkToFit="0" vertical="center" wrapText="0"/>
    </xf>
    <xf borderId="14" fillId="0" fontId="13" numFmtId="0" xfId="0" applyAlignment="1" applyBorder="1" applyFont="1">
      <alignment vertical="bottom"/>
    </xf>
    <xf borderId="13" fillId="0" fontId="11" numFmtId="0" xfId="0" applyAlignment="1" applyBorder="1" applyFont="1">
      <alignment horizontal="center" vertical="bottom"/>
    </xf>
    <xf borderId="0" fillId="0" fontId="7" numFmtId="0" xfId="0" applyAlignment="1" applyFont="1">
      <alignment horizontal="center" readingOrder="0" vertical="center"/>
    </xf>
    <xf borderId="13" fillId="0" fontId="11" numFmtId="0" xfId="0" applyAlignment="1" applyBorder="1" applyFont="1">
      <alignment horizontal="center"/>
    </xf>
    <xf borderId="15" fillId="0" fontId="11" numFmtId="0" xfId="0" applyAlignment="1" applyBorder="1" applyFont="1">
      <alignment horizontal="center"/>
    </xf>
    <xf borderId="0" fillId="0" fontId="9" numFmtId="0" xfId="0" applyAlignment="1" applyFont="1">
      <alignment horizontal="center" vertical="bottom"/>
    </xf>
    <xf borderId="0" fillId="0" fontId="10" numFmtId="0" xfId="0" applyAlignment="1" applyFont="1">
      <alignment horizontal="center" vertical="bottom"/>
    </xf>
    <xf borderId="0" fillId="0" fontId="9" numFmtId="0" xfId="0" applyAlignment="1" applyFont="1">
      <alignment vertical="bottom"/>
    </xf>
    <xf borderId="14" fillId="0" fontId="11" numFmtId="0" xfId="0" applyAlignment="1" applyBorder="1" applyFont="1">
      <alignment horizontal="center" vertical="bottom"/>
    </xf>
    <xf borderId="13" fillId="0" fontId="17" numFmtId="0" xfId="0" applyAlignment="1" applyBorder="1" applyFont="1">
      <alignment horizontal="center" vertical="bottom"/>
    </xf>
    <xf borderId="0" fillId="0" fontId="13" numFmtId="2" xfId="0" applyAlignment="1" applyFont="1" applyNumberFormat="1">
      <alignment horizontal="center" vertical="bottom"/>
    </xf>
    <xf borderId="0" fillId="0" fontId="13" numFmtId="0" xfId="0" applyAlignment="1" applyFont="1">
      <alignment horizontal="center"/>
    </xf>
    <xf borderId="0" fillId="11" fontId="13" numFmtId="2" xfId="0" applyAlignment="1" applyFont="1" applyNumberFormat="1">
      <alignment horizontal="center" vertical="bottom"/>
    </xf>
    <xf borderId="0" fillId="0" fontId="13" numFmtId="2" xfId="0" applyAlignment="1" applyFont="1" applyNumberFormat="1">
      <alignment horizontal="center"/>
    </xf>
    <xf borderId="9" fillId="0" fontId="17" numFmtId="0" xfId="0" applyAlignment="1" applyBorder="1" applyFont="1">
      <alignment horizontal="center" vertical="bottom"/>
    </xf>
    <xf borderId="0" fillId="6" fontId="13" numFmtId="2" xfId="0" applyAlignment="1" applyFont="1" applyNumberFormat="1">
      <alignment horizontal="center"/>
    </xf>
    <xf borderId="9" fillId="6" fontId="13" numFmtId="2" xfId="0" applyAlignment="1" applyBorder="1" applyFont="1" applyNumberFormat="1">
      <alignment horizontal="center"/>
    </xf>
    <xf borderId="9" fillId="0" fontId="13" numFmtId="0" xfId="0" applyAlignment="1" applyBorder="1" applyFont="1">
      <alignment vertical="bottom"/>
    </xf>
    <xf borderId="10" fillId="4" fontId="4" numFmtId="0" xfId="0" applyBorder="1" applyFont="1"/>
    <xf borderId="16" fillId="0" fontId="11" numFmtId="0" xfId="0" applyAlignment="1" applyBorder="1" applyFont="1">
      <alignment horizontal="center" vertical="bottom"/>
    </xf>
    <xf borderId="4" fillId="10" fontId="5" numFmtId="165" xfId="0" applyAlignment="1" applyBorder="1" applyFont="1" applyNumberFormat="1">
      <alignment horizontal="center"/>
    </xf>
    <xf borderId="17" fillId="13" fontId="9" numFmtId="0" xfId="0" applyAlignment="1" applyBorder="1" applyFill="1" applyFont="1">
      <alignment horizontal="center" vertical="bottom"/>
    </xf>
    <xf borderId="18" fillId="13" fontId="9" numFmtId="0" xfId="0" applyAlignment="1" applyBorder="1" applyFont="1">
      <alignment horizontal="center" vertical="bottom"/>
    </xf>
    <xf borderId="18" fillId="14" fontId="9" numFmtId="0" xfId="0" applyAlignment="1" applyBorder="1" applyFill="1" applyFont="1">
      <alignment horizontal="center" vertical="bottom"/>
    </xf>
    <xf borderId="19" fillId="14" fontId="9" numFmtId="0" xfId="0" applyAlignment="1" applyBorder="1" applyFont="1">
      <alignment horizontal="center" vertical="bottom"/>
    </xf>
    <xf borderId="20" fillId="15" fontId="9" numFmtId="0" xfId="0" applyAlignment="1" applyBorder="1" applyFill="1" applyFont="1">
      <alignment horizontal="center" vertical="bottom"/>
    </xf>
    <xf borderId="0" fillId="12" fontId="13" numFmtId="0" xfId="0" applyAlignment="1" applyFont="1">
      <alignment vertical="bottom"/>
    </xf>
    <xf borderId="21" fillId="15" fontId="9" numFmtId="0" xfId="0" applyAlignment="1" applyBorder="1" applyFont="1">
      <alignment horizontal="center" vertical="bottom"/>
    </xf>
    <xf borderId="12" fillId="0" fontId="9" numFmtId="0" xfId="0" applyAlignment="1" applyBorder="1" applyFont="1">
      <alignment horizontal="center" vertical="bottom"/>
    </xf>
    <xf borderId="12" fillId="0" fontId="10" numFmtId="0" xfId="0" applyAlignment="1" applyBorder="1" applyFont="1">
      <alignment horizontal="center" vertical="bottom"/>
    </xf>
    <xf borderId="12" fillId="0" fontId="9" numFmtId="0" xfId="0" applyAlignment="1" applyBorder="1" applyFont="1">
      <alignment vertical="bottom"/>
    </xf>
    <xf borderId="12" fillId="0" fontId="13" numFmtId="2" xfId="0" applyAlignment="1" applyBorder="1" applyFont="1" applyNumberFormat="1">
      <alignment horizontal="center" vertical="bottom"/>
    </xf>
    <xf borderId="21" fillId="16" fontId="9" numFmtId="0" xfId="0" applyAlignment="1" applyBorder="1" applyFill="1" applyFont="1">
      <alignment horizontal="center" vertical="bottom"/>
    </xf>
    <xf borderId="12" fillId="11" fontId="13" numFmtId="2" xfId="0" applyAlignment="1" applyBorder="1" applyFont="1" applyNumberFormat="1">
      <alignment horizontal="center" vertical="bottom"/>
    </xf>
    <xf borderId="22" fillId="16" fontId="9" numFmtId="0" xfId="0" applyAlignment="1" applyBorder="1" applyFont="1">
      <alignment horizontal="center" vertical="bottom"/>
    </xf>
    <xf borderId="20" fillId="13" fontId="9" numFmtId="0" xfId="0" applyAlignment="1" applyBorder="1" applyFont="1">
      <alignment horizontal="center" vertical="bottom"/>
    </xf>
    <xf borderId="21" fillId="13" fontId="9" numFmtId="0" xfId="0" applyAlignment="1" applyBorder="1" applyFont="1">
      <alignment horizontal="center" vertical="bottom"/>
    </xf>
    <xf borderId="22" fillId="15" fontId="9" numFmtId="0" xfId="0" applyAlignment="1" applyBorder="1" applyFont="1">
      <alignment horizontal="center" vertical="bottom"/>
    </xf>
    <xf borderId="23" fillId="13" fontId="9" numFmtId="0" xfId="0" applyAlignment="1" applyBorder="1" applyFont="1">
      <alignment horizontal="center" vertical="bottom"/>
    </xf>
    <xf borderId="24" fillId="13" fontId="9" numFmtId="0" xfId="0" applyAlignment="1" applyBorder="1" applyFont="1">
      <alignment horizontal="center" vertical="bottom"/>
    </xf>
    <xf borderId="24" fillId="14" fontId="9" numFmtId="0" xfId="0" applyAlignment="1" applyBorder="1" applyFont="1">
      <alignment horizontal="center" vertical="bottom"/>
    </xf>
    <xf borderId="25" fillId="14" fontId="9" numFmtId="0" xfId="0" applyAlignment="1" applyBorder="1" applyFont="1">
      <alignment horizontal="center" vertical="bottom"/>
    </xf>
    <xf borderId="26" fillId="0" fontId="13" numFmtId="0" xfId="0" applyAlignment="1" applyBorder="1" applyFont="1">
      <alignment vertical="bottom"/>
    </xf>
    <xf borderId="27" fillId="0" fontId="13" numFmtId="0" xfId="0" applyAlignment="1" applyBorder="1" applyFont="1">
      <alignment vertical="bottom"/>
    </xf>
    <xf borderId="28" fillId="0" fontId="13" numFmtId="0" xfId="0" applyAlignment="1" applyBorder="1" applyFont="1">
      <alignment vertical="bottom"/>
    </xf>
    <xf borderId="29" fillId="0" fontId="11" numFmtId="0" xfId="0" applyAlignment="1" applyBorder="1" applyFont="1">
      <alignment vertical="bottom"/>
    </xf>
    <xf borderId="21" fillId="0" fontId="13" numFmtId="0" xfId="0" applyAlignment="1" applyBorder="1" applyFont="1">
      <alignment vertical="bottom"/>
    </xf>
    <xf borderId="16" fillId="0" fontId="11" numFmtId="0" xfId="0" applyAlignment="1" applyBorder="1" applyFont="1">
      <alignment vertical="bottom"/>
    </xf>
    <xf borderId="13" fillId="0" fontId="13" numFmtId="0" xfId="0" applyAlignment="1" applyBorder="1" applyFont="1">
      <alignment vertical="bottom"/>
    </xf>
    <xf borderId="15" fillId="0" fontId="11" numFmtId="0" xfId="0" applyAlignment="1" applyBorder="1" applyFont="1">
      <alignment horizontal="center" vertical="bottom"/>
    </xf>
    <xf borderId="21" fillId="0" fontId="11" numFmtId="0" xfId="0" applyAlignment="1" applyBorder="1" applyFont="1">
      <alignment horizontal="center" vertical="bottom"/>
    </xf>
    <xf borderId="30" fillId="9" fontId="18" numFmtId="0" xfId="0" applyAlignment="1" applyBorder="1" applyFont="1">
      <alignment vertical="bottom"/>
    </xf>
    <xf borderId="31" fillId="9" fontId="13" numFmtId="0" xfId="0" applyAlignment="1" applyBorder="1" applyFont="1">
      <alignment vertical="bottom"/>
    </xf>
    <xf borderId="32" fillId="0" fontId="13" numFmtId="0" xfId="0" applyAlignment="1" applyBorder="1" applyFont="1">
      <alignment vertical="bottom"/>
    </xf>
    <xf borderId="14" fillId="0" fontId="9" numFmtId="0" xfId="0" applyAlignment="1" applyBorder="1" applyFont="1">
      <alignment vertical="bottom"/>
    </xf>
    <xf borderId="13" fillId="0" fontId="9" numFmtId="0" xfId="0" applyAlignment="1" applyBorder="1" applyFont="1">
      <alignment horizontal="center" vertical="bottom"/>
    </xf>
    <xf borderId="14" fillId="0" fontId="9" numFmtId="0" xfId="0" applyAlignment="1" applyBorder="1" applyFont="1">
      <alignment horizontal="center" vertical="bottom"/>
    </xf>
    <xf borderId="33" fillId="9" fontId="11" numFmtId="0" xfId="0" applyAlignment="1" applyBorder="1" applyFont="1">
      <alignment vertical="bottom"/>
    </xf>
    <xf borderId="34" fillId="9" fontId="11" numFmtId="0" xfId="0" applyAlignment="1" applyBorder="1" applyFont="1">
      <alignment horizontal="center" vertical="bottom"/>
    </xf>
    <xf borderId="35" fillId="9" fontId="11" numFmtId="0" xfId="0" applyAlignment="1" applyBorder="1" applyFont="1">
      <alignment horizontal="center" vertical="bottom"/>
    </xf>
    <xf borderId="10" fillId="0" fontId="9" numFmtId="0" xfId="0" applyAlignment="1" applyBorder="1" applyFont="1">
      <alignment horizontal="center"/>
    </xf>
    <xf borderId="0" fillId="0" fontId="11" numFmtId="0" xfId="0" applyAlignment="1" applyFont="1">
      <alignment vertical="bottom"/>
    </xf>
    <xf borderId="30" fillId="9" fontId="9" numFmtId="0" xfId="0" applyAlignment="1" applyBorder="1" applyFont="1">
      <alignment vertical="bottom"/>
    </xf>
    <xf borderId="36" fillId="9" fontId="9" numFmtId="0" xfId="0" applyAlignment="1" applyBorder="1" applyFont="1">
      <alignment horizontal="center" vertical="bottom"/>
    </xf>
    <xf borderId="37" fillId="9" fontId="9" numFmtId="0" xfId="0" applyAlignment="1" applyBorder="1" applyFont="1">
      <alignment horizontal="center" vertical="bottom"/>
    </xf>
    <xf borderId="33" fillId="9" fontId="9" numFmtId="0" xfId="0" applyAlignment="1" applyBorder="1" applyFont="1">
      <alignment vertical="bottom"/>
    </xf>
    <xf borderId="0" fillId="0" fontId="13" numFmtId="0" xfId="0" applyAlignment="1" applyFont="1">
      <alignment horizontal="right" vertical="bottom"/>
    </xf>
    <xf borderId="4" fillId="8" fontId="5" numFmtId="0" xfId="0" applyAlignment="1" applyBorder="1" applyFont="1">
      <alignment horizontal="center"/>
    </xf>
    <xf borderId="36" fillId="9" fontId="13" numFmtId="0" xfId="0" applyAlignment="1" applyBorder="1" applyFont="1">
      <alignment vertical="bottom"/>
    </xf>
    <xf borderId="12" fillId="0" fontId="11" numFmtId="0" xfId="0" applyAlignment="1" applyBorder="1" applyFont="1">
      <alignment vertical="bottom"/>
    </xf>
    <xf borderId="37" fillId="9" fontId="13" numFmtId="0" xfId="0" applyAlignment="1" applyBorder="1" applyFont="1">
      <alignment vertical="bottom"/>
    </xf>
    <xf borderId="12" fillId="0" fontId="11" numFmtId="0" xfId="0" applyAlignment="1" applyBorder="1" applyFont="1">
      <alignment horizontal="center" vertical="bottom"/>
    </xf>
    <xf borderId="12" fillId="0" fontId="11" numFmtId="2" xfId="0" applyAlignment="1" applyBorder="1" applyFont="1" applyNumberFormat="1">
      <alignment horizontal="center" vertical="bottom"/>
    </xf>
    <xf borderId="38" fillId="9" fontId="13" numFmtId="0" xfId="0" applyAlignment="1" applyBorder="1" applyFont="1">
      <alignment vertical="bottom"/>
    </xf>
    <xf borderId="0" fillId="0" fontId="11" numFmtId="0" xfId="0" applyAlignment="1" applyFont="1">
      <alignment horizontal="center" vertical="bottom"/>
    </xf>
    <xf borderId="39" fillId="9" fontId="9" numFmtId="0" xfId="0" applyAlignment="1" applyBorder="1" applyFont="1">
      <alignment horizontal="center" vertical="bottom"/>
    </xf>
    <xf borderId="40" fillId="9" fontId="9" numFmtId="0" xfId="0" applyAlignment="1" applyBorder="1" applyFont="1">
      <alignment horizontal="center" vertical="bottom"/>
    </xf>
    <xf borderId="12" fillId="0" fontId="13" numFmtId="0" xfId="0" applyAlignment="1" applyBorder="1" applyFont="1">
      <alignment horizontal="center"/>
    </xf>
    <xf borderId="41" fillId="0" fontId="13" numFmtId="0" xfId="0" applyAlignment="1" applyBorder="1" applyFont="1">
      <alignment vertical="bottom"/>
    </xf>
    <xf borderId="42" fillId="0" fontId="13" numFmtId="3" xfId="0" applyAlignment="1" applyBorder="1" applyFont="1" applyNumberFormat="1">
      <alignment horizontal="center" vertical="bottom"/>
    </xf>
    <xf borderId="36" fillId="17" fontId="13" numFmtId="0" xfId="0" applyAlignment="1" applyBorder="1" applyFill="1" applyFont="1">
      <alignment horizontal="right" vertical="bottom"/>
    </xf>
    <xf borderId="36" fillId="9" fontId="9" numFmtId="0" xfId="0" applyAlignment="1" applyBorder="1" applyFont="1">
      <alignment vertical="bottom"/>
    </xf>
    <xf borderId="0" fillId="0" fontId="11" numFmtId="166" xfId="0" applyAlignment="1" applyFont="1" applyNumberFormat="1">
      <alignment horizontal="center" vertical="bottom"/>
    </xf>
    <xf borderId="42" fillId="0" fontId="13" numFmtId="167" xfId="0" applyAlignment="1" applyBorder="1" applyFont="1" applyNumberFormat="1">
      <alignment horizontal="center" vertical="bottom"/>
    </xf>
    <xf borderId="42" fillId="0" fontId="13" numFmtId="2" xfId="0" applyAlignment="1" applyBorder="1" applyFont="1" applyNumberFormat="1">
      <alignment horizontal="center" vertical="bottom"/>
    </xf>
    <xf borderId="32" fillId="0" fontId="13" numFmtId="2" xfId="0" applyAlignment="1" applyBorder="1" applyFont="1" applyNumberFormat="1">
      <alignment horizontal="center" vertical="bottom"/>
    </xf>
    <xf borderId="10" fillId="0" fontId="13" numFmtId="2" xfId="0" applyAlignment="1" applyBorder="1" applyFont="1" applyNumberFormat="1">
      <alignment horizontal="center"/>
    </xf>
    <xf borderId="43" fillId="0" fontId="11" numFmtId="0" xfId="0" applyAlignment="1" applyBorder="1" applyFont="1">
      <alignment vertical="bottom"/>
    </xf>
    <xf borderId="44" fillId="0" fontId="11" numFmtId="0" xfId="0" applyAlignment="1" applyBorder="1" applyFont="1">
      <alignment horizontal="center" vertical="bottom"/>
    </xf>
    <xf borderId="44" fillId="0" fontId="11" numFmtId="2" xfId="0" applyAlignment="1" applyBorder="1" applyFont="1" applyNumberFormat="1">
      <alignment horizontal="center" vertical="bottom"/>
    </xf>
    <xf borderId="45" fillId="0" fontId="11" numFmtId="0" xfId="0" applyAlignment="1" applyBorder="1" applyFont="1">
      <alignment horizontal="center" vertical="bottom"/>
    </xf>
    <xf borderId="12" fillId="0" fontId="11" numFmtId="168" xfId="0" applyAlignment="1" applyBorder="1" applyFont="1" applyNumberFormat="1">
      <alignment vertical="bottom"/>
    </xf>
    <xf borderId="46" fillId="0" fontId="13" numFmtId="0" xfId="0" applyAlignment="1" applyBorder="1" applyFont="1">
      <alignment vertical="bottom"/>
    </xf>
    <xf borderId="0" fillId="0" fontId="13" numFmtId="3" xfId="0" applyAlignment="1" applyFont="1" applyNumberFormat="1">
      <alignment vertical="bottom"/>
    </xf>
    <xf borderId="0" fillId="0" fontId="13" numFmtId="166" xfId="0" applyAlignment="1" applyFont="1" applyNumberFormat="1">
      <alignment vertical="bottom"/>
    </xf>
    <xf borderId="9" fillId="0" fontId="13" numFmtId="166" xfId="0" applyAlignment="1" applyBorder="1" applyFont="1" applyNumberFormat="1">
      <alignment vertical="bottom"/>
    </xf>
    <xf borderId="0" fillId="0" fontId="13" numFmtId="167" xfId="0" applyAlignment="1" applyFont="1" applyNumberFormat="1">
      <alignment vertical="bottom"/>
    </xf>
    <xf borderId="0" fillId="0" fontId="13" numFmtId="2" xfId="0" applyAlignment="1" applyFont="1" applyNumberFormat="1">
      <alignment vertical="bottom"/>
    </xf>
    <xf borderId="9" fillId="0" fontId="13" numFmtId="2" xfId="0" applyAlignment="1" applyBorder="1" applyFont="1" applyNumberFormat="1">
      <alignment vertical="bottom"/>
    </xf>
    <xf borderId="11" fillId="0" fontId="13" numFmtId="2" xfId="0" applyBorder="1" applyFont="1" applyNumberFormat="1"/>
    <xf borderId="47" fillId="0" fontId="13" numFmtId="0" xfId="0" applyAlignment="1" applyBorder="1" applyFont="1">
      <alignment vertical="bottom"/>
    </xf>
    <xf borderId="0" fillId="0" fontId="13" numFmtId="0" xfId="0" applyAlignment="1" applyFont="1">
      <alignment horizontal="center" vertical="bottom"/>
    </xf>
    <xf borderId="0" fillId="0" fontId="13" numFmtId="49" xfId="0" applyAlignment="1" applyFont="1" applyNumberFormat="1">
      <alignment horizontal="center" vertical="bottom"/>
    </xf>
    <xf borderId="0" fillId="0" fontId="13" numFmtId="168" xfId="0" applyAlignment="1" applyFont="1" applyNumberFormat="1">
      <alignment horizontal="center" vertical="bottom"/>
    </xf>
    <xf borderId="0" fillId="0" fontId="13" numFmtId="168" xfId="0" applyAlignment="1" applyFont="1" applyNumberFormat="1">
      <alignment vertical="bottom"/>
    </xf>
    <xf borderId="0" fillId="0" fontId="13" numFmtId="167" xfId="0" applyAlignment="1" applyFont="1" applyNumberFormat="1">
      <alignment horizontal="center" vertical="bottom"/>
    </xf>
    <xf borderId="48" fillId="0" fontId="13" numFmtId="2" xfId="0" applyAlignment="1" applyBorder="1" applyFont="1" applyNumberFormat="1">
      <alignment horizontal="center" vertical="bottom"/>
    </xf>
    <xf borderId="0" fillId="12" fontId="19" numFmtId="0" xfId="0" applyAlignment="1" applyFont="1">
      <alignment horizontal="right" vertical="bottom"/>
    </xf>
    <xf borderId="0" fillId="0" fontId="13" numFmtId="3" xfId="0" applyAlignment="1" applyFont="1" applyNumberFormat="1">
      <alignment horizontal="center" vertical="bottom"/>
    </xf>
    <xf borderId="9" fillId="0" fontId="13" numFmtId="2" xfId="0" applyAlignment="1" applyBorder="1" applyFont="1" applyNumberFormat="1">
      <alignment horizontal="center" vertical="bottom"/>
    </xf>
    <xf borderId="16" fillId="0" fontId="13" numFmtId="0" xfId="0" applyAlignment="1" applyBorder="1" applyFont="1">
      <alignment vertical="bottom"/>
    </xf>
    <xf borderId="12" fillId="0" fontId="13" numFmtId="3" xfId="0" applyAlignment="1" applyBorder="1" applyFont="1" applyNumberFormat="1">
      <alignment vertical="bottom"/>
    </xf>
    <xf borderId="12" fillId="0" fontId="13" numFmtId="166" xfId="0" applyAlignment="1" applyBorder="1" applyFont="1" applyNumberFormat="1">
      <alignment vertical="bottom"/>
    </xf>
    <xf borderId="13" fillId="0" fontId="13" numFmtId="166" xfId="0" applyAlignment="1" applyBorder="1" applyFont="1" applyNumberFormat="1">
      <alignment vertical="bottom"/>
    </xf>
    <xf borderId="12" fillId="0" fontId="13" numFmtId="167" xfId="0" applyAlignment="1" applyBorder="1" applyFont="1" applyNumberFormat="1">
      <alignment vertical="bottom"/>
    </xf>
    <xf borderId="12" fillId="0" fontId="13" numFmtId="2" xfId="0" applyAlignment="1" applyBorder="1" applyFont="1" applyNumberFormat="1">
      <alignment vertical="bottom"/>
    </xf>
    <xf borderId="13" fillId="0" fontId="13" numFmtId="2" xfId="0" applyAlignment="1" applyBorder="1" applyFont="1" applyNumberFormat="1">
      <alignment vertical="bottom"/>
    </xf>
    <xf borderId="14" fillId="0" fontId="13" numFmtId="2" xfId="0" applyBorder="1" applyFont="1" applyNumberFormat="1"/>
    <xf borderId="9" fillId="0" fontId="13" numFmtId="2" xfId="0" applyBorder="1" applyFont="1" applyNumberFormat="1"/>
    <xf borderId="36" fillId="17" fontId="13" numFmtId="0" xfId="0" applyAlignment="1" applyBorder="1" applyFont="1">
      <alignment vertical="bottom"/>
    </xf>
    <xf borderId="13" fillId="0" fontId="13" numFmtId="2" xfId="0" applyBorder="1" applyFont="1" applyNumberFormat="1"/>
    <xf borderId="49" fillId="18" fontId="11" numFmtId="0" xfId="0" applyAlignment="1" applyBorder="1" applyFill="1" applyFont="1">
      <alignment vertical="bottom"/>
    </xf>
    <xf borderId="36" fillId="18" fontId="11" numFmtId="0" xfId="0" applyAlignment="1" applyBorder="1" applyFont="1">
      <alignment horizontal="center" vertical="bottom"/>
    </xf>
    <xf borderId="36" fillId="18" fontId="11" numFmtId="168" xfId="0" applyAlignment="1" applyBorder="1" applyFont="1" applyNumberFormat="1">
      <alignment horizontal="center" vertical="bottom"/>
    </xf>
    <xf borderId="50" fillId="18" fontId="11" numFmtId="2" xfId="0" applyAlignment="1" applyBorder="1" applyFont="1" applyNumberFormat="1">
      <alignment horizontal="center" vertical="bottom"/>
    </xf>
    <xf borderId="9" fillId="0" fontId="13" numFmtId="2" xfId="0" applyAlignment="1" applyBorder="1" applyFont="1" applyNumberFormat="1">
      <alignment horizontal="center"/>
    </xf>
    <xf borderId="50" fillId="19" fontId="11" numFmtId="2" xfId="0" applyAlignment="1" applyBorder="1" applyFill="1" applyFont="1" applyNumberFormat="1">
      <alignment horizontal="center" vertical="bottom"/>
    </xf>
    <xf borderId="51" fillId="0" fontId="13" numFmtId="0" xfId="0" applyAlignment="1" applyBorder="1" applyFont="1">
      <alignment vertical="bottom"/>
    </xf>
    <xf borderId="52" fillId="0" fontId="13" numFmtId="0" xfId="0" applyAlignment="1" applyBorder="1" applyFont="1">
      <alignment vertical="bottom"/>
    </xf>
    <xf borderId="52" fillId="0" fontId="11" numFmtId="0" xfId="0" applyAlignment="1" applyBorder="1" applyFont="1">
      <alignment horizontal="right" vertical="bottom"/>
    </xf>
    <xf borderId="53" fillId="20" fontId="11" numFmtId="2" xfId="0" applyAlignment="1" applyBorder="1" applyFill="1" applyFont="1" applyNumberFormat="1">
      <alignment horizontal="center" vertical="bottom"/>
    </xf>
    <xf borderId="0" fillId="0" fontId="20" numFmtId="0" xfId="0" applyAlignment="1" applyFont="1">
      <alignment vertical="bottom"/>
    </xf>
    <xf borderId="32" fillId="0" fontId="13" numFmtId="2" xfId="0" applyAlignment="1" applyBorder="1" applyFont="1" applyNumberFormat="1">
      <alignment horizontal="center"/>
    </xf>
    <xf borderId="0" fillId="0" fontId="13" numFmtId="168" xfId="0" applyFont="1" applyNumberFormat="1"/>
    <xf borderId="0" fillId="0" fontId="4" numFmtId="0" xfId="0" applyAlignment="1" applyFont="1">
      <alignment horizontal="center"/>
    </xf>
    <xf borderId="0" fillId="0" fontId="21" numFmtId="0" xfId="0" applyAlignment="1" applyFont="1">
      <alignment horizontal="center" shrinkToFit="0" vertical="bottom" wrapText="0"/>
    </xf>
    <xf borderId="0" fillId="0" fontId="22" numFmtId="0" xfId="0" applyAlignment="1" applyFont="1">
      <alignment horizontal="center" shrinkToFit="0" vertical="bottom" wrapText="0"/>
    </xf>
    <xf borderId="21" fillId="9" fontId="12" numFmtId="0" xfId="0" applyAlignment="1" applyBorder="1" applyFont="1">
      <alignment horizontal="left" readingOrder="0"/>
    </xf>
    <xf borderId="21" fillId="0" fontId="12" numFmtId="0" xfId="0" applyAlignment="1" applyBorder="1" applyFont="1">
      <alignment horizontal="center" readingOrder="0" shrinkToFit="0" vertical="bottom" wrapText="0"/>
    </xf>
    <xf borderId="21" fillId="0" fontId="12" numFmtId="167" xfId="0" applyAlignment="1" applyBorder="1" applyFont="1" applyNumberFormat="1">
      <alignment horizontal="center" readingOrder="0" shrinkToFit="0" vertical="bottom" wrapText="0"/>
    </xf>
    <xf borderId="21" fillId="0" fontId="22" numFmtId="2" xfId="0" applyAlignment="1" applyBorder="1" applyFont="1" applyNumberFormat="1">
      <alignment horizontal="center" readingOrder="0" shrinkToFit="0" vertical="bottom" wrapText="0"/>
    </xf>
    <xf borderId="0" fillId="0" fontId="12" numFmtId="0" xfId="0" applyAlignment="1" applyFont="1">
      <alignment horizontal="center" shrinkToFit="0" vertical="bottom" wrapText="0"/>
    </xf>
    <xf borderId="0" fillId="0" fontId="22" numFmtId="0" xfId="0" applyAlignment="1" applyFont="1">
      <alignment shrinkToFit="0" vertical="bottom" wrapText="0"/>
    </xf>
    <xf borderId="21" fillId="9" fontId="12" numFmtId="0" xfId="0" applyAlignment="1" applyBorder="1" applyFont="1">
      <alignment horizontal="left" readingOrder="0" shrinkToFit="0" wrapText="0"/>
    </xf>
    <xf borderId="21" fillId="9" fontId="7" numFmtId="0" xfId="0" applyAlignment="1" applyBorder="1" applyFont="1">
      <alignment horizontal="left" readingOrder="0" shrinkToFit="0" wrapText="0"/>
    </xf>
    <xf borderId="21" fillId="0" fontId="7" numFmtId="0" xfId="0" applyAlignment="1" applyBorder="1" applyFont="1">
      <alignment horizontal="left" readingOrder="0" shrinkToFit="0" vertical="bottom" wrapText="0"/>
    </xf>
    <xf borderId="0" fillId="12" fontId="10" numFmtId="0" xfId="0" applyAlignment="1" applyFont="1">
      <alignment horizontal="right" vertical="bottom"/>
    </xf>
    <xf borderId="21" fillId="9" fontId="7" numFmtId="0" xfId="0" applyAlignment="1" applyBorder="1" applyFont="1">
      <alignment horizontal="left" readingOrder="0"/>
    </xf>
    <xf borderId="21" fillId="18" fontId="21" numFmtId="0" xfId="0" applyAlignment="1" applyBorder="1" applyFont="1">
      <alignment horizontal="left" shrinkToFit="0" vertical="bottom" wrapText="0"/>
    </xf>
    <xf borderId="21" fillId="18" fontId="21" numFmtId="0" xfId="0" applyAlignment="1" applyBorder="1" applyFont="1">
      <alignment horizontal="center" shrinkToFit="0" vertical="bottom" wrapText="0"/>
    </xf>
    <xf borderId="21" fillId="18" fontId="12" numFmtId="0" xfId="0" applyAlignment="1" applyBorder="1" applyFont="1">
      <alignment readingOrder="0" shrinkToFit="0" vertical="bottom" wrapText="0"/>
    </xf>
    <xf borderId="21" fillId="18" fontId="21" numFmtId="0" xfId="0" applyAlignment="1" applyBorder="1" applyFont="1">
      <alignment horizontal="center" readingOrder="0" shrinkToFit="0" vertical="bottom" wrapText="0"/>
    </xf>
    <xf borderId="21" fillId="18" fontId="12" numFmtId="0" xfId="0" applyAlignment="1" applyBorder="1" applyFont="1">
      <alignment horizontal="center" shrinkToFit="0" vertical="bottom" wrapText="0"/>
    </xf>
    <xf borderId="21" fillId="18" fontId="12" numFmtId="0" xfId="0" applyAlignment="1" applyBorder="1" applyFont="1">
      <alignment horizontal="center" readingOrder="0" shrinkToFit="0" vertical="bottom" wrapText="0"/>
    </xf>
    <xf borderId="21" fillId="21" fontId="12" numFmtId="0" xfId="0" applyAlignment="1" applyBorder="1" applyFill="1" applyFont="1">
      <alignment horizontal="left" shrinkToFit="0" vertical="bottom" wrapText="0"/>
    </xf>
    <xf borderId="21" fillId="21" fontId="12" numFmtId="0" xfId="0" applyAlignment="1" applyBorder="1" applyFont="1">
      <alignment shrinkToFit="0" vertical="bottom" wrapText="0"/>
    </xf>
    <xf borderId="21" fillId="21" fontId="12" numFmtId="0" xfId="0" applyAlignment="1" applyBorder="1" applyFont="1">
      <alignment horizontal="center" readingOrder="0" shrinkToFit="0" vertical="bottom" wrapText="0"/>
    </xf>
    <xf borderId="21" fillId="21" fontId="12" numFmtId="0" xfId="0" applyAlignment="1" applyBorder="1" applyFont="1">
      <alignment horizontal="center" shrinkToFit="0" vertical="bottom" wrapText="0"/>
    </xf>
    <xf borderId="21" fillId="22" fontId="12" numFmtId="0" xfId="0" applyAlignment="1" applyBorder="1" applyFill="1" applyFont="1">
      <alignment horizontal="left" shrinkToFit="0" vertical="bottom" wrapText="0"/>
    </xf>
    <xf borderId="21" fillId="22" fontId="12" numFmtId="0" xfId="0" applyAlignment="1" applyBorder="1" applyFont="1">
      <alignment shrinkToFit="0" vertical="bottom" wrapText="0"/>
    </xf>
    <xf borderId="21" fillId="22" fontId="12" numFmtId="0" xfId="0" applyAlignment="1" applyBorder="1" applyFont="1">
      <alignment horizontal="center" readingOrder="0" shrinkToFit="0" vertical="bottom" wrapText="0"/>
    </xf>
    <xf borderId="21" fillId="22" fontId="21" numFmtId="0" xfId="0" applyAlignment="1" applyBorder="1" applyFont="1">
      <alignment horizontal="center" shrinkToFit="0" vertical="bottom" wrapText="0"/>
    </xf>
    <xf borderId="46" fillId="9" fontId="12" numFmtId="0" xfId="0" applyAlignment="1" applyBorder="1" applyFont="1">
      <alignment horizontal="left"/>
    </xf>
    <xf borderId="0" fillId="0" fontId="12" numFmtId="0" xfId="0" applyAlignment="1" applyFont="1">
      <alignment horizontal="left" readingOrder="0" shrinkToFit="0" vertical="bottom" wrapText="0"/>
    </xf>
    <xf borderId="0" fillId="0" fontId="12" numFmtId="0" xfId="0" applyAlignment="1" applyFont="1">
      <alignment shrinkToFit="0" vertical="bottom" wrapText="0"/>
    </xf>
    <xf borderId="0" fillId="0" fontId="12" numFmtId="0" xfId="0" applyAlignment="1" applyFont="1">
      <alignment horizontal="left" shrinkToFit="0" vertical="bottom" wrapText="0"/>
    </xf>
    <xf borderId="0" fillId="0" fontId="23" numFmtId="0" xfId="0" applyAlignment="1" applyFont="1">
      <alignment shrinkToFit="0" vertical="bottom" wrapText="0"/>
    </xf>
    <xf borderId="0" fillId="0" fontId="22" numFmtId="0" xfId="0" applyAlignment="1" applyFont="1">
      <alignment horizontal="left" shrinkToFit="0" vertical="bottom" wrapText="0"/>
    </xf>
    <xf borderId="0" fillId="0" fontId="24" numFmtId="0" xfId="0" applyAlignment="1" applyFont="1">
      <alignment horizontal="center" shrinkToFit="0" wrapText="0"/>
    </xf>
    <xf borderId="6" fillId="8" fontId="5" numFmtId="0" xfId="0" applyAlignment="1" applyBorder="1" applyFont="1">
      <alignment horizontal="center"/>
    </xf>
    <xf borderId="8" fillId="0" fontId="7" numFmtId="0" xfId="0" applyAlignment="1" applyBorder="1" applyFont="1">
      <alignment horizontal="center" readingOrder="0"/>
    </xf>
    <xf borderId="12" fillId="0" fontId="25" numFmtId="0" xfId="0" applyAlignment="1" applyBorder="1" applyFont="1">
      <alignment horizontal="center" readingOrder="0" shrinkToFit="0" vertical="bottom" wrapText="1"/>
    </xf>
    <xf borderId="12" fillId="0" fontId="26" numFmtId="0" xfId="0" applyAlignment="1" applyBorder="1" applyFont="1">
      <alignment horizontal="center" readingOrder="0" shrinkToFit="0" vertical="bottom" wrapText="1"/>
    </xf>
    <xf borderId="12" fillId="0" fontId="27" numFmtId="0" xfId="0" applyAlignment="1" applyBorder="1" applyFont="1">
      <alignment horizontal="center" readingOrder="0" shrinkToFit="0" vertical="bottom" wrapText="1"/>
    </xf>
    <xf borderId="12" fillId="0" fontId="12" numFmtId="0" xfId="0" applyAlignment="1" applyBorder="1" applyFont="1">
      <alignment readingOrder="0" shrinkToFit="0" vertical="bottom" wrapText="1"/>
    </xf>
    <xf borderId="0" fillId="0" fontId="12" numFmtId="0" xfId="0" applyAlignment="1" applyFont="1">
      <alignment shrinkToFit="0" vertical="bottom" wrapText="1"/>
    </xf>
    <xf borderId="0" fillId="0" fontId="28" numFmtId="0" xfId="0" applyAlignment="1" applyFont="1">
      <alignment horizontal="left" readingOrder="0" shrinkToFit="0" vertical="bottom" wrapText="1"/>
    </xf>
    <xf borderId="0" fillId="0" fontId="4" numFmtId="0" xfId="0" applyAlignment="1" applyFont="1">
      <alignment shrinkToFit="0" wrapText="1"/>
    </xf>
    <xf borderId="0" fillId="0" fontId="29" numFmtId="0" xfId="0" applyAlignment="1" applyFont="1">
      <alignment horizontal="center" readingOrder="0" shrinkToFit="0" vertical="bottom" wrapText="0"/>
    </xf>
    <xf borderId="0" fillId="0" fontId="29" numFmtId="0" xfId="0" applyAlignment="1" applyFont="1">
      <alignment readingOrder="0" shrinkToFit="0" vertical="bottom" wrapText="0"/>
    </xf>
    <xf borderId="0" fillId="0" fontId="30" numFmtId="0" xfId="0" applyAlignment="1" applyFont="1">
      <alignment horizontal="center" readingOrder="0" shrinkToFit="0" vertical="bottom" wrapText="0"/>
    </xf>
    <xf borderId="0" fillId="0" fontId="31" numFmtId="0" xfId="0" applyAlignment="1" applyFont="1">
      <alignment readingOrder="0" shrinkToFit="0" vertical="bottom" wrapText="0"/>
    </xf>
    <xf borderId="0" fillId="0" fontId="32" numFmtId="0" xfId="0" applyAlignment="1" applyFont="1">
      <alignment readingOrder="0" shrinkToFit="0" vertical="bottom" wrapText="0"/>
    </xf>
    <xf borderId="0" fillId="0" fontId="12" numFmtId="0" xfId="0" applyAlignment="1" applyFont="1">
      <alignment horizontal="center" readingOrder="0" shrinkToFit="0" vertical="bottom" wrapText="0"/>
    </xf>
    <xf borderId="0" fillId="0" fontId="29" numFmtId="0" xfId="0" applyAlignment="1" applyFont="1">
      <alignment horizontal="center" shrinkToFit="0" vertical="bottom" wrapText="0"/>
    </xf>
    <xf borderId="0" fillId="0" fontId="30" numFmtId="0" xfId="0" applyAlignment="1" applyFont="1">
      <alignment shrinkToFit="0" vertical="bottom" wrapText="0"/>
    </xf>
    <xf borderId="0" fillId="0" fontId="31" numFmtId="0" xfId="0" applyAlignment="1" applyFont="1">
      <alignment shrinkToFit="0" vertical="bottom" wrapText="0"/>
    </xf>
    <xf borderId="0" fillId="0" fontId="33" numFmtId="0" xfId="0" applyAlignment="1" applyFont="1">
      <alignment readingOrder="0" vertical="bottom"/>
    </xf>
    <xf borderId="0" fillId="0" fontId="33" numFmtId="0" xfId="0" applyAlignment="1" applyFont="1">
      <alignment vertical="bottom"/>
    </xf>
    <xf borderId="2" fillId="7" fontId="5" numFmtId="0" xfId="0" applyAlignment="1" applyBorder="1" applyFont="1">
      <alignment horizontal="center" readingOrder="0"/>
    </xf>
    <xf borderId="2" fillId="10" fontId="5" numFmtId="165" xfId="0" applyAlignment="1" applyBorder="1" applyFont="1" applyNumberFormat="1">
      <alignment horizontal="center"/>
    </xf>
    <xf borderId="2" fillId="10" fontId="5" numFmtId="0" xfId="0" applyAlignment="1" applyBorder="1" applyFont="1">
      <alignment horizontal="center"/>
    </xf>
    <xf borderId="2" fillId="4" fontId="5" numFmtId="0" xfId="0" applyAlignment="1" applyBorder="1" applyFont="1">
      <alignment horizontal="center"/>
    </xf>
    <xf borderId="2" fillId="0" fontId="14" numFmtId="0" xfId="0" applyAlignment="1" applyBorder="1" applyFont="1">
      <alignment horizontal="center" readingOrder="0"/>
    </xf>
    <xf borderId="2" fillId="8" fontId="5" numFmtId="0" xfId="0" applyAlignment="1" applyBorder="1" applyFont="1">
      <alignment horizontal="center"/>
    </xf>
    <xf borderId="0" fillId="0" fontId="15" numFmtId="168" xfId="0" applyAlignment="1" applyFont="1" applyNumberFormat="1">
      <alignment horizontal="center" vertical="bottom"/>
    </xf>
    <xf borderId="0" fillId="0" fontId="19" numFmtId="0" xfId="0" applyAlignment="1" applyFont="1">
      <alignment horizontal="right" vertical="bottom"/>
    </xf>
    <xf borderId="0" fillId="0" fontId="30" numFmtId="0" xfId="0" applyAlignment="1" applyFont="1">
      <alignment readingOrder="0" shrinkToFit="0" vertical="bottom" wrapText="0"/>
    </xf>
    <xf borderId="0" fillId="0" fontId="12" numFmtId="0" xfId="0" applyAlignment="1" applyFont="1">
      <alignment readingOrder="0" shrinkToFit="0" vertical="bottom" wrapText="0"/>
    </xf>
    <xf borderId="0" fillId="0" fontId="34" numFmtId="0" xfId="0" applyAlignment="1" applyFont="1">
      <alignment readingOrder="0" shrinkToFit="0" vertical="bottom" wrapText="0"/>
    </xf>
    <xf borderId="0" fillId="0" fontId="35" numFmtId="0" xfId="0" applyAlignment="1" applyFont="1">
      <alignment readingOrder="0" shrinkToFit="0" vertical="bottom" wrapText="0"/>
    </xf>
    <xf borderId="0" fillId="0" fontId="35" numFmtId="0" xfId="0" applyAlignment="1" applyFont="1">
      <alignment shrinkToFit="0" vertical="bottom" wrapText="0"/>
    </xf>
    <xf borderId="0" fillId="0" fontId="29" numFmtId="0" xfId="0" applyAlignment="1" applyFont="1">
      <alignment shrinkToFit="0" vertical="bottom" wrapText="0"/>
    </xf>
    <xf borderId="0" fillId="23" fontId="28" numFmtId="0" xfId="0" applyAlignment="1" applyFill="1" applyFont="1">
      <alignment horizontal="left" shrinkToFit="0" vertical="bottom" wrapText="0"/>
    </xf>
    <xf borderId="0" fillId="23" fontId="12" numFmtId="0" xfId="0" applyAlignment="1" applyFont="1">
      <alignment horizontal="center" shrinkToFit="0" vertical="bottom" wrapText="0"/>
    </xf>
    <xf borderId="0" fillId="23" fontId="29" numFmtId="0" xfId="0" applyAlignment="1" applyFont="1">
      <alignment horizontal="center" shrinkToFit="0" vertical="bottom" wrapText="0"/>
    </xf>
    <xf borderId="0" fillId="0" fontId="28" numFmtId="0" xfId="0" applyAlignment="1" applyFont="1">
      <alignment horizontal="left" readingOrder="0" shrinkToFit="0" vertical="bottom" wrapText="0"/>
    </xf>
    <xf borderId="0" fillId="0" fontId="36" numFmtId="0" xfId="0" applyAlignment="1" applyFont="1">
      <alignment horizontal="center" readingOrder="0" shrinkToFit="0" vertical="bottom" wrapText="0"/>
    </xf>
    <xf borderId="0" fillId="0" fontId="36" numFmtId="0" xfId="0" applyAlignment="1" applyFont="1">
      <alignment shrinkToFit="0" vertical="bottom" wrapText="0"/>
    </xf>
    <xf borderId="0" fillId="0" fontId="36" numFmtId="0" xfId="0" applyAlignment="1" applyFont="1">
      <alignment horizontal="center" shrinkToFit="0" vertical="bottom" wrapText="0"/>
    </xf>
    <xf borderId="0" fillId="0" fontId="37" numFmtId="0" xfId="0" applyAlignment="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s>
  <sheetData>
    <row r="1">
      <c r="A1" s="2" t="s">
        <v>1</v>
      </c>
      <c r="S1" s="4"/>
      <c r="T1" s="4"/>
    </row>
    <row r="2">
      <c r="A2" s="6" t="s">
        <v>5</v>
      </c>
      <c r="B2" s="11" t="s">
        <v>10</v>
      </c>
      <c r="E2" s="12"/>
      <c r="F2" s="12" t="s">
        <v>13</v>
      </c>
      <c r="S2" s="18"/>
      <c r="T2" s="18"/>
    </row>
    <row r="3">
      <c r="A3" s="21" t="s">
        <v>18</v>
      </c>
      <c r="B3" s="22">
        <v>18.0</v>
      </c>
      <c r="C3" s="23"/>
      <c r="D3" s="23"/>
      <c r="E3" s="24"/>
      <c r="F3" s="25" t="s">
        <v>28</v>
      </c>
      <c r="G3" s="23"/>
      <c r="H3" s="23"/>
      <c r="I3" s="23"/>
      <c r="J3" s="23"/>
      <c r="K3" s="23"/>
      <c r="L3" s="23"/>
      <c r="M3" s="23"/>
      <c r="N3" s="23"/>
      <c r="O3" s="23"/>
      <c r="P3" s="23"/>
      <c r="Q3" s="23"/>
      <c r="R3" s="27"/>
      <c r="S3" s="18"/>
      <c r="T3" s="18"/>
    </row>
    <row r="4">
      <c r="A4" s="21" t="s">
        <v>37</v>
      </c>
      <c r="B4" s="30"/>
      <c r="C4" s="23"/>
      <c r="D4" s="23"/>
      <c r="E4" s="31"/>
      <c r="F4" s="32" t="s">
        <v>44</v>
      </c>
      <c r="S4" s="18"/>
      <c r="T4" s="18"/>
    </row>
    <row r="5">
      <c r="A5" s="21" t="s">
        <v>46</v>
      </c>
      <c r="B5" s="22" t="s">
        <v>50</v>
      </c>
      <c r="C5" s="23"/>
      <c r="D5" s="23"/>
      <c r="E5" s="18"/>
      <c r="F5" s="32" t="s">
        <v>52</v>
      </c>
    </row>
    <row r="6">
      <c r="A6" s="21" t="s">
        <v>54</v>
      </c>
      <c r="B6" s="33"/>
      <c r="C6" s="23"/>
      <c r="D6" s="23"/>
      <c r="E6" s="31"/>
      <c r="F6" s="32" t="s">
        <v>59</v>
      </c>
      <c r="S6" s="18"/>
      <c r="T6" s="18"/>
    </row>
    <row r="7">
      <c r="A7" s="21" t="s">
        <v>62</v>
      </c>
      <c r="B7" s="22"/>
      <c r="C7" s="23"/>
      <c r="D7" s="23"/>
      <c r="E7" s="24"/>
      <c r="F7" s="32" t="s">
        <v>63</v>
      </c>
      <c r="S7" s="18"/>
      <c r="T7" s="18"/>
    </row>
    <row r="8">
      <c r="A8" s="21" t="s">
        <v>64</v>
      </c>
      <c r="B8" s="22" t="str">
        <f>concatenate("CMMZ-Placa",$B$3,"-Bibliotecas")</f>
        <v>CMMZ-Placa18-Bibliotecas</v>
      </c>
      <c r="C8" s="23"/>
      <c r="D8" s="23"/>
      <c r="E8" s="18"/>
      <c r="F8" s="32" t="s">
        <v>66</v>
      </c>
      <c r="S8" s="18"/>
      <c r="T8" s="18"/>
    </row>
    <row r="9">
      <c r="A9" s="21" t="s">
        <v>67</v>
      </c>
      <c r="B9" s="33"/>
      <c r="C9" s="23"/>
      <c r="D9" s="23"/>
      <c r="E9" s="18"/>
      <c r="F9" s="32" t="s">
        <v>68</v>
      </c>
      <c r="S9" s="18"/>
      <c r="T9" s="18"/>
    </row>
    <row r="10">
      <c r="A10" s="21" t="s">
        <v>69</v>
      </c>
      <c r="B10" s="22" t="s">
        <v>10</v>
      </c>
      <c r="C10" s="23"/>
      <c r="D10" s="23"/>
      <c r="E10" s="18"/>
      <c r="F10" s="32" t="s">
        <v>70</v>
      </c>
      <c r="S10" s="18"/>
      <c r="T10" s="18"/>
    </row>
    <row r="11">
      <c r="A11" s="21" t="s">
        <v>71</v>
      </c>
      <c r="B11" s="22"/>
      <c r="C11" s="23"/>
      <c r="D11" s="23"/>
      <c r="E11" s="18"/>
      <c r="F11" s="32" t="s">
        <v>74</v>
      </c>
      <c r="S11" s="18"/>
      <c r="T11" s="18"/>
    </row>
    <row r="12">
      <c r="A12" s="21" t="s">
        <v>75</v>
      </c>
      <c r="B12" s="22"/>
      <c r="C12" s="23"/>
      <c r="D12" s="23"/>
      <c r="E12" s="18"/>
      <c r="F12" s="32" t="s">
        <v>77</v>
      </c>
      <c r="S12" s="18"/>
      <c r="T12" s="18"/>
    </row>
    <row r="13">
      <c r="A13" s="21" t="s">
        <v>79</v>
      </c>
      <c r="B13" s="22"/>
      <c r="C13" s="23"/>
      <c r="D13" s="23"/>
      <c r="E13" s="18"/>
      <c r="F13" s="32" t="s">
        <v>84</v>
      </c>
      <c r="S13" s="18"/>
      <c r="T13" s="18"/>
    </row>
    <row r="14">
      <c r="A14" s="21" t="s">
        <v>86</v>
      </c>
      <c r="B14" s="33"/>
      <c r="C14" s="23"/>
      <c r="D14" s="23"/>
      <c r="E14" s="18"/>
      <c r="F14" s="32" t="s">
        <v>89</v>
      </c>
      <c r="S14" s="18"/>
      <c r="T14" s="18"/>
    </row>
    <row r="15">
      <c r="A15" s="21" t="s">
        <v>90</v>
      </c>
      <c r="B15" s="22"/>
      <c r="C15" s="23"/>
      <c r="D15" s="23"/>
      <c r="E15" s="18"/>
      <c r="F15" s="32" t="s">
        <v>94</v>
      </c>
      <c r="S15" s="18"/>
      <c r="T15" s="18"/>
    </row>
    <row r="16">
      <c r="A16" s="21" t="s">
        <v>95</v>
      </c>
      <c r="B16" s="22" t="str">
        <f>concatenate("CMMZ-Placa",$B$3,"-Sequenciamento")</f>
        <v>CMMZ-Placa18-Sequenciamento</v>
      </c>
      <c r="C16" s="23"/>
      <c r="D16" s="23"/>
      <c r="E16" s="18"/>
      <c r="F16" s="32" t="s">
        <v>98</v>
      </c>
      <c r="S16" s="18"/>
      <c r="T16" s="18"/>
    </row>
    <row r="17">
      <c r="A17" s="21" t="s">
        <v>100</v>
      </c>
      <c r="B17" s="22" t="s">
        <v>102</v>
      </c>
      <c r="C17" s="23"/>
      <c r="D17" s="23"/>
      <c r="E17" s="18"/>
      <c r="F17" s="32" t="s">
        <v>104</v>
      </c>
      <c r="S17" s="12"/>
      <c r="T17" s="18"/>
    </row>
    <row r="18">
      <c r="A18" s="21" t="s">
        <v>106</v>
      </c>
      <c r="B18" s="33">
        <v>46097.0</v>
      </c>
      <c r="C18" s="23"/>
      <c r="D18" s="23"/>
      <c r="E18" s="18"/>
      <c r="F18" s="32"/>
      <c r="S18" s="18"/>
      <c r="T18" s="18"/>
    </row>
    <row r="19">
      <c r="A19" s="21" t="s">
        <v>109</v>
      </c>
      <c r="B19" s="22"/>
      <c r="C19" s="23"/>
      <c r="D19" s="23"/>
      <c r="E19" s="18"/>
      <c r="F19" s="32"/>
      <c r="S19" s="18"/>
      <c r="T19" s="18"/>
    </row>
    <row r="20">
      <c r="A20" s="21" t="s">
        <v>110</v>
      </c>
      <c r="B20" s="22"/>
      <c r="C20" s="23"/>
      <c r="D20" s="23"/>
      <c r="E20" s="18"/>
      <c r="F20" s="32"/>
      <c r="S20" s="18"/>
      <c r="T20" s="18"/>
    </row>
    <row r="21">
      <c r="A21" s="21" t="s">
        <v>111</v>
      </c>
      <c r="B21" s="22"/>
      <c r="C21" s="23"/>
      <c r="D21" s="23"/>
      <c r="E21" s="18"/>
      <c r="F21" s="32"/>
      <c r="S21" s="18"/>
      <c r="T21" s="18"/>
    </row>
    <row r="22">
      <c r="A22" s="21" t="s">
        <v>112</v>
      </c>
      <c r="B22" s="22"/>
      <c r="C22" s="23"/>
      <c r="D22" s="23"/>
      <c r="F22" s="32"/>
    </row>
    <row r="23">
      <c r="A23" s="21" t="s">
        <v>113</v>
      </c>
      <c r="B23" s="33"/>
      <c r="C23" s="23"/>
      <c r="D23" s="23"/>
      <c r="E23" s="18"/>
      <c r="F23" s="32"/>
      <c r="S23" s="18"/>
      <c r="T23" s="18"/>
    </row>
    <row r="24">
      <c r="A24" s="21" t="s">
        <v>115</v>
      </c>
      <c r="B24" s="33"/>
      <c r="C24" s="23"/>
      <c r="D24" s="23"/>
      <c r="E24" s="18"/>
      <c r="F24" s="32"/>
      <c r="S24" s="18"/>
      <c r="T24" s="18"/>
    </row>
    <row r="25">
      <c r="A25" s="21" t="s">
        <v>118</v>
      </c>
      <c r="B25" s="22"/>
      <c r="C25" s="23"/>
      <c r="D25" s="23"/>
      <c r="E25" s="18"/>
      <c r="F25" s="32"/>
      <c r="S25" s="18"/>
      <c r="T25" s="18"/>
    </row>
  </sheetData>
  <mergeCells count="49">
    <mergeCell ref="F24:R24"/>
    <mergeCell ref="F25:R25"/>
    <mergeCell ref="F17:R17"/>
    <mergeCell ref="F18:R18"/>
    <mergeCell ref="F19:R19"/>
    <mergeCell ref="F20:R20"/>
    <mergeCell ref="F21:R21"/>
    <mergeCell ref="F22:R22"/>
    <mergeCell ref="F23:R23"/>
    <mergeCell ref="F4:R4"/>
    <mergeCell ref="F5:R5"/>
    <mergeCell ref="A1:R1"/>
    <mergeCell ref="B2:D2"/>
    <mergeCell ref="F2:R2"/>
    <mergeCell ref="B3:D3"/>
    <mergeCell ref="F3:R3"/>
    <mergeCell ref="B4:D4"/>
    <mergeCell ref="B5:D5"/>
    <mergeCell ref="B6:D6"/>
    <mergeCell ref="F6:R6"/>
    <mergeCell ref="B7:D7"/>
    <mergeCell ref="F7:R7"/>
    <mergeCell ref="B8:D8"/>
    <mergeCell ref="F8:R8"/>
    <mergeCell ref="F9:R9"/>
    <mergeCell ref="B9:D9"/>
    <mergeCell ref="B10:D10"/>
    <mergeCell ref="B11:D11"/>
    <mergeCell ref="B12:D12"/>
    <mergeCell ref="B13:D13"/>
    <mergeCell ref="B14:D14"/>
    <mergeCell ref="B15:D15"/>
    <mergeCell ref="F10:R10"/>
    <mergeCell ref="F11:R11"/>
    <mergeCell ref="F12:R12"/>
    <mergeCell ref="F13:R13"/>
    <mergeCell ref="F14:R14"/>
    <mergeCell ref="F15:R15"/>
    <mergeCell ref="F16:R16"/>
    <mergeCell ref="B23:D23"/>
    <mergeCell ref="B24:D24"/>
    <mergeCell ref="B25:D25"/>
    <mergeCell ref="B16:D16"/>
    <mergeCell ref="B17:D17"/>
    <mergeCell ref="B18:D18"/>
    <mergeCell ref="B19:D19"/>
    <mergeCell ref="B20:D20"/>
    <mergeCell ref="B21:D21"/>
    <mergeCell ref="B22:D22"/>
  </mergeCells>
  <dataValidations>
    <dataValidation type="list" allowBlank="1" showErrorMessage="1" sqref="B11">
      <formula1>"myBaits UCE Hymenoptera 2.5Kv2A,myBaits UCE Tetrapods 5Kv1"</formula1>
    </dataValidation>
    <dataValidation type="list" allowBlank="1" showErrorMessage="1" sqref="B5">
      <formula1>"Kapa HyperPrep with iTru 8bp dual indexes,QIAseq Ultralow Input Lib UDI kit A,QIAseq Ultralow Input Lib UDI kit B,QIAseq Ultralow Input Lib UDI kit C,QIAseq Ultralow Input Lib UDI kit D,NEBNext UDI Set 1 (E6440),NEBNext UDI Set 2 (E6442)"</formula1>
    </dataValidation>
    <dataValidation type="list" allowBlank="1" showErrorMessage="1" sqref="B2 B10 B17 B25">
      <formula1>"Sim,Não"</formula1>
    </dataValidation>
    <dataValidation type="list" allowBlank="1" showErrorMessage="1" sqref="B7 B15">
      <formula1>"Iniciando,Em andamento,Concluído"</formula1>
    </dataValidation>
    <dataValidation type="custom" allowBlank="1" showDropDown="1" sqref="B6">
      <formula1>OR(NOT(ISERROR(DATEVALUE(B6))), AND(ISNUMBER(B6), LEFT(CELL("format", B6))="D"))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5"/>
    <col customWidth="1" min="11" max="11" width="8.5"/>
    <col customWidth="1" min="12" max="12" width="7.38"/>
    <col customWidth="1" min="14" max="14" width="7.38"/>
    <col customWidth="1" min="16" max="16" width="13.5"/>
    <col customWidth="1" min="17" max="17" width="13.38"/>
    <col customWidth="1" min="18" max="18" width="27.38"/>
    <col customWidth="1" min="19" max="19" width="20.13"/>
    <col customWidth="1" min="23" max="23" width="22.5"/>
    <col customWidth="1" min="24" max="25" width="37.25"/>
  </cols>
  <sheetData>
    <row r="1">
      <c r="A1" s="1"/>
      <c r="B1" s="3" t="s">
        <v>3</v>
      </c>
      <c r="D1" s="5" t="s">
        <v>4</v>
      </c>
      <c r="G1" s="8" t="s">
        <v>7</v>
      </c>
      <c r="L1" s="13" t="s">
        <v>8</v>
      </c>
      <c r="P1" s="1"/>
      <c r="Q1" s="1"/>
      <c r="R1" s="1"/>
      <c r="S1" s="1"/>
      <c r="T1" s="1"/>
      <c r="U1" s="1"/>
      <c r="V1" s="1"/>
      <c r="W1" s="1"/>
      <c r="X1" s="1"/>
      <c r="Y1" s="1"/>
      <c r="Z1" s="20"/>
      <c r="AA1" s="20"/>
      <c r="AB1" s="20"/>
      <c r="AC1" s="20"/>
    </row>
    <row r="2">
      <c r="A2" s="17" t="s">
        <v>22</v>
      </c>
      <c r="B2" s="17" t="s">
        <v>24</v>
      </c>
      <c r="C2" s="17" t="s">
        <v>26</v>
      </c>
      <c r="D2" s="17" t="s">
        <v>16</v>
      </c>
      <c r="E2" s="17" t="s">
        <v>17</v>
      </c>
      <c r="F2" s="17" t="s">
        <v>34</v>
      </c>
      <c r="G2" s="17" t="s">
        <v>35</v>
      </c>
      <c r="H2" s="17" t="s">
        <v>36</v>
      </c>
      <c r="I2" s="17" t="s">
        <v>38</v>
      </c>
      <c r="J2" s="17" t="s">
        <v>40</v>
      </c>
      <c r="K2" s="17" t="s">
        <v>42</v>
      </c>
      <c r="L2" s="17" t="s">
        <v>43</v>
      </c>
      <c r="M2" s="17" t="s">
        <v>45</v>
      </c>
      <c r="N2" s="17" t="s">
        <v>47</v>
      </c>
      <c r="O2" s="17" t="s">
        <v>48</v>
      </c>
      <c r="P2" s="17" t="s">
        <v>49</v>
      </c>
      <c r="Q2" s="17" t="s">
        <v>15</v>
      </c>
      <c r="R2" s="17" t="s">
        <v>51</v>
      </c>
      <c r="S2" s="17" t="s">
        <v>53</v>
      </c>
      <c r="T2" s="17" t="s">
        <v>55</v>
      </c>
      <c r="U2" s="17" t="s">
        <v>56</v>
      </c>
      <c r="V2" s="17" t="s">
        <v>57</v>
      </c>
      <c r="W2" s="17" t="s">
        <v>58</v>
      </c>
      <c r="X2" s="17" t="s">
        <v>60</v>
      </c>
      <c r="Y2" s="17" t="s">
        <v>61</v>
      </c>
      <c r="Z2" s="34"/>
      <c r="AA2" s="34"/>
      <c r="AB2" s="34"/>
      <c r="AC2" s="34"/>
    </row>
    <row r="3" ht="15.75" customHeight="1">
      <c r="A3" s="36">
        <v>1.0</v>
      </c>
      <c r="B3" s="38">
        <v>46097.0</v>
      </c>
      <c r="C3" s="39"/>
      <c r="D3" s="40" t="s">
        <v>65</v>
      </c>
      <c r="E3" s="40" t="s">
        <v>65</v>
      </c>
      <c r="F3" s="43"/>
      <c r="G3" s="45">
        <f t="shared" ref="G3:G98" si="1">100*F3</f>
        <v>0</v>
      </c>
      <c r="H3" s="45">
        <f t="shared" ref="H3:H98" si="2">IF(G3&lt;=100,100,100/F3)</f>
        <v>100</v>
      </c>
      <c r="I3" s="45">
        <f t="shared" ref="I3:I98" si="3">100-H3</f>
        <v>0</v>
      </c>
      <c r="J3" s="45"/>
      <c r="K3" s="45">
        <f t="shared" ref="K3:K98" si="4">H3*F3</f>
        <v>0</v>
      </c>
      <c r="L3" s="51" t="s">
        <v>80</v>
      </c>
      <c r="M3" s="52" t="s">
        <v>83</v>
      </c>
      <c r="N3" s="51" t="s">
        <v>80</v>
      </c>
      <c r="O3" s="52" t="s">
        <v>85</v>
      </c>
      <c r="P3" s="53"/>
      <c r="Q3" s="56" t="str">
        <f>IF(ISBLANK(CONTROLE!$B$3),"","CMMZ_P"&amp;CONTROLE!$B$3&amp;"_0"&amp;A3)</f>
        <v>CMMZ_P18_01</v>
      </c>
      <c r="R3" s="56" t="str">
        <f>IF(ISBLANK(CONTROLE!$B$3),"","P"&amp;CONTROLE!$B$3&amp;"_0"&amp;A3)</f>
        <v>P18_01</v>
      </c>
      <c r="S3" s="56" t="str">
        <f>"CMMZ_P"&amp;CONTROLE!$B$3&amp;"_"&amp;TEXT(A4,"00")&amp;"_"&amp;TEXT(B3,"ddMMMyy")</f>
        <v>CMMZ_P18_02_16Mar26</v>
      </c>
      <c r="T3" s="71" t="str">
        <f t="array" ref="T3">IFERROR(VLOOKUP(M3,{Indices_iTru!B:C;Indices_NEBNext!C:D;Indices_QIAseq!B:C},1,FALSE),"")</f>
        <v>iTru7_107_04</v>
      </c>
      <c r="U3" s="71" t="str">
        <f t="array" ref="U3">IFERROR(VLOOKUP(M3,{Indices_iTru!B:C;Indices_NEBNext!C:D;Indices_QIAseq!B:C},2,FALSE),"")</f>
        <v>GTCGAAGA</v>
      </c>
      <c r="V3" s="71" t="str">
        <f t="array" ref="V3">IFERROR(VLOOKUP(O3,{Indices_iTru!B:C;Indices_NEBNext!E:F;Indices_QIAseq!D:E},1,FALSE),"")</f>
        <v>iTru5_117_A</v>
      </c>
      <c r="W3" s="71" t="str">
        <f t="array" ref="W3">IFERROR(VLOOKUP(O3,{Indices_iTru!B:C;Indices_NEBNext!E:F;Indices_QIAseq!D:E},2,FALSE),"")</f>
        <v>CAGAGTGA</v>
      </c>
      <c r="X3" s="56" t="str">
        <f t="shared" ref="X3:X98" si="5">CONCATENATE(D3,"_",E3,"_",U3,"+",W3,"_R1.fastq.gz")</f>
        <v>Teste_Teste_GTCGAAGA+CAGAGTGA_R1.fastq.gz</v>
      </c>
      <c r="Y3" s="56" t="str">
        <f t="shared" ref="Y3:Y98" si="6">CONCATENATE(D3,"_",E3,"_",U3,"+",W3,"_R2.fastq.gz")</f>
        <v>Teste_Teste_GTCGAAGA+CAGAGTGA_R2.fastq.gz</v>
      </c>
    </row>
    <row r="4" ht="15.75" customHeight="1">
      <c r="A4" s="36">
        <v>2.0</v>
      </c>
      <c r="B4" s="97"/>
      <c r="C4" s="39"/>
      <c r="D4" s="43"/>
      <c r="E4" s="43"/>
      <c r="F4" s="43"/>
      <c r="G4" s="45">
        <f t="shared" si="1"/>
        <v>0</v>
      </c>
      <c r="H4" s="45">
        <f t="shared" si="2"/>
        <v>100</v>
      </c>
      <c r="I4" s="45">
        <f t="shared" si="3"/>
        <v>0</v>
      </c>
      <c r="J4" s="45"/>
      <c r="K4" s="45">
        <f t="shared" si="4"/>
        <v>0</v>
      </c>
      <c r="L4" s="51" t="s">
        <v>151</v>
      </c>
      <c r="M4" s="52" t="s">
        <v>152</v>
      </c>
      <c r="N4" s="51" t="s">
        <v>151</v>
      </c>
      <c r="O4" s="52" t="s">
        <v>154</v>
      </c>
      <c r="P4" s="103"/>
      <c r="Q4" s="56" t="str">
        <f>IF(ISBLANK(CONTROLE!$B$3),"","CMMZ_P"&amp;CONTROLE!$B$3&amp;"_0"&amp;A4)</f>
        <v>CMMZ_P18_02</v>
      </c>
      <c r="R4" s="56" t="str">
        <f>IF(ISBLANK(CONTROLE!$B$3),"","P"&amp;CONTROLE!$B$3&amp;"_0"&amp;A4)</f>
        <v>P18_02</v>
      </c>
      <c r="S4" s="56" t="str">
        <f>"CMMZ_P"&amp;CONTROLE!$B$3&amp;"_"&amp;TEXT(A5,"00")&amp;"_"&amp;TEXT(B4,"ddMMMyy")</f>
        <v>CMMZ_P18_03_30Dec99</v>
      </c>
      <c r="T4" s="71" t="str">
        <f t="array" ref="T4">IFERROR(VLOOKUP(M4,{Indices_iTru!B:C;Indices_NEBNext!C:D;Indices_QIAseq!B:C},1,FALSE),"")</f>
        <v>S762</v>
      </c>
      <c r="U4" s="71" t="str">
        <f t="array" ref="U4">IFERROR(VLOOKUP(M4,{Indices_iTru!B:C;Indices_NEBNext!C:D;Indices_QIAseq!B:C},2,FALSE),"")</f>
        <v>TTACCGAC</v>
      </c>
      <c r="V4" s="71" t="str">
        <f t="array" ref="V4">IFERROR(VLOOKUP(O4,{Indices_iTru!B:C;Indices_NEBNext!E:F;Indices_QIAseq!D:E},1,FALSE),"")</f>
        <v>S512</v>
      </c>
      <c r="W4" s="71" t="str">
        <f t="array" ref="W4">IFERROR(VLOOKUP(O4,{Indices_iTru!B:C;Indices_NEBNext!E:F;Indices_QIAseq!D:E},2,FALSE),"")</f>
        <v>CGTATTCG</v>
      </c>
      <c r="X4" s="56" t="str">
        <f t="shared" si="5"/>
        <v>__TTACCGAC+CGTATTCG_R1.fastq.gz</v>
      </c>
      <c r="Y4" s="56" t="str">
        <f t="shared" si="6"/>
        <v>__TTACCGAC+CGTATTCG_R2.fastq.gz</v>
      </c>
    </row>
    <row r="5" ht="15.75" customHeight="1">
      <c r="A5" s="36">
        <v>3.0</v>
      </c>
      <c r="B5" s="97"/>
      <c r="C5" s="39"/>
      <c r="D5" s="43"/>
      <c r="E5" s="43"/>
      <c r="F5" s="43"/>
      <c r="G5" s="45">
        <f t="shared" si="1"/>
        <v>0</v>
      </c>
      <c r="H5" s="45">
        <f t="shared" si="2"/>
        <v>100</v>
      </c>
      <c r="I5" s="45">
        <f t="shared" si="3"/>
        <v>0</v>
      </c>
      <c r="J5" s="45"/>
      <c r="K5" s="45">
        <f t="shared" si="4"/>
        <v>0</v>
      </c>
      <c r="L5" s="51" t="s">
        <v>175</v>
      </c>
      <c r="M5" s="52" t="s">
        <v>176</v>
      </c>
      <c r="N5" s="51" t="s">
        <v>175</v>
      </c>
      <c r="O5" s="52" t="s">
        <v>177</v>
      </c>
      <c r="P5" s="103"/>
      <c r="Q5" s="56" t="str">
        <f>IF(ISBLANK(CONTROLE!$B$3),"","CMMZ_P"&amp;CONTROLE!$B$3&amp;"_0"&amp;A5)</f>
        <v>CMMZ_P18_03</v>
      </c>
      <c r="R5" s="56" t="str">
        <f>IF(ISBLANK(CONTROLE!$B$3),"","P"&amp;CONTROLE!$B$3&amp;"_0"&amp;A5)</f>
        <v>P18_03</v>
      </c>
      <c r="S5" s="56" t="str">
        <f>"CMMZ_P"&amp;CONTROLE!$B$3&amp;"_"&amp;TEXT(A6,"00")&amp;"_"&amp;TEXT(B5,"ddMMMyy")</f>
        <v>CMMZ_P18_04_30Dec99</v>
      </c>
      <c r="T5" s="71" t="str">
        <f t="array" ref="T5">IFERROR(VLOOKUP(M5,{Indices_iTru!B:C;Indices_NEBNext!C:D;Indices_QIAseq!B:C},1,FALSE),"")</f>
        <v>i7QDIY-001</v>
      </c>
      <c r="U5" s="71" t="str">
        <f t="array" ref="U5">IFERROR(VLOOKUP(M5,{Indices_iTru!B:C;Indices_NEBNext!C:D;Indices_QIAseq!B:C},2,FALSE),"")</f>
        <v>TGAACGTTGT</v>
      </c>
      <c r="V5" s="71" t="str">
        <f t="array" ref="V5">IFERROR(VLOOKUP(O5,{Indices_iTru!B:C;Indices_NEBNext!E:F;Indices_QIAseq!D:E},1,FALSE),"")</f>
        <v>i5QDIY-001</v>
      </c>
      <c r="W5" s="71" t="str">
        <f t="array" ref="W5">IFERROR(VLOOKUP(O5,{Indices_iTru!B:C;Indices_NEBNext!E:F;Indices_QIAseq!D:E},2,FALSE),"")</f>
        <v>ATGGCCGACT</v>
      </c>
      <c r="X5" s="56" t="str">
        <f t="shared" si="5"/>
        <v>__TGAACGTTGT+ATGGCCGACT_R1.fastq.gz</v>
      </c>
      <c r="Y5" s="56" t="str">
        <f t="shared" si="6"/>
        <v>__TGAACGTTGT+ATGGCCGACT_R2.fastq.gz</v>
      </c>
    </row>
    <row r="6" ht="15.75" customHeight="1">
      <c r="A6" s="36">
        <v>4.0</v>
      </c>
      <c r="B6" s="97"/>
      <c r="C6" s="39"/>
      <c r="D6" s="43"/>
      <c r="E6" s="43"/>
      <c r="F6" s="43"/>
      <c r="G6" s="45">
        <f t="shared" si="1"/>
        <v>0</v>
      </c>
      <c r="H6" s="45">
        <f t="shared" si="2"/>
        <v>100</v>
      </c>
      <c r="I6" s="45">
        <f t="shared" si="3"/>
        <v>0</v>
      </c>
      <c r="J6" s="45"/>
      <c r="K6" s="45">
        <f t="shared" si="4"/>
        <v>0</v>
      </c>
      <c r="L6" s="51" t="s">
        <v>223</v>
      </c>
      <c r="M6" s="144"/>
      <c r="N6" s="51" t="s">
        <v>223</v>
      </c>
      <c r="O6" s="144"/>
      <c r="P6" s="103"/>
      <c r="Q6" s="56" t="str">
        <f>IF(ISBLANK(CONTROLE!$B$3),"","CMMZ_P"&amp;CONTROLE!$B$3&amp;"_0"&amp;A6)</f>
        <v>CMMZ_P18_04</v>
      </c>
      <c r="R6" s="56" t="str">
        <f>IF(ISBLANK(CONTROLE!$B$3),"","P"&amp;CONTROLE!$B$3&amp;"_0"&amp;A6)</f>
        <v>P18_04</v>
      </c>
      <c r="S6" s="56" t="str">
        <f>"CMMZ_P"&amp;CONTROLE!$B$3&amp;"_"&amp;TEXT(A7,"00")&amp;"_"&amp;TEXT(B6,"ddMMMyy")</f>
        <v>CMMZ_P18_05_30Dec99</v>
      </c>
      <c r="T6" s="71" t="str">
        <f t="array" ref="T6">IFERROR(VLOOKUP(M6,{Indices_iTru!B:C;Indices_NEBNext!C:D;Indices_QIAseq!B:C},1,FALSE),"")</f>
        <v/>
      </c>
      <c r="U6" s="71" t="str">
        <f t="array" ref="U6">IFERROR(VLOOKUP(M6,{Indices_iTru!B:C;Indices_NEBNext!C:D;Indices_QIAseq!B:C},2,FALSE),"")</f>
        <v/>
      </c>
      <c r="V6" s="71" t="str">
        <f t="array" ref="V6">IFERROR(VLOOKUP(O6,{Indices_iTru!B:C;Indices_NEBNext!E:F;Indices_QIAseq!D:E},1,FALSE),"")</f>
        <v/>
      </c>
      <c r="W6" s="71" t="str">
        <f t="array" ref="W6">IFERROR(VLOOKUP(O6,{Indices_iTru!B:C;Indices_NEBNext!E:F;Indices_QIAseq!D:E},2,FALSE),"")</f>
        <v/>
      </c>
      <c r="X6" s="56" t="str">
        <f t="shared" si="5"/>
        <v>__+_R1.fastq.gz</v>
      </c>
      <c r="Y6" s="56" t="str">
        <f t="shared" si="6"/>
        <v>__+_R2.fastq.gz</v>
      </c>
    </row>
    <row r="7" ht="15.75" customHeight="1">
      <c r="A7" s="36">
        <v>5.0</v>
      </c>
      <c r="B7" s="97"/>
      <c r="C7" s="39"/>
      <c r="D7" s="43"/>
      <c r="E7" s="43"/>
      <c r="F7" s="43"/>
      <c r="G7" s="45">
        <f t="shared" si="1"/>
        <v>0</v>
      </c>
      <c r="H7" s="45">
        <f t="shared" si="2"/>
        <v>100</v>
      </c>
      <c r="I7" s="45">
        <f t="shared" si="3"/>
        <v>0</v>
      </c>
      <c r="J7" s="45"/>
      <c r="K7" s="45">
        <f t="shared" si="4"/>
        <v>0</v>
      </c>
      <c r="L7" s="51" t="s">
        <v>257</v>
      </c>
      <c r="M7" s="144"/>
      <c r="N7" s="51" t="s">
        <v>257</v>
      </c>
      <c r="O7" s="144"/>
      <c r="P7" s="184"/>
      <c r="Q7" s="56" t="str">
        <f>IF(ISBLANK(CONTROLE!$B$3),"","CMMZ_P"&amp;CONTROLE!$B$3&amp;"_0"&amp;A7)</f>
        <v>CMMZ_P18_05</v>
      </c>
      <c r="R7" s="56" t="str">
        <f>IF(ISBLANK(CONTROLE!$B$3),"","P"&amp;CONTROLE!$B$3&amp;"_0"&amp;A7)</f>
        <v>P18_05</v>
      </c>
      <c r="S7" s="56" t="str">
        <f>"CMMZ_P"&amp;CONTROLE!$B$3&amp;"_"&amp;TEXT(A8,"00")&amp;"_"&amp;TEXT(B7,"ddMMMyy")</f>
        <v>CMMZ_P18_06_30Dec99</v>
      </c>
      <c r="T7" s="71" t="str">
        <f t="array" ref="T7">IFERROR(VLOOKUP(M7,{Indices_iTru!B:C;Indices_NEBNext!C:D;Indices_QIAseq!B:C},1,FALSE),"")</f>
        <v/>
      </c>
      <c r="U7" s="71" t="str">
        <f t="array" ref="U7">IFERROR(VLOOKUP(M7,{Indices_iTru!B:C;Indices_NEBNext!C:D;Indices_QIAseq!B:C},2,FALSE),"")</f>
        <v/>
      </c>
      <c r="V7" s="71" t="str">
        <f t="array" ref="V7">IFERROR(VLOOKUP(O7,{Indices_iTru!B:C;Indices_NEBNext!E:F;Indices_QIAseq!D:E},1,FALSE),"")</f>
        <v/>
      </c>
      <c r="W7" s="71" t="str">
        <f t="array" ref="W7">IFERROR(VLOOKUP(O7,{Indices_iTru!B:C;Indices_NEBNext!E:F;Indices_QIAseq!D:E},2,FALSE),"")</f>
        <v/>
      </c>
      <c r="X7" s="56" t="str">
        <f t="shared" si="5"/>
        <v>__+_R1.fastq.gz</v>
      </c>
      <c r="Y7" s="56" t="str">
        <f t="shared" si="6"/>
        <v>__+_R2.fastq.gz</v>
      </c>
    </row>
    <row r="8" ht="15.75" customHeight="1">
      <c r="A8" s="36">
        <v>6.0</v>
      </c>
      <c r="B8" s="97"/>
      <c r="C8" s="39"/>
      <c r="D8" s="43"/>
      <c r="E8" s="43"/>
      <c r="F8" s="43"/>
      <c r="G8" s="45">
        <f t="shared" si="1"/>
        <v>0</v>
      </c>
      <c r="H8" s="45">
        <f t="shared" si="2"/>
        <v>100</v>
      </c>
      <c r="I8" s="45">
        <f t="shared" si="3"/>
        <v>0</v>
      </c>
      <c r="J8" s="45"/>
      <c r="K8" s="45">
        <f t="shared" si="4"/>
        <v>0</v>
      </c>
      <c r="L8" s="51" t="s">
        <v>260</v>
      </c>
      <c r="M8" s="144"/>
      <c r="N8" s="51" t="s">
        <v>260</v>
      </c>
      <c r="O8" s="144"/>
      <c r="P8" s="103"/>
      <c r="Q8" s="56" t="str">
        <f>IF(ISBLANK(CONTROLE!$B$3),"","CMMZ_P"&amp;CONTROLE!$B$3&amp;"_0"&amp;A8)</f>
        <v>CMMZ_P18_06</v>
      </c>
      <c r="R8" s="56" t="str">
        <f>IF(ISBLANK(CONTROLE!$B$3),"","P"&amp;CONTROLE!$B$3&amp;"_0"&amp;A8)</f>
        <v>P18_06</v>
      </c>
      <c r="S8" s="56" t="str">
        <f>"CMMZ_P"&amp;CONTROLE!$B$3&amp;"_"&amp;TEXT(A9,"00")&amp;"_"&amp;TEXT(B8,"ddMMMyy")</f>
        <v>CMMZ_P18_07_30Dec99</v>
      </c>
      <c r="T8" s="71" t="str">
        <f t="array" ref="T8">IFERROR(VLOOKUP(M8,{Indices_iTru!B:C;Indices_NEBNext!C:D;Indices_QIAseq!B:C},1,FALSE),"")</f>
        <v/>
      </c>
      <c r="U8" s="71" t="str">
        <f t="array" ref="U8">IFERROR(VLOOKUP(M8,{Indices_iTru!B:C;Indices_NEBNext!C:D;Indices_QIAseq!B:C},2,FALSE),"")</f>
        <v/>
      </c>
      <c r="V8" s="71" t="str">
        <f t="array" ref="V8">IFERROR(VLOOKUP(O8,{Indices_iTru!B:C;Indices_NEBNext!E:F;Indices_QIAseq!D:E},1,FALSE),"")</f>
        <v/>
      </c>
      <c r="W8" s="71" t="str">
        <f t="array" ref="W8">IFERROR(VLOOKUP(O8,{Indices_iTru!B:C;Indices_NEBNext!E:F;Indices_QIAseq!D:E},2,FALSE),"")</f>
        <v/>
      </c>
      <c r="X8" s="56" t="str">
        <f t="shared" si="5"/>
        <v>__+_R1.fastq.gz</v>
      </c>
      <c r="Y8" s="56" t="str">
        <f t="shared" si="6"/>
        <v>__+_R2.fastq.gz</v>
      </c>
    </row>
    <row r="9" ht="15.75" customHeight="1">
      <c r="A9" s="36">
        <v>7.0</v>
      </c>
      <c r="B9" s="97"/>
      <c r="C9" s="39"/>
      <c r="D9" s="43"/>
      <c r="E9" s="43"/>
      <c r="F9" s="43"/>
      <c r="G9" s="45">
        <f t="shared" si="1"/>
        <v>0</v>
      </c>
      <c r="H9" s="45">
        <f t="shared" si="2"/>
        <v>100</v>
      </c>
      <c r="I9" s="45">
        <f t="shared" si="3"/>
        <v>0</v>
      </c>
      <c r="J9" s="45"/>
      <c r="K9" s="45">
        <f t="shared" si="4"/>
        <v>0</v>
      </c>
      <c r="L9" s="51" t="s">
        <v>262</v>
      </c>
      <c r="M9" s="144"/>
      <c r="N9" s="51" t="s">
        <v>262</v>
      </c>
      <c r="O9" s="144"/>
      <c r="P9" s="103"/>
      <c r="Q9" s="56" t="str">
        <f>IF(ISBLANK(CONTROLE!$B$3),"","CMMZ_P"&amp;CONTROLE!$B$3&amp;"_0"&amp;A9)</f>
        <v>CMMZ_P18_07</v>
      </c>
      <c r="R9" s="56" t="str">
        <f>IF(ISBLANK(CONTROLE!$B$3),"","P"&amp;CONTROLE!$B$3&amp;"_0"&amp;A9)</f>
        <v>P18_07</v>
      </c>
      <c r="S9" s="56" t="str">
        <f>"CMMZ_P"&amp;CONTROLE!$B$3&amp;"_"&amp;TEXT(A10,"00")&amp;"_"&amp;TEXT(B9,"ddMMMyy")</f>
        <v>CMMZ_P18_08_30Dec99</v>
      </c>
      <c r="T9" s="71" t="str">
        <f t="array" ref="T9">IFERROR(VLOOKUP(M9,{Indices_iTru!B:C;Indices_NEBNext!C:D;Indices_QIAseq!B:C},1,FALSE),"")</f>
        <v/>
      </c>
      <c r="U9" s="71" t="str">
        <f t="array" ref="U9">IFERROR(VLOOKUP(M9,{Indices_iTru!B:C;Indices_NEBNext!C:D;Indices_QIAseq!B:C},2,FALSE),"")</f>
        <v/>
      </c>
      <c r="V9" s="71" t="str">
        <f t="array" ref="V9">IFERROR(VLOOKUP(O9,{Indices_iTru!B:C;Indices_NEBNext!E:F;Indices_QIAseq!D:E},1,FALSE),"")</f>
        <v/>
      </c>
      <c r="W9" s="71" t="str">
        <f t="array" ref="W9">IFERROR(VLOOKUP(O9,{Indices_iTru!B:C;Indices_NEBNext!E:F;Indices_QIAseq!D:E},2,FALSE),"")</f>
        <v/>
      </c>
      <c r="X9" s="56" t="str">
        <f t="shared" si="5"/>
        <v>__+_R1.fastq.gz</v>
      </c>
      <c r="Y9" s="56" t="str">
        <f t="shared" si="6"/>
        <v>__+_R2.fastq.gz</v>
      </c>
    </row>
    <row r="10" ht="15.75" customHeight="1">
      <c r="A10" s="36">
        <v>8.0</v>
      </c>
      <c r="B10" s="97"/>
      <c r="C10" s="39"/>
      <c r="D10" s="43"/>
      <c r="E10" s="43"/>
      <c r="F10" s="43"/>
      <c r="G10" s="45">
        <f t="shared" si="1"/>
        <v>0</v>
      </c>
      <c r="H10" s="45">
        <f t="shared" si="2"/>
        <v>100</v>
      </c>
      <c r="I10" s="45">
        <f t="shared" si="3"/>
        <v>0</v>
      </c>
      <c r="J10" s="45"/>
      <c r="K10" s="45">
        <f t="shared" si="4"/>
        <v>0</v>
      </c>
      <c r="L10" s="51" t="s">
        <v>265</v>
      </c>
      <c r="M10" s="144"/>
      <c r="N10" s="51" t="s">
        <v>265</v>
      </c>
      <c r="O10" s="144"/>
      <c r="P10" s="103"/>
      <c r="Q10" s="56" t="str">
        <f>IF(ISBLANK(CONTROLE!$B$3),"","CMMZ_P"&amp;CONTROLE!$B$3&amp;"_0"&amp;A10)</f>
        <v>CMMZ_P18_08</v>
      </c>
      <c r="R10" s="56" t="str">
        <f>IF(ISBLANK(CONTROLE!$B$3),"","P"&amp;CONTROLE!$B$3&amp;"_0"&amp;A10)</f>
        <v>P18_08</v>
      </c>
      <c r="S10" s="56" t="str">
        <f>"CMMZ_P"&amp;CONTROLE!$B$3&amp;"_"&amp;TEXT(A11,"00")&amp;"_"&amp;TEXT(B10,"ddMMMyy")</f>
        <v>CMMZ_P18_09_30Dec99</v>
      </c>
      <c r="T10" s="71" t="str">
        <f t="array" ref="T10">IFERROR(VLOOKUP(M10,{Indices_iTru!B:C;Indices_NEBNext!C:D;Indices_QIAseq!B:C},1,FALSE),"")</f>
        <v/>
      </c>
      <c r="U10" s="71" t="str">
        <f t="array" ref="U10">IFERROR(VLOOKUP(M10,{Indices_iTru!B:C;Indices_NEBNext!C:D;Indices_QIAseq!B:C},2,FALSE),"")</f>
        <v/>
      </c>
      <c r="V10" s="71" t="str">
        <f t="array" ref="V10">IFERROR(VLOOKUP(O10,{Indices_iTru!B:C;Indices_NEBNext!E:F;Indices_QIAseq!D:E},1,FALSE),"")</f>
        <v/>
      </c>
      <c r="W10" s="71" t="str">
        <f t="array" ref="W10">IFERROR(VLOOKUP(O10,{Indices_iTru!B:C;Indices_NEBNext!E:F;Indices_QIAseq!D:E},2,FALSE),"")</f>
        <v/>
      </c>
      <c r="X10" s="56" t="str">
        <f t="shared" si="5"/>
        <v>__+_R1.fastq.gz</v>
      </c>
      <c r="Y10" s="56" t="str">
        <f t="shared" si="6"/>
        <v>__+_R2.fastq.gz</v>
      </c>
    </row>
    <row r="11" ht="15.75" customHeight="1">
      <c r="A11" s="36">
        <v>9.0</v>
      </c>
      <c r="B11" s="97"/>
      <c r="C11" s="39"/>
      <c r="D11" s="43"/>
      <c r="E11" s="43"/>
      <c r="F11" s="43"/>
      <c r="G11" s="45">
        <f t="shared" si="1"/>
        <v>0</v>
      </c>
      <c r="H11" s="45">
        <f t="shared" si="2"/>
        <v>100</v>
      </c>
      <c r="I11" s="45">
        <f t="shared" si="3"/>
        <v>0</v>
      </c>
      <c r="J11" s="45"/>
      <c r="K11" s="45">
        <f t="shared" si="4"/>
        <v>0</v>
      </c>
      <c r="L11" s="51" t="s">
        <v>267</v>
      </c>
      <c r="M11" s="144"/>
      <c r="N11" s="51" t="s">
        <v>267</v>
      </c>
      <c r="O11" s="144"/>
      <c r="P11" s="103"/>
      <c r="Q11" s="56" t="str">
        <f>IF(ISBLANK(CONTROLE!$B$3),"","CMMZ_P"&amp;CONTROLE!$B$3&amp;"_0"&amp;A11)</f>
        <v>CMMZ_P18_09</v>
      </c>
      <c r="R11" s="56" t="str">
        <f>IF(ISBLANK(CONTROLE!$B$3),"","P"&amp;CONTROLE!$B$3&amp;"_0"&amp;A11)</f>
        <v>P18_09</v>
      </c>
      <c r="S11" s="56" t="str">
        <f>"CMMZ_P"&amp;CONTROLE!$B$3&amp;"_"&amp;TEXT(A12,"00")&amp;"_"&amp;TEXT(B11,"ddMMMyy")</f>
        <v>CMMZ_P18_10_30Dec99</v>
      </c>
      <c r="T11" s="71" t="str">
        <f t="array" ref="T11">IFERROR(VLOOKUP(M11,{Indices_iTru!B:C;Indices_NEBNext!C:D;Indices_QIAseq!B:C},1,FALSE),"")</f>
        <v/>
      </c>
      <c r="U11" s="71" t="str">
        <f t="array" ref="U11">IFERROR(VLOOKUP(M11,{Indices_iTru!B:C;Indices_NEBNext!C:D;Indices_QIAseq!B:C},2,FALSE),"")</f>
        <v/>
      </c>
      <c r="V11" s="71" t="str">
        <f t="array" ref="V11">IFERROR(VLOOKUP(O11,{Indices_iTru!B:C;Indices_NEBNext!E:F;Indices_QIAseq!D:E},1,FALSE),"")</f>
        <v/>
      </c>
      <c r="W11" s="71" t="str">
        <f t="array" ref="W11">IFERROR(VLOOKUP(O11,{Indices_iTru!B:C;Indices_NEBNext!E:F;Indices_QIAseq!D:E},2,FALSE),"")</f>
        <v/>
      </c>
      <c r="X11" s="56" t="str">
        <f t="shared" si="5"/>
        <v>__+_R1.fastq.gz</v>
      </c>
      <c r="Y11" s="56" t="str">
        <f t="shared" si="6"/>
        <v>__+_R2.fastq.gz</v>
      </c>
    </row>
    <row r="12" ht="15.75" customHeight="1">
      <c r="A12" s="36">
        <v>10.0</v>
      </c>
      <c r="B12" s="97"/>
      <c r="C12" s="39"/>
      <c r="D12" s="43"/>
      <c r="E12" s="43"/>
      <c r="F12" s="43"/>
      <c r="G12" s="45">
        <f t="shared" si="1"/>
        <v>0</v>
      </c>
      <c r="H12" s="45">
        <f t="shared" si="2"/>
        <v>100</v>
      </c>
      <c r="I12" s="45">
        <f t="shared" si="3"/>
        <v>0</v>
      </c>
      <c r="J12" s="45"/>
      <c r="K12" s="45">
        <f t="shared" si="4"/>
        <v>0</v>
      </c>
      <c r="L12" s="51" t="s">
        <v>270</v>
      </c>
      <c r="M12" s="144"/>
      <c r="N12" s="51" t="s">
        <v>270</v>
      </c>
      <c r="O12" s="144"/>
      <c r="P12" s="103"/>
      <c r="Q12" s="56" t="str">
        <f>IF(ISBLANK(CONTROLE!$B$3),"","CMMZ_P"&amp;CONTROLE!$B$3&amp;"_0"&amp;A12)</f>
        <v>CMMZ_P18_010</v>
      </c>
      <c r="R12" s="56" t="str">
        <f>IF(ISBLANK(CONTROLE!$B$3),"","P"&amp;CONTROLE!$B$3&amp;"_0"&amp;A12)</f>
        <v>P18_010</v>
      </c>
      <c r="S12" s="56" t="str">
        <f>"CMMZ_P"&amp;CONTROLE!$B$3&amp;"_"&amp;TEXT(A13,"00")&amp;"_"&amp;TEXT(B12,"ddMMMyy")</f>
        <v>CMMZ_P18_11_30Dec99</v>
      </c>
      <c r="T12" s="71" t="str">
        <f t="array" ref="T12">IFERROR(VLOOKUP(M12,{Indices_iTru!B:C;Indices_NEBNext!C:D;Indices_QIAseq!B:C},1,FALSE),"")</f>
        <v/>
      </c>
      <c r="U12" s="71" t="str">
        <f t="array" ref="U12">IFERROR(VLOOKUP(M12,{Indices_iTru!B:C;Indices_NEBNext!C:D;Indices_QIAseq!B:C},2,FALSE),"")</f>
        <v/>
      </c>
      <c r="V12" s="71" t="str">
        <f t="array" ref="V12">IFERROR(VLOOKUP(O12,{Indices_iTru!B:C;Indices_NEBNext!E:F;Indices_QIAseq!D:E},1,FALSE),"")</f>
        <v/>
      </c>
      <c r="W12" s="71" t="str">
        <f t="array" ref="W12">IFERROR(VLOOKUP(O12,{Indices_iTru!B:C;Indices_NEBNext!E:F;Indices_QIAseq!D:E},2,FALSE),"")</f>
        <v/>
      </c>
      <c r="X12" s="56" t="str">
        <f t="shared" si="5"/>
        <v>__+_R1.fastq.gz</v>
      </c>
      <c r="Y12" s="56" t="str">
        <f t="shared" si="6"/>
        <v>__+_R2.fastq.gz</v>
      </c>
    </row>
    <row r="13" ht="15.75" customHeight="1">
      <c r="A13" s="36">
        <v>11.0</v>
      </c>
      <c r="B13" s="97"/>
      <c r="C13" s="39"/>
      <c r="D13" s="43"/>
      <c r="E13" s="43"/>
      <c r="F13" s="43"/>
      <c r="G13" s="45">
        <f t="shared" si="1"/>
        <v>0</v>
      </c>
      <c r="H13" s="45">
        <f t="shared" si="2"/>
        <v>100</v>
      </c>
      <c r="I13" s="45">
        <f t="shared" si="3"/>
        <v>0</v>
      </c>
      <c r="J13" s="45"/>
      <c r="K13" s="45">
        <f t="shared" si="4"/>
        <v>0</v>
      </c>
      <c r="L13" s="51" t="s">
        <v>272</v>
      </c>
      <c r="M13" s="144"/>
      <c r="N13" s="51" t="s">
        <v>272</v>
      </c>
      <c r="O13" s="144"/>
      <c r="P13" s="103"/>
      <c r="Q13" s="56" t="str">
        <f>IF(ISBLANK(CONTROLE!$B$3),"","CMMZ_P"&amp;CONTROLE!$B$3&amp;"_0"&amp;A13)</f>
        <v>CMMZ_P18_011</v>
      </c>
      <c r="R13" s="56" t="str">
        <f>IF(ISBLANK(CONTROLE!$B$3),"","P"&amp;CONTROLE!$B$3&amp;"_0"&amp;A13)</f>
        <v>P18_011</v>
      </c>
      <c r="S13" s="56" t="str">
        <f>"CMMZ_P"&amp;CONTROLE!$B$3&amp;"_"&amp;TEXT(A14,"00")&amp;"_"&amp;TEXT(B13,"ddMMMyy")</f>
        <v>CMMZ_P18_12_30Dec99</v>
      </c>
      <c r="T13" s="71" t="str">
        <f t="array" ref="T13">IFERROR(VLOOKUP(M13,{Indices_iTru!B:C;Indices_NEBNext!C:D;Indices_QIAseq!B:C},1,FALSE),"")</f>
        <v/>
      </c>
      <c r="U13" s="71" t="str">
        <f t="array" ref="U13">IFERROR(VLOOKUP(M13,{Indices_iTru!B:C;Indices_NEBNext!C:D;Indices_QIAseq!B:C},2,FALSE),"")</f>
        <v/>
      </c>
      <c r="V13" s="71" t="str">
        <f t="array" ref="V13">IFERROR(VLOOKUP(O13,{Indices_iTru!B:C;Indices_NEBNext!E:F;Indices_QIAseq!D:E},1,FALSE),"")</f>
        <v/>
      </c>
      <c r="W13" s="71" t="str">
        <f t="array" ref="W13">IFERROR(VLOOKUP(O13,{Indices_iTru!B:C;Indices_NEBNext!E:F;Indices_QIAseq!D:E},2,FALSE),"")</f>
        <v/>
      </c>
      <c r="X13" s="56" t="str">
        <f t="shared" si="5"/>
        <v>__+_R1.fastq.gz</v>
      </c>
      <c r="Y13" s="56" t="str">
        <f t="shared" si="6"/>
        <v>__+_R2.fastq.gz</v>
      </c>
    </row>
    <row r="14" ht="15.75" customHeight="1">
      <c r="A14" s="36">
        <v>12.0</v>
      </c>
      <c r="B14" s="97"/>
      <c r="C14" s="39"/>
      <c r="D14" s="43"/>
      <c r="E14" s="43"/>
      <c r="F14" s="43"/>
      <c r="G14" s="45">
        <f t="shared" si="1"/>
        <v>0</v>
      </c>
      <c r="H14" s="45">
        <f t="shared" si="2"/>
        <v>100</v>
      </c>
      <c r="I14" s="45">
        <f t="shared" si="3"/>
        <v>0</v>
      </c>
      <c r="J14" s="45"/>
      <c r="K14" s="45">
        <f t="shared" si="4"/>
        <v>0</v>
      </c>
      <c r="L14" s="51" t="s">
        <v>275</v>
      </c>
      <c r="M14" s="144"/>
      <c r="N14" s="51" t="s">
        <v>275</v>
      </c>
      <c r="O14" s="144"/>
      <c r="P14" s="103"/>
      <c r="Q14" s="56" t="str">
        <f>IF(ISBLANK(CONTROLE!$B$3),"","CMMZ_P"&amp;CONTROLE!$B$3&amp;"_0"&amp;A14)</f>
        <v>CMMZ_P18_012</v>
      </c>
      <c r="R14" s="56" t="str">
        <f>IF(ISBLANK(CONTROLE!$B$3),"","P"&amp;CONTROLE!$B$3&amp;"_0"&amp;A14)</f>
        <v>P18_012</v>
      </c>
      <c r="S14" s="56" t="str">
        <f>"CMMZ_P"&amp;CONTROLE!$B$3&amp;"_"&amp;TEXT(A15,"00")&amp;"_"&amp;TEXT(B14,"ddMMMyy")</f>
        <v>CMMZ_P18_13_30Dec99</v>
      </c>
      <c r="T14" s="71" t="str">
        <f t="array" ref="T14">IFERROR(VLOOKUP(M14,{Indices_iTru!B:C;Indices_NEBNext!C:D;Indices_QIAseq!B:C},1,FALSE),"")</f>
        <v/>
      </c>
      <c r="U14" s="71" t="str">
        <f t="array" ref="U14">IFERROR(VLOOKUP(M14,{Indices_iTru!B:C;Indices_NEBNext!C:D;Indices_QIAseq!B:C},2,FALSE),"")</f>
        <v/>
      </c>
      <c r="V14" s="71" t="str">
        <f t="array" ref="V14">IFERROR(VLOOKUP(O14,{Indices_iTru!B:C;Indices_NEBNext!E:F;Indices_QIAseq!D:E},1,FALSE),"")</f>
        <v/>
      </c>
      <c r="W14" s="71" t="str">
        <f t="array" ref="W14">IFERROR(VLOOKUP(O14,{Indices_iTru!B:C;Indices_NEBNext!E:F;Indices_QIAseq!D:E},2,FALSE),"")</f>
        <v/>
      </c>
      <c r="X14" s="56" t="str">
        <f t="shared" si="5"/>
        <v>__+_R1.fastq.gz</v>
      </c>
      <c r="Y14" s="56" t="str">
        <f t="shared" si="6"/>
        <v>__+_R2.fastq.gz</v>
      </c>
    </row>
    <row r="15" ht="15.75" customHeight="1">
      <c r="A15" s="36">
        <v>13.0</v>
      </c>
      <c r="B15" s="97"/>
      <c r="C15" s="39"/>
      <c r="D15" s="43"/>
      <c r="E15" s="43"/>
      <c r="F15" s="43"/>
      <c r="G15" s="45">
        <f t="shared" si="1"/>
        <v>0</v>
      </c>
      <c r="H15" s="45">
        <f t="shared" si="2"/>
        <v>100</v>
      </c>
      <c r="I15" s="45">
        <f t="shared" si="3"/>
        <v>0</v>
      </c>
      <c r="J15" s="45"/>
      <c r="K15" s="45">
        <f t="shared" si="4"/>
        <v>0</v>
      </c>
      <c r="L15" s="51" t="s">
        <v>277</v>
      </c>
      <c r="M15" s="144"/>
      <c r="N15" s="51" t="s">
        <v>277</v>
      </c>
      <c r="O15" s="144"/>
      <c r="P15" s="103"/>
      <c r="Q15" s="56" t="str">
        <f>IF(ISBLANK(CONTROLE!$B$3),"","CMMZ_P"&amp;CONTROLE!$B$3&amp;"_0"&amp;A15)</f>
        <v>CMMZ_P18_013</v>
      </c>
      <c r="R15" s="56" t="str">
        <f>IF(ISBLANK(CONTROLE!$B$3),"","P"&amp;CONTROLE!$B$3&amp;"_0"&amp;A15)</f>
        <v>P18_013</v>
      </c>
      <c r="S15" s="56" t="str">
        <f>"CMMZ_P"&amp;CONTROLE!$B$3&amp;"_"&amp;TEXT(A16,"00")&amp;"_"&amp;TEXT(B15,"ddMMMyy")</f>
        <v>CMMZ_P18_14_30Dec99</v>
      </c>
      <c r="T15" s="71" t="str">
        <f t="array" ref="T15">IFERROR(VLOOKUP(M15,{Indices_iTru!B:C;Indices_NEBNext!C:D;Indices_QIAseq!B:C},1,FALSE),"")</f>
        <v/>
      </c>
      <c r="U15" s="71" t="str">
        <f t="array" ref="U15">IFERROR(VLOOKUP(M15,{Indices_iTru!B:C;Indices_NEBNext!C:D;Indices_QIAseq!B:C},2,FALSE),"")</f>
        <v/>
      </c>
      <c r="V15" s="71" t="str">
        <f t="array" ref="V15">IFERROR(VLOOKUP(O15,{Indices_iTru!B:C;Indices_NEBNext!E:F;Indices_QIAseq!D:E},1,FALSE),"")</f>
        <v/>
      </c>
      <c r="W15" s="71" t="str">
        <f t="array" ref="W15">IFERROR(VLOOKUP(O15,{Indices_iTru!B:C;Indices_NEBNext!E:F;Indices_QIAseq!D:E},2,FALSE),"")</f>
        <v/>
      </c>
      <c r="X15" s="56" t="str">
        <f t="shared" si="5"/>
        <v>__+_R1.fastq.gz</v>
      </c>
      <c r="Y15" s="56" t="str">
        <f t="shared" si="6"/>
        <v>__+_R2.fastq.gz</v>
      </c>
    </row>
    <row r="16" ht="15.75" customHeight="1">
      <c r="A16" s="36">
        <v>14.0</v>
      </c>
      <c r="B16" s="97"/>
      <c r="C16" s="39"/>
      <c r="D16" s="43"/>
      <c r="E16" s="43"/>
      <c r="F16" s="43"/>
      <c r="G16" s="45">
        <f t="shared" si="1"/>
        <v>0</v>
      </c>
      <c r="H16" s="45">
        <f t="shared" si="2"/>
        <v>100</v>
      </c>
      <c r="I16" s="45">
        <f t="shared" si="3"/>
        <v>0</v>
      </c>
      <c r="J16" s="45"/>
      <c r="K16" s="45">
        <f t="shared" si="4"/>
        <v>0</v>
      </c>
      <c r="L16" s="51" t="s">
        <v>280</v>
      </c>
      <c r="M16" s="144"/>
      <c r="N16" s="51" t="s">
        <v>280</v>
      </c>
      <c r="O16" s="144"/>
      <c r="P16" s="184"/>
      <c r="Q16" s="56" t="str">
        <f>IF(ISBLANK(CONTROLE!$B$3),"","CMMZ_P"&amp;CONTROLE!$B$3&amp;"_0"&amp;A16)</f>
        <v>CMMZ_P18_014</v>
      </c>
      <c r="R16" s="56" t="str">
        <f>IF(ISBLANK(CONTROLE!$B$3),"","P"&amp;CONTROLE!$B$3&amp;"_0"&amp;A16)</f>
        <v>P18_014</v>
      </c>
      <c r="S16" s="56" t="str">
        <f>"CMMZ_P"&amp;CONTROLE!$B$3&amp;"_"&amp;TEXT(A17,"00")&amp;"_"&amp;TEXT(B16,"ddMMMyy")</f>
        <v>CMMZ_P18_15_30Dec99</v>
      </c>
      <c r="T16" s="71" t="str">
        <f t="array" ref="T16">IFERROR(VLOOKUP(M16,{Indices_iTru!B:C;Indices_NEBNext!C:D;Indices_QIAseq!B:C},1,FALSE),"")</f>
        <v/>
      </c>
      <c r="U16" s="71" t="str">
        <f t="array" ref="U16">IFERROR(VLOOKUP(M16,{Indices_iTru!B:C;Indices_NEBNext!C:D;Indices_QIAseq!B:C},2,FALSE),"")</f>
        <v/>
      </c>
      <c r="V16" s="71" t="str">
        <f t="array" ref="V16">IFERROR(VLOOKUP(O16,{Indices_iTru!B:C;Indices_NEBNext!E:F;Indices_QIAseq!D:E},1,FALSE),"")</f>
        <v/>
      </c>
      <c r="W16" s="71" t="str">
        <f t="array" ref="W16">IFERROR(VLOOKUP(O16,{Indices_iTru!B:C;Indices_NEBNext!E:F;Indices_QIAseq!D:E},2,FALSE),"")</f>
        <v/>
      </c>
      <c r="X16" s="56" t="str">
        <f t="shared" si="5"/>
        <v>__+_R1.fastq.gz</v>
      </c>
      <c r="Y16" s="56" t="str">
        <f t="shared" si="6"/>
        <v>__+_R2.fastq.gz</v>
      </c>
    </row>
    <row r="17" ht="15.75" customHeight="1">
      <c r="A17" s="36">
        <v>15.0</v>
      </c>
      <c r="B17" s="97"/>
      <c r="C17" s="39"/>
      <c r="D17" s="43"/>
      <c r="E17" s="43"/>
      <c r="F17" s="43"/>
      <c r="G17" s="45">
        <f t="shared" si="1"/>
        <v>0</v>
      </c>
      <c r="H17" s="45">
        <f t="shared" si="2"/>
        <v>100</v>
      </c>
      <c r="I17" s="45">
        <f t="shared" si="3"/>
        <v>0</v>
      </c>
      <c r="J17" s="45"/>
      <c r="K17" s="45">
        <f t="shared" si="4"/>
        <v>0</v>
      </c>
      <c r="L17" s="51" t="s">
        <v>284</v>
      </c>
      <c r="M17" s="144"/>
      <c r="N17" s="51" t="s">
        <v>284</v>
      </c>
      <c r="O17" s="144"/>
      <c r="P17" s="184"/>
      <c r="Q17" s="56" t="str">
        <f>IF(ISBLANK(CONTROLE!$B$3),"","CMMZ_P"&amp;CONTROLE!$B$3&amp;"_0"&amp;A17)</f>
        <v>CMMZ_P18_015</v>
      </c>
      <c r="R17" s="56" t="str">
        <f>IF(ISBLANK(CONTROLE!$B$3),"","P"&amp;CONTROLE!$B$3&amp;"_0"&amp;A17)</f>
        <v>P18_015</v>
      </c>
      <c r="S17" s="56" t="str">
        <f>"CMMZ_P"&amp;CONTROLE!$B$3&amp;"_"&amp;TEXT(A18,"00")&amp;"_"&amp;TEXT(B17,"ddMMMyy")</f>
        <v>CMMZ_P18_16_30Dec99</v>
      </c>
      <c r="T17" s="71" t="str">
        <f t="array" ref="T17">IFERROR(VLOOKUP(M17,{Indices_iTru!B:C;Indices_NEBNext!C:D;Indices_QIAseq!B:C},1,FALSE),"")</f>
        <v/>
      </c>
      <c r="U17" s="71" t="str">
        <f t="array" ref="U17">IFERROR(VLOOKUP(M17,{Indices_iTru!B:C;Indices_NEBNext!C:D;Indices_QIAseq!B:C},2,FALSE),"")</f>
        <v/>
      </c>
      <c r="V17" s="71" t="str">
        <f t="array" ref="V17">IFERROR(VLOOKUP(O17,{Indices_iTru!B:C;Indices_NEBNext!E:F;Indices_QIAseq!D:E},1,FALSE),"")</f>
        <v/>
      </c>
      <c r="W17" s="71" t="str">
        <f t="array" ref="W17">IFERROR(VLOOKUP(O17,{Indices_iTru!B:C;Indices_NEBNext!E:F;Indices_QIAseq!D:E},2,FALSE),"")</f>
        <v/>
      </c>
      <c r="X17" s="56" t="str">
        <f t="shared" si="5"/>
        <v>__+_R1.fastq.gz</v>
      </c>
      <c r="Y17" s="56" t="str">
        <f t="shared" si="6"/>
        <v>__+_R2.fastq.gz</v>
      </c>
    </row>
    <row r="18" ht="15.75" customHeight="1">
      <c r="A18" s="36">
        <v>16.0</v>
      </c>
      <c r="B18" s="97"/>
      <c r="C18" s="39"/>
      <c r="D18" s="43"/>
      <c r="E18" s="43"/>
      <c r="F18" s="43"/>
      <c r="G18" s="45">
        <f t="shared" si="1"/>
        <v>0</v>
      </c>
      <c r="H18" s="45">
        <f t="shared" si="2"/>
        <v>100</v>
      </c>
      <c r="I18" s="45">
        <f t="shared" si="3"/>
        <v>0</v>
      </c>
      <c r="J18" s="45"/>
      <c r="K18" s="45">
        <f t="shared" si="4"/>
        <v>0</v>
      </c>
      <c r="L18" s="51" t="s">
        <v>287</v>
      </c>
      <c r="M18" s="144"/>
      <c r="N18" s="51" t="s">
        <v>287</v>
      </c>
      <c r="O18" s="144"/>
      <c r="P18" s="103"/>
      <c r="Q18" s="56" t="str">
        <f>IF(ISBLANK(CONTROLE!$B$3),"","CMMZ_P"&amp;CONTROLE!$B$3&amp;"_0"&amp;A18)</f>
        <v>CMMZ_P18_016</v>
      </c>
      <c r="R18" s="56" t="str">
        <f>IF(ISBLANK(CONTROLE!$B$3),"","P"&amp;CONTROLE!$B$3&amp;"_0"&amp;A18)</f>
        <v>P18_016</v>
      </c>
      <c r="S18" s="56" t="str">
        <f>"CMMZ_P"&amp;CONTROLE!$B$3&amp;"_"&amp;TEXT(A19,"00")&amp;"_"&amp;TEXT(B18,"ddMMMyy")</f>
        <v>CMMZ_P18_17_30Dec99</v>
      </c>
      <c r="T18" s="71" t="str">
        <f t="array" ref="T18">IFERROR(VLOOKUP(M18,{Indices_iTru!B:C;Indices_NEBNext!C:D;Indices_QIAseq!B:C},1,FALSE),"")</f>
        <v/>
      </c>
      <c r="U18" s="71" t="str">
        <f t="array" ref="U18">IFERROR(VLOOKUP(M18,{Indices_iTru!B:C;Indices_NEBNext!C:D;Indices_QIAseq!B:C},2,FALSE),"")</f>
        <v/>
      </c>
      <c r="V18" s="71" t="str">
        <f t="array" ref="V18">IFERROR(VLOOKUP(O18,{Indices_iTru!B:C;Indices_NEBNext!E:F;Indices_QIAseq!D:E},1,FALSE),"")</f>
        <v/>
      </c>
      <c r="W18" s="71" t="str">
        <f t="array" ref="W18">IFERROR(VLOOKUP(O18,{Indices_iTru!B:C;Indices_NEBNext!E:F;Indices_QIAseq!D:E},2,FALSE),"")</f>
        <v/>
      </c>
      <c r="X18" s="56" t="str">
        <f t="shared" si="5"/>
        <v>__+_R1.fastq.gz</v>
      </c>
      <c r="Y18" s="56" t="str">
        <f t="shared" si="6"/>
        <v>__+_R2.fastq.gz</v>
      </c>
    </row>
    <row r="19" ht="15.75" customHeight="1">
      <c r="A19" s="36">
        <v>17.0</v>
      </c>
      <c r="B19" s="97"/>
      <c r="C19" s="39"/>
      <c r="D19" s="43"/>
      <c r="E19" s="43"/>
      <c r="F19" s="43"/>
      <c r="G19" s="45">
        <f t="shared" si="1"/>
        <v>0</v>
      </c>
      <c r="H19" s="45">
        <f t="shared" si="2"/>
        <v>100</v>
      </c>
      <c r="I19" s="45">
        <f t="shared" si="3"/>
        <v>0</v>
      </c>
      <c r="J19" s="45"/>
      <c r="K19" s="45">
        <f t="shared" si="4"/>
        <v>0</v>
      </c>
      <c r="L19" s="51" t="s">
        <v>289</v>
      </c>
      <c r="M19" s="144"/>
      <c r="N19" s="51" t="s">
        <v>289</v>
      </c>
      <c r="O19" s="144"/>
      <c r="P19" s="184"/>
      <c r="Q19" s="56" t="str">
        <f>IF(ISBLANK(CONTROLE!$B$3),"","CMMZ_P"&amp;CONTROLE!$B$3&amp;"_0"&amp;A19)</f>
        <v>CMMZ_P18_017</v>
      </c>
      <c r="R19" s="56" t="str">
        <f>IF(ISBLANK(CONTROLE!$B$3),"","P"&amp;CONTROLE!$B$3&amp;"_0"&amp;A19)</f>
        <v>P18_017</v>
      </c>
      <c r="S19" s="56" t="str">
        <f>"CMMZ_P"&amp;CONTROLE!$B$3&amp;"_"&amp;TEXT(A20,"00")&amp;"_"&amp;TEXT(B19,"ddMMMyy")</f>
        <v>CMMZ_P18_18_30Dec99</v>
      </c>
      <c r="T19" s="71" t="str">
        <f t="array" ref="T19">IFERROR(VLOOKUP(M19,{Indices_iTru!B:C;Indices_NEBNext!C:D;Indices_QIAseq!B:C},1,FALSE),"")</f>
        <v/>
      </c>
      <c r="U19" s="71" t="str">
        <f t="array" ref="U19">IFERROR(VLOOKUP(M19,{Indices_iTru!B:C;Indices_NEBNext!C:D;Indices_QIAseq!B:C},2,FALSE),"")</f>
        <v/>
      </c>
      <c r="V19" s="71" t="str">
        <f t="array" ref="V19">IFERROR(VLOOKUP(O19,{Indices_iTru!B:C;Indices_NEBNext!E:F;Indices_QIAseq!D:E},1,FALSE),"")</f>
        <v/>
      </c>
      <c r="W19" s="71" t="str">
        <f t="array" ref="W19">IFERROR(VLOOKUP(O19,{Indices_iTru!B:C;Indices_NEBNext!E:F;Indices_QIAseq!D:E},2,FALSE),"")</f>
        <v/>
      </c>
      <c r="X19" s="56" t="str">
        <f t="shared" si="5"/>
        <v>__+_R1.fastq.gz</v>
      </c>
      <c r="Y19" s="56" t="str">
        <f t="shared" si="6"/>
        <v>__+_R2.fastq.gz</v>
      </c>
    </row>
    <row r="20" ht="15.75" customHeight="1">
      <c r="A20" s="36">
        <v>18.0</v>
      </c>
      <c r="B20" s="97"/>
      <c r="C20" s="39"/>
      <c r="D20" s="43"/>
      <c r="E20" s="43"/>
      <c r="F20" s="43"/>
      <c r="G20" s="45">
        <f t="shared" si="1"/>
        <v>0</v>
      </c>
      <c r="H20" s="45">
        <f t="shared" si="2"/>
        <v>100</v>
      </c>
      <c r="I20" s="45">
        <f t="shared" si="3"/>
        <v>0</v>
      </c>
      <c r="J20" s="45"/>
      <c r="K20" s="45">
        <f t="shared" si="4"/>
        <v>0</v>
      </c>
      <c r="L20" s="51" t="s">
        <v>291</v>
      </c>
      <c r="M20" s="144"/>
      <c r="N20" s="51" t="s">
        <v>291</v>
      </c>
      <c r="O20" s="144"/>
      <c r="P20" s="103"/>
      <c r="Q20" s="56" t="str">
        <f>IF(ISBLANK(CONTROLE!$B$3),"","CMMZ_P"&amp;CONTROLE!$B$3&amp;"_0"&amp;A20)</f>
        <v>CMMZ_P18_018</v>
      </c>
      <c r="R20" s="56" t="str">
        <f>IF(ISBLANK(CONTROLE!$B$3),"","P"&amp;CONTROLE!$B$3&amp;"_0"&amp;A20)</f>
        <v>P18_018</v>
      </c>
      <c r="S20" s="56" t="str">
        <f>"CMMZ_P"&amp;CONTROLE!$B$3&amp;"_"&amp;TEXT(A21,"00")&amp;"_"&amp;TEXT(B20,"ddMMMyy")</f>
        <v>CMMZ_P18_19_30Dec99</v>
      </c>
      <c r="T20" s="71" t="str">
        <f t="array" ref="T20">IFERROR(VLOOKUP(M20,{Indices_iTru!B:C;Indices_NEBNext!C:D;Indices_QIAseq!B:C},1,FALSE),"")</f>
        <v/>
      </c>
      <c r="U20" s="71" t="str">
        <f t="array" ref="U20">IFERROR(VLOOKUP(M20,{Indices_iTru!B:C;Indices_NEBNext!C:D;Indices_QIAseq!B:C},2,FALSE),"")</f>
        <v/>
      </c>
      <c r="V20" s="71" t="str">
        <f t="array" ref="V20">IFERROR(VLOOKUP(O20,{Indices_iTru!B:C;Indices_NEBNext!E:F;Indices_QIAseq!D:E},1,FALSE),"")</f>
        <v/>
      </c>
      <c r="W20" s="71" t="str">
        <f t="array" ref="W20">IFERROR(VLOOKUP(O20,{Indices_iTru!B:C;Indices_NEBNext!E:F;Indices_QIAseq!D:E},2,FALSE),"")</f>
        <v/>
      </c>
      <c r="X20" s="56" t="str">
        <f t="shared" si="5"/>
        <v>__+_R1.fastq.gz</v>
      </c>
      <c r="Y20" s="56" t="str">
        <f t="shared" si="6"/>
        <v>__+_R2.fastq.gz</v>
      </c>
    </row>
    <row r="21" ht="15.75" customHeight="1">
      <c r="A21" s="36">
        <v>19.0</v>
      </c>
      <c r="B21" s="97"/>
      <c r="C21" s="39"/>
      <c r="D21" s="43"/>
      <c r="E21" s="43"/>
      <c r="F21" s="43"/>
      <c r="G21" s="45">
        <f t="shared" si="1"/>
        <v>0</v>
      </c>
      <c r="H21" s="45">
        <f t="shared" si="2"/>
        <v>100</v>
      </c>
      <c r="I21" s="45">
        <f t="shared" si="3"/>
        <v>0</v>
      </c>
      <c r="J21" s="45"/>
      <c r="K21" s="45">
        <f t="shared" si="4"/>
        <v>0</v>
      </c>
      <c r="L21" s="51" t="s">
        <v>294</v>
      </c>
      <c r="M21" s="144"/>
      <c r="N21" s="51" t="s">
        <v>294</v>
      </c>
      <c r="O21" s="144"/>
      <c r="P21" s="103"/>
      <c r="Q21" s="56" t="str">
        <f>IF(ISBLANK(CONTROLE!$B$3),"","CMMZ_P"&amp;CONTROLE!$B$3&amp;"_0"&amp;A21)</f>
        <v>CMMZ_P18_019</v>
      </c>
      <c r="R21" s="56" t="str">
        <f>IF(ISBLANK(CONTROLE!$B$3),"","P"&amp;CONTROLE!$B$3&amp;"_0"&amp;A21)</f>
        <v>P18_019</v>
      </c>
      <c r="S21" s="56" t="str">
        <f>"CMMZ_P"&amp;CONTROLE!$B$3&amp;"_"&amp;TEXT(A22,"00")&amp;"_"&amp;TEXT(B21,"ddMMMyy")</f>
        <v>CMMZ_P18_20_30Dec99</v>
      </c>
      <c r="T21" s="71" t="str">
        <f t="array" ref="T21">IFERROR(VLOOKUP(M21,{Indices_iTru!B:C;Indices_NEBNext!C:D;Indices_QIAseq!B:C},1,FALSE),"")</f>
        <v/>
      </c>
      <c r="U21" s="71" t="str">
        <f t="array" ref="U21">IFERROR(VLOOKUP(M21,{Indices_iTru!B:C;Indices_NEBNext!C:D;Indices_QIAseq!B:C},2,FALSE),"")</f>
        <v/>
      </c>
      <c r="V21" s="71" t="str">
        <f t="array" ref="V21">IFERROR(VLOOKUP(O21,{Indices_iTru!B:C;Indices_NEBNext!E:F;Indices_QIAseq!D:E},1,FALSE),"")</f>
        <v/>
      </c>
      <c r="W21" s="71" t="str">
        <f t="array" ref="W21">IFERROR(VLOOKUP(O21,{Indices_iTru!B:C;Indices_NEBNext!E:F;Indices_QIAseq!D:E},2,FALSE),"")</f>
        <v/>
      </c>
      <c r="X21" s="56" t="str">
        <f t="shared" si="5"/>
        <v>__+_R1.fastq.gz</v>
      </c>
      <c r="Y21" s="56" t="str">
        <f t="shared" si="6"/>
        <v>__+_R2.fastq.gz</v>
      </c>
    </row>
    <row r="22" ht="15.75" customHeight="1">
      <c r="A22" s="36">
        <v>20.0</v>
      </c>
      <c r="B22" s="97"/>
      <c r="C22" s="39"/>
      <c r="D22" s="43"/>
      <c r="E22" s="43"/>
      <c r="F22" s="43"/>
      <c r="G22" s="45">
        <f t="shared" si="1"/>
        <v>0</v>
      </c>
      <c r="H22" s="45">
        <f t="shared" si="2"/>
        <v>100</v>
      </c>
      <c r="I22" s="45">
        <f t="shared" si="3"/>
        <v>0</v>
      </c>
      <c r="J22" s="45"/>
      <c r="K22" s="45">
        <f t="shared" si="4"/>
        <v>0</v>
      </c>
      <c r="L22" s="51" t="s">
        <v>299</v>
      </c>
      <c r="M22" s="144"/>
      <c r="N22" s="51" t="s">
        <v>299</v>
      </c>
      <c r="O22" s="144"/>
      <c r="P22" s="103"/>
      <c r="Q22" s="56" t="str">
        <f>IF(ISBLANK(CONTROLE!$B$3),"","CMMZ_P"&amp;CONTROLE!$B$3&amp;"_0"&amp;A22)</f>
        <v>CMMZ_P18_020</v>
      </c>
      <c r="R22" s="56" t="str">
        <f>IF(ISBLANK(CONTROLE!$B$3),"","P"&amp;CONTROLE!$B$3&amp;"_0"&amp;A22)</f>
        <v>P18_020</v>
      </c>
      <c r="S22" s="56" t="str">
        <f>"CMMZ_P"&amp;CONTROLE!$B$3&amp;"_"&amp;TEXT(A23,"00")&amp;"_"&amp;TEXT(B22,"ddMMMyy")</f>
        <v>CMMZ_P18_21_30Dec99</v>
      </c>
      <c r="T22" s="71" t="str">
        <f t="array" ref="T22">IFERROR(VLOOKUP(M22,{Indices_iTru!B:C;Indices_NEBNext!C:D;Indices_QIAseq!B:C},1,FALSE),"")</f>
        <v/>
      </c>
      <c r="U22" s="71" t="str">
        <f t="array" ref="U22">IFERROR(VLOOKUP(M22,{Indices_iTru!B:C;Indices_NEBNext!C:D;Indices_QIAseq!B:C},2,FALSE),"")</f>
        <v/>
      </c>
      <c r="V22" s="71" t="str">
        <f t="array" ref="V22">IFERROR(VLOOKUP(O22,{Indices_iTru!B:C;Indices_NEBNext!E:F;Indices_QIAseq!D:E},1,FALSE),"")</f>
        <v/>
      </c>
      <c r="W22" s="71" t="str">
        <f t="array" ref="W22">IFERROR(VLOOKUP(O22,{Indices_iTru!B:C;Indices_NEBNext!E:F;Indices_QIAseq!D:E},2,FALSE),"")</f>
        <v/>
      </c>
      <c r="X22" s="56" t="str">
        <f t="shared" si="5"/>
        <v>__+_R1.fastq.gz</v>
      </c>
      <c r="Y22" s="56" t="str">
        <f t="shared" si="6"/>
        <v>__+_R2.fastq.gz</v>
      </c>
    </row>
    <row r="23" ht="15.75" customHeight="1">
      <c r="A23" s="36">
        <v>21.0</v>
      </c>
      <c r="B23" s="97"/>
      <c r="C23" s="39"/>
      <c r="D23" s="43"/>
      <c r="E23" s="43"/>
      <c r="F23" s="43"/>
      <c r="G23" s="45">
        <f t="shared" si="1"/>
        <v>0</v>
      </c>
      <c r="H23" s="45">
        <f t="shared" si="2"/>
        <v>100</v>
      </c>
      <c r="I23" s="45">
        <f t="shared" si="3"/>
        <v>0</v>
      </c>
      <c r="J23" s="45"/>
      <c r="K23" s="45">
        <f t="shared" si="4"/>
        <v>0</v>
      </c>
      <c r="L23" s="51" t="s">
        <v>300</v>
      </c>
      <c r="M23" s="144"/>
      <c r="N23" s="51" t="s">
        <v>300</v>
      </c>
      <c r="O23" s="144"/>
      <c r="P23" s="103"/>
      <c r="Q23" s="56" t="str">
        <f>IF(ISBLANK(CONTROLE!$B$3),"","CMMZ_P"&amp;CONTROLE!$B$3&amp;"_0"&amp;A23)</f>
        <v>CMMZ_P18_021</v>
      </c>
      <c r="R23" s="56" t="str">
        <f>IF(ISBLANK(CONTROLE!$B$3),"","P"&amp;CONTROLE!$B$3&amp;"_0"&amp;A23)</f>
        <v>P18_021</v>
      </c>
      <c r="S23" s="56" t="str">
        <f>"CMMZ_P"&amp;CONTROLE!$B$3&amp;"_"&amp;TEXT(A24,"00")&amp;"_"&amp;TEXT(B23,"ddMMMyy")</f>
        <v>CMMZ_P18_22_30Dec99</v>
      </c>
      <c r="T23" s="71" t="str">
        <f t="array" ref="T23">IFERROR(VLOOKUP(M23,{Indices_iTru!B:C;Indices_NEBNext!C:D;Indices_QIAseq!B:C},1,FALSE),"")</f>
        <v/>
      </c>
      <c r="U23" s="71" t="str">
        <f t="array" ref="U23">IFERROR(VLOOKUP(M23,{Indices_iTru!B:C;Indices_NEBNext!C:D;Indices_QIAseq!B:C},2,FALSE),"")</f>
        <v/>
      </c>
      <c r="V23" s="71" t="str">
        <f t="array" ref="V23">IFERROR(VLOOKUP(O23,{Indices_iTru!B:C;Indices_NEBNext!E:F;Indices_QIAseq!D:E},1,FALSE),"")</f>
        <v/>
      </c>
      <c r="W23" s="71" t="str">
        <f t="array" ref="W23">IFERROR(VLOOKUP(O23,{Indices_iTru!B:C;Indices_NEBNext!E:F;Indices_QIAseq!D:E},2,FALSE),"")</f>
        <v/>
      </c>
      <c r="X23" s="56" t="str">
        <f t="shared" si="5"/>
        <v>__+_R1.fastq.gz</v>
      </c>
      <c r="Y23" s="56" t="str">
        <f t="shared" si="6"/>
        <v>__+_R2.fastq.gz</v>
      </c>
    </row>
    <row r="24" ht="15.75" customHeight="1">
      <c r="A24" s="36">
        <v>22.0</v>
      </c>
      <c r="B24" s="97"/>
      <c r="C24" s="39"/>
      <c r="D24" s="43"/>
      <c r="E24" s="43"/>
      <c r="F24" s="43"/>
      <c r="G24" s="45">
        <f t="shared" si="1"/>
        <v>0</v>
      </c>
      <c r="H24" s="45">
        <f t="shared" si="2"/>
        <v>100</v>
      </c>
      <c r="I24" s="45">
        <f t="shared" si="3"/>
        <v>0</v>
      </c>
      <c r="J24" s="45"/>
      <c r="K24" s="45">
        <f t="shared" si="4"/>
        <v>0</v>
      </c>
      <c r="L24" s="51" t="s">
        <v>303</v>
      </c>
      <c r="M24" s="144"/>
      <c r="N24" s="51" t="s">
        <v>303</v>
      </c>
      <c r="O24" s="144"/>
      <c r="P24" s="103"/>
      <c r="Q24" s="56" t="str">
        <f>IF(ISBLANK(CONTROLE!$B$3),"","CMMZ_P"&amp;CONTROLE!$B$3&amp;"_0"&amp;A24)</f>
        <v>CMMZ_P18_022</v>
      </c>
      <c r="R24" s="56" t="str">
        <f>IF(ISBLANK(CONTROLE!$B$3),"","P"&amp;CONTROLE!$B$3&amp;"_0"&amp;A24)</f>
        <v>P18_022</v>
      </c>
      <c r="S24" s="56" t="str">
        <f>"CMMZ_P"&amp;CONTROLE!$B$3&amp;"_"&amp;TEXT(A25,"00")&amp;"_"&amp;TEXT(B24,"ddMMMyy")</f>
        <v>CMMZ_P18_23_30Dec99</v>
      </c>
      <c r="T24" s="71" t="str">
        <f t="array" ref="T24">IFERROR(VLOOKUP(M24,{Indices_iTru!B:C;Indices_NEBNext!C:D;Indices_QIAseq!B:C},1,FALSE),"")</f>
        <v/>
      </c>
      <c r="U24" s="71" t="str">
        <f t="array" ref="U24">IFERROR(VLOOKUP(M24,{Indices_iTru!B:C;Indices_NEBNext!C:D;Indices_QIAseq!B:C},2,FALSE),"")</f>
        <v/>
      </c>
      <c r="V24" s="71" t="str">
        <f t="array" ref="V24">IFERROR(VLOOKUP(O24,{Indices_iTru!B:C;Indices_NEBNext!E:F;Indices_QIAseq!D:E},1,FALSE),"")</f>
        <v/>
      </c>
      <c r="W24" s="71" t="str">
        <f t="array" ref="W24">IFERROR(VLOOKUP(O24,{Indices_iTru!B:C;Indices_NEBNext!E:F;Indices_QIAseq!D:E},2,FALSE),"")</f>
        <v/>
      </c>
      <c r="X24" s="56" t="str">
        <f t="shared" si="5"/>
        <v>__+_R1.fastq.gz</v>
      </c>
      <c r="Y24" s="56" t="str">
        <f t="shared" si="6"/>
        <v>__+_R2.fastq.gz</v>
      </c>
    </row>
    <row r="25" ht="15.75" customHeight="1">
      <c r="A25" s="36">
        <v>23.0</v>
      </c>
      <c r="B25" s="97"/>
      <c r="C25" s="39"/>
      <c r="D25" s="43"/>
      <c r="E25" s="43"/>
      <c r="F25" s="43"/>
      <c r="G25" s="45">
        <f t="shared" si="1"/>
        <v>0</v>
      </c>
      <c r="H25" s="45">
        <f t="shared" si="2"/>
        <v>100</v>
      </c>
      <c r="I25" s="45">
        <f t="shared" si="3"/>
        <v>0</v>
      </c>
      <c r="J25" s="45"/>
      <c r="K25" s="45">
        <f t="shared" si="4"/>
        <v>0</v>
      </c>
      <c r="L25" s="51" t="s">
        <v>305</v>
      </c>
      <c r="M25" s="144"/>
      <c r="N25" s="51" t="s">
        <v>305</v>
      </c>
      <c r="O25" s="144"/>
      <c r="P25" s="103"/>
      <c r="Q25" s="56" t="str">
        <f>IF(ISBLANK(CONTROLE!$B$3),"","CMMZ_P"&amp;CONTROLE!$B$3&amp;"_0"&amp;A25)</f>
        <v>CMMZ_P18_023</v>
      </c>
      <c r="R25" s="56" t="str">
        <f>IF(ISBLANK(CONTROLE!$B$3),"","P"&amp;CONTROLE!$B$3&amp;"_0"&amp;A25)</f>
        <v>P18_023</v>
      </c>
      <c r="S25" s="56" t="str">
        <f>"CMMZ_P"&amp;CONTROLE!$B$3&amp;"_"&amp;TEXT(A26,"00")&amp;"_"&amp;TEXT(B25,"ddMMMyy")</f>
        <v>CMMZ_P18_24_30Dec99</v>
      </c>
      <c r="T25" s="71" t="str">
        <f t="array" ref="T25">IFERROR(VLOOKUP(M25,{Indices_iTru!B:C;Indices_NEBNext!C:D;Indices_QIAseq!B:C},1,FALSE),"")</f>
        <v/>
      </c>
      <c r="U25" s="71" t="str">
        <f t="array" ref="U25">IFERROR(VLOOKUP(M25,{Indices_iTru!B:C;Indices_NEBNext!C:D;Indices_QIAseq!B:C},2,FALSE),"")</f>
        <v/>
      </c>
      <c r="V25" s="71" t="str">
        <f t="array" ref="V25">IFERROR(VLOOKUP(O25,{Indices_iTru!B:C;Indices_NEBNext!E:F;Indices_QIAseq!D:E},1,FALSE),"")</f>
        <v/>
      </c>
      <c r="W25" s="71" t="str">
        <f t="array" ref="W25">IFERROR(VLOOKUP(O25,{Indices_iTru!B:C;Indices_NEBNext!E:F;Indices_QIAseq!D:E},2,FALSE),"")</f>
        <v/>
      </c>
      <c r="X25" s="56" t="str">
        <f t="shared" si="5"/>
        <v>__+_R1.fastq.gz</v>
      </c>
      <c r="Y25" s="56" t="str">
        <f t="shared" si="6"/>
        <v>__+_R2.fastq.gz</v>
      </c>
    </row>
    <row r="26" ht="15.75" customHeight="1">
      <c r="A26" s="36">
        <v>24.0</v>
      </c>
      <c r="B26" s="97"/>
      <c r="C26" s="39"/>
      <c r="D26" s="43"/>
      <c r="E26" s="43"/>
      <c r="F26" s="43"/>
      <c r="G26" s="45">
        <f t="shared" si="1"/>
        <v>0</v>
      </c>
      <c r="H26" s="45">
        <f t="shared" si="2"/>
        <v>100</v>
      </c>
      <c r="I26" s="45">
        <f t="shared" si="3"/>
        <v>0</v>
      </c>
      <c r="J26" s="45"/>
      <c r="K26" s="45">
        <f t="shared" si="4"/>
        <v>0</v>
      </c>
      <c r="L26" s="51" t="s">
        <v>308</v>
      </c>
      <c r="M26" s="144"/>
      <c r="N26" s="51" t="s">
        <v>308</v>
      </c>
      <c r="O26" s="144"/>
      <c r="P26" s="103"/>
      <c r="Q26" s="56" t="str">
        <f>IF(ISBLANK(CONTROLE!$B$3),"","CMMZ_P"&amp;CONTROLE!$B$3&amp;"_0"&amp;A26)</f>
        <v>CMMZ_P18_024</v>
      </c>
      <c r="R26" s="56" t="str">
        <f>IF(ISBLANK(CONTROLE!$B$3),"","P"&amp;CONTROLE!$B$3&amp;"_0"&amp;A26)</f>
        <v>P18_024</v>
      </c>
      <c r="S26" s="56" t="str">
        <f>"CMMZ_P"&amp;CONTROLE!$B$3&amp;"_"&amp;TEXT(A27,"00")&amp;"_"&amp;TEXT(B26,"ddMMMyy")</f>
        <v>CMMZ_P18_25_30Dec99</v>
      </c>
      <c r="T26" s="71" t="str">
        <f t="array" ref="T26">IFERROR(VLOOKUP(M26,{Indices_iTru!B:C;Indices_NEBNext!C:D;Indices_QIAseq!B:C},1,FALSE),"")</f>
        <v/>
      </c>
      <c r="U26" s="71" t="str">
        <f t="array" ref="U26">IFERROR(VLOOKUP(M26,{Indices_iTru!B:C;Indices_NEBNext!C:D;Indices_QIAseq!B:C},2,FALSE),"")</f>
        <v/>
      </c>
      <c r="V26" s="71" t="str">
        <f t="array" ref="V26">IFERROR(VLOOKUP(O26,{Indices_iTru!B:C;Indices_NEBNext!E:F;Indices_QIAseq!D:E},1,FALSE),"")</f>
        <v/>
      </c>
      <c r="W26" s="71" t="str">
        <f t="array" ref="W26">IFERROR(VLOOKUP(O26,{Indices_iTru!B:C;Indices_NEBNext!E:F;Indices_QIAseq!D:E},2,FALSE),"")</f>
        <v/>
      </c>
      <c r="X26" s="56" t="str">
        <f t="shared" si="5"/>
        <v>__+_R1.fastq.gz</v>
      </c>
      <c r="Y26" s="56" t="str">
        <f t="shared" si="6"/>
        <v>__+_R2.fastq.gz</v>
      </c>
    </row>
    <row r="27" ht="15.75" customHeight="1">
      <c r="A27" s="36">
        <v>25.0</v>
      </c>
      <c r="B27" s="97"/>
      <c r="C27" s="39"/>
      <c r="D27" s="43"/>
      <c r="E27" s="43"/>
      <c r="F27" s="43"/>
      <c r="G27" s="45">
        <f t="shared" si="1"/>
        <v>0</v>
      </c>
      <c r="H27" s="45">
        <f t="shared" si="2"/>
        <v>100</v>
      </c>
      <c r="I27" s="45">
        <f t="shared" si="3"/>
        <v>0</v>
      </c>
      <c r="J27" s="45"/>
      <c r="K27" s="45">
        <f t="shared" si="4"/>
        <v>0</v>
      </c>
      <c r="L27" s="51" t="s">
        <v>310</v>
      </c>
      <c r="M27" s="144"/>
      <c r="N27" s="51" t="s">
        <v>310</v>
      </c>
      <c r="O27" s="144"/>
      <c r="P27" s="103"/>
      <c r="Q27" s="56" t="str">
        <f>IF(ISBLANK(CONTROLE!$B$3),"","CMMZ_P"&amp;CONTROLE!$B$3&amp;"_0"&amp;A27)</f>
        <v>CMMZ_P18_025</v>
      </c>
      <c r="R27" s="56" t="str">
        <f>IF(ISBLANK(CONTROLE!$B$3),"","P"&amp;CONTROLE!$B$3&amp;"_0"&amp;A27)</f>
        <v>P18_025</v>
      </c>
      <c r="S27" s="56" t="str">
        <f>"CMMZ_P"&amp;CONTROLE!$B$3&amp;"_"&amp;TEXT(A28,"00")&amp;"_"&amp;TEXT(B27,"ddMMMyy")</f>
        <v>CMMZ_P18_26_30Dec99</v>
      </c>
      <c r="T27" s="71" t="str">
        <f t="array" ref="T27">IFERROR(VLOOKUP(M27,{Indices_iTru!B:C;Indices_NEBNext!C:D;Indices_QIAseq!B:C},1,FALSE),"")</f>
        <v/>
      </c>
      <c r="U27" s="71" t="str">
        <f t="array" ref="U27">IFERROR(VLOOKUP(M27,{Indices_iTru!B:C;Indices_NEBNext!C:D;Indices_QIAseq!B:C},2,FALSE),"")</f>
        <v/>
      </c>
      <c r="V27" s="71" t="str">
        <f t="array" ref="V27">IFERROR(VLOOKUP(O27,{Indices_iTru!B:C;Indices_NEBNext!E:F;Indices_QIAseq!D:E},1,FALSE),"")</f>
        <v/>
      </c>
      <c r="W27" s="71" t="str">
        <f t="array" ref="W27">IFERROR(VLOOKUP(O27,{Indices_iTru!B:C;Indices_NEBNext!E:F;Indices_QIAseq!D:E},2,FALSE),"")</f>
        <v/>
      </c>
      <c r="X27" s="56" t="str">
        <f t="shared" si="5"/>
        <v>__+_R1.fastq.gz</v>
      </c>
      <c r="Y27" s="56" t="str">
        <f t="shared" si="6"/>
        <v>__+_R2.fastq.gz</v>
      </c>
    </row>
    <row r="28" ht="15.75" customHeight="1">
      <c r="A28" s="36">
        <v>26.0</v>
      </c>
      <c r="B28" s="97"/>
      <c r="C28" s="39"/>
      <c r="D28" s="43"/>
      <c r="E28" s="43"/>
      <c r="F28" s="43"/>
      <c r="G28" s="45">
        <f t="shared" si="1"/>
        <v>0</v>
      </c>
      <c r="H28" s="45">
        <f t="shared" si="2"/>
        <v>100</v>
      </c>
      <c r="I28" s="45">
        <f t="shared" si="3"/>
        <v>0</v>
      </c>
      <c r="J28" s="45"/>
      <c r="K28" s="45">
        <f t="shared" si="4"/>
        <v>0</v>
      </c>
      <c r="L28" s="51" t="s">
        <v>314</v>
      </c>
      <c r="M28" s="144"/>
      <c r="N28" s="51" t="s">
        <v>314</v>
      </c>
      <c r="O28" s="144"/>
      <c r="P28" s="103"/>
      <c r="Q28" s="56" t="str">
        <f>IF(ISBLANK(CONTROLE!$B$3),"","CMMZ_P"&amp;CONTROLE!$B$3&amp;"_0"&amp;A28)</f>
        <v>CMMZ_P18_026</v>
      </c>
      <c r="R28" s="56" t="str">
        <f>IF(ISBLANK(CONTROLE!$B$3),"","P"&amp;CONTROLE!$B$3&amp;"_0"&amp;A28)</f>
        <v>P18_026</v>
      </c>
      <c r="S28" s="56" t="str">
        <f>"CMMZ_P"&amp;CONTROLE!$B$3&amp;"_"&amp;TEXT(A29,"00")&amp;"_"&amp;TEXT(B28,"ddMMMyy")</f>
        <v>CMMZ_P18_27_30Dec99</v>
      </c>
      <c r="T28" s="71" t="str">
        <f t="array" ref="T28">IFERROR(VLOOKUP(M28,{Indices_iTru!B:C;Indices_NEBNext!C:D;Indices_QIAseq!B:C},1,FALSE),"")</f>
        <v/>
      </c>
      <c r="U28" s="71" t="str">
        <f t="array" ref="U28">IFERROR(VLOOKUP(M28,{Indices_iTru!B:C;Indices_NEBNext!C:D;Indices_QIAseq!B:C},2,FALSE),"")</f>
        <v/>
      </c>
      <c r="V28" s="71" t="str">
        <f t="array" ref="V28">IFERROR(VLOOKUP(O28,{Indices_iTru!B:C;Indices_NEBNext!E:F;Indices_QIAseq!D:E},1,FALSE),"")</f>
        <v/>
      </c>
      <c r="W28" s="71" t="str">
        <f t="array" ref="W28">IFERROR(VLOOKUP(O28,{Indices_iTru!B:C;Indices_NEBNext!E:F;Indices_QIAseq!D:E},2,FALSE),"")</f>
        <v/>
      </c>
      <c r="X28" s="56" t="str">
        <f t="shared" si="5"/>
        <v>__+_R1.fastq.gz</v>
      </c>
      <c r="Y28" s="56" t="str">
        <f t="shared" si="6"/>
        <v>__+_R2.fastq.gz</v>
      </c>
    </row>
    <row r="29" ht="15.75" customHeight="1">
      <c r="A29" s="36">
        <v>27.0</v>
      </c>
      <c r="B29" s="97"/>
      <c r="C29" s="39"/>
      <c r="D29" s="43"/>
      <c r="E29" s="43"/>
      <c r="F29" s="43"/>
      <c r="G29" s="45">
        <f t="shared" si="1"/>
        <v>0</v>
      </c>
      <c r="H29" s="45">
        <f t="shared" si="2"/>
        <v>100</v>
      </c>
      <c r="I29" s="45">
        <f t="shared" si="3"/>
        <v>0</v>
      </c>
      <c r="J29" s="45"/>
      <c r="K29" s="45">
        <f t="shared" si="4"/>
        <v>0</v>
      </c>
      <c r="L29" s="51" t="s">
        <v>315</v>
      </c>
      <c r="M29" s="144"/>
      <c r="N29" s="51" t="s">
        <v>315</v>
      </c>
      <c r="O29" s="144"/>
      <c r="P29" s="103"/>
      <c r="Q29" s="56" t="str">
        <f>IF(ISBLANK(CONTROLE!$B$3),"","CMMZ_P"&amp;CONTROLE!$B$3&amp;"_0"&amp;A29)</f>
        <v>CMMZ_P18_027</v>
      </c>
      <c r="R29" s="56" t="str">
        <f>IF(ISBLANK(CONTROLE!$B$3),"","P"&amp;CONTROLE!$B$3&amp;"_0"&amp;A29)</f>
        <v>P18_027</v>
      </c>
      <c r="S29" s="56" t="str">
        <f>"CMMZ_P"&amp;CONTROLE!$B$3&amp;"_"&amp;TEXT(A30,"00")&amp;"_"&amp;TEXT(B29,"ddMMMyy")</f>
        <v>CMMZ_P18_28_30Dec99</v>
      </c>
      <c r="T29" s="71" t="str">
        <f t="array" ref="T29">IFERROR(VLOOKUP(M29,{Indices_iTru!B:C;Indices_NEBNext!C:D;Indices_QIAseq!B:C},1,FALSE),"")</f>
        <v/>
      </c>
      <c r="U29" s="71" t="str">
        <f t="array" ref="U29">IFERROR(VLOOKUP(M29,{Indices_iTru!B:C;Indices_NEBNext!C:D;Indices_QIAseq!B:C},2,FALSE),"")</f>
        <v/>
      </c>
      <c r="V29" s="71" t="str">
        <f t="array" ref="V29">IFERROR(VLOOKUP(O29,{Indices_iTru!B:C;Indices_NEBNext!E:F;Indices_QIAseq!D:E},1,FALSE),"")</f>
        <v/>
      </c>
      <c r="W29" s="71" t="str">
        <f t="array" ref="W29">IFERROR(VLOOKUP(O29,{Indices_iTru!B:C;Indices_NEBNext!E:F;Indices_QIAseq!D:E},2,FALSE),"")</f>
        <v/>
      </c>
      <c r="X29" s="56" t="str">
        <f t="shared" si="5"/>
        <v>__+_R1.fastq.gz</v>
      </c>
      <c r="Y29" s="56" t="str">
        <f t="shared" si="6"/>
        <v>__+_R2.fastq.gz</v>
      </c>
    </row>
    <row r="30" ht="15.75" customHeight="1">
      <c r="A30" s="36">
        <v>28.0</v>
      </c>
      <c r="B30" s="97"/>
      <c r="C30" s="39"/>
      <c r="D30" s="43"/>
      <c r="E30" s="43"/>
      <c r="F30" s="43"/>
      <c r="G30" s="45">
        <f t="shared" si="1"/>
        <v>0</v>
      </c>
      <c r="H30" s="45">
        <f t="shared" si="2"/>
        <v>100</v>
      </c>
      <c r="I30" s="45">
        <f t="shared" si="3"/>
        <v>0</v>
      </c>
      <c r="J30" s="45"/>
      <c r="K30" s="45">
        <f t="shared" si="4"/>
        <v>0</v>
      </c>
      <c r="L30" s="51" t="s">
        <v>317</v>
      </c>
      <c r="M30" s="144"/>
      <c r="N30" s="51" t="s">
        <v>317</v>
      </c>
      <c r="O30" s="144"/>
      <c r="P30" s="103"/>
      <c r="Q30" s="56" t="str">
        <f>IF(ISBLANK(CONTROLE!$B$3),"","CMMZ_P"&amp;CONTROLE!$B$3&amp;"_0"&amp;A30)</f>
        <v>CMMZ_P18_028</v>
      </c>
      <c r="R30" s="56" t="str">
        <f>IF(ISBLANK(CONTROLE!$B$3),"","P"&amp;CONTROLE!$B$3&amp;"_0"&amp;A30)</f>
        <v>P18_028</v>
      </c>
      <c r="S30" s="56" t="str">
        <f>"CMMZ_P"&amp;CONTROLE!$B$3&amp;"_"&amp;TEXT(A31,"00")&amp;"_"&amp;TEXT(B30,"ddMMMyy")</f>
        <v>CMMZ_P18_29_30Dec99</v>
      </c>
      <c r="T30" s="71" t="str">
        <f t="array" ref="T30">IFERROR(VLOOKUP(M30,{Indices_iTru!B:C;Indices_NEBNext!C:D;Indices_QIAseq!B:C},1,FALSE),"")</f>
        <v/>
      </c>
      <c r="U30" s="71" t="str">
        <f t="array" ref="U30">IFERROR(VLOOKUP(M30,{Indices_iTru!B:C;Indices_NEBNext!C:D;Indices_QIAseq!B:C},2,FALSE),"")</f>
        <v/>
      </c>
      <c r="V30" s="71" t="str">
        <f t="array" ref="V30">IFERROR(VLOOKUP(O30,{Indices_iTru!B:C;Indices_NEBNext!E:F;Indices_QIAseq!D:E},1,FALSE),"")</f>
        <v/>
      </c>
      <c r="W30" s="71" t="str">
        <f t="array" ref="W30">IFERROR(VLOOKUP(O30,{Indices_iTru!B:C;Indices_NEBNext!E:F;Indices_QIAseq!D:E},2,FALSE),"")</f>
        <v/>
      </c>
      <c r="X30" s="56" t="str">
        <f t="shared" si="5"/>
        <v>__+_R1.fastq.gz</v>
      </c>
      <c r="Y30" s="56" t="str">
        <f t="shared" si="6"/>
        <v>__+_R2.fastq.gz</v>
      </c>
    </row>
    <row r="31" ht="15.75" customHeight="1">
      <c r="A31" s="36">
        <v>29.0</v>
      </c>
      <c r="B31" s="97"/>
      <c r="C31" s="39"/>
      <c r="D31" s="43"/>
      <c r="E31" s="43"/>
      <c r="F31" s="43"/>
      <c r="G31" s="45">
        <f t="shared" si="1"/>
        <v>0</v>
      </c>
      <c r="H31" s="45">
        <f t="shared" si="2"/>
        <v>100</v>
      </c>
      <c r="I31" s="45">
        <f t="shared" si="3"/>
        <v>0</v>
      </c>
      <c r="J31" s="45"/>
      <c r="K31" s="45">
        <f t="shared" si="4"/>
        <v>0</v>
      </c>
      <c r="L31" s="51" t="s">
        <v>318</v>
      </c>
      <c r="M31" s="144"/>
      <c r="N31" s="51" t="s">
        <v>318</v>
      </c>
      <c r="O31" s="144"/>
      <c r="P31" s="103"/>
      <c r="Q31" s="56" t="str">
        <f>IF(ISBLANK(CONTROLE!$B$3),"","CMMZ_P"&amp;CONTROLE!$B$3&amp;"_0"&amp;A31)</f>
        <v>CMMZ_P18_029</v>
      </c>
      <c r="R31" s="56" t="str">
        <f>IF(ISBLANK(CONTROLE!$B$3),"","P"&amp;CONTROLE!$B$3&amp;"_0"&amp;A31)</f>
        <v>P18_029</v>
      </c>
      <c r="S31" s="56" t="str">
        <f>"CMMZ_P"&amp;CONTROLE!$B$3&amp;"_"&amp;TEXT(A32,"00")&amp;"_"&amp;TEXT(B31,"ddMMMyy")</f>
        <v>CMMZ_P18_30_30Dec99</v>
      </c>
      <c r="T31" s="71" t="str">
        <f t="array" ref="T31">IFERROR(VLOOKUP(M31,{Indices_iTru!B:C;Indices_NEBNext!C:D;Indices_QIAseq!B:C},1,FALSE),"")</f>
        <v/>
      </c>
      <c r="U31" s="71" t="str">
        <f t="array" ref="U31">IFERROR(VLOOKUP(M31,{Indices_iTru!B:C;Indices_NEBNext!C:D;Indices_QIAseq!B:C},2,FALSE),"")</f>
        <v/>
      </c>
      <c r="V31" s="71" t="str">
        <f t="array" ref="V31">IFERROR(VLOOKUP(O31,{Indices_iTru!B:C;Indices_NEBNext!E:F;Indices_QIAseq!D:E},1,FALSE),"")</f>
        <v/>
      </c>
      <c r="W31" s="71" t="str">
        <f t="array" ref="W31">IFERROR(VLOOKUP(O31,{Indices_iTru!B:C;Indices_NEBNext!E:F;Indices_QIAseq!D:E},2,FALSE),"")</f>
        <v/>
      </c>
      <c r="X31" s="56" t="str">
        <f t="shared" si="5"/>
        <v>__+_R1.fastq.gz</v>
      </c>
      <c r="Y31" s="56" t="str">
        <f t="shared" si="6"/>
        <v>__+_R2.fastq.gz</v>
      </c>
    </row>
    <row r="32" ht="15.75" customHeight="1">
      <c r="A32" s="36">
        <v>30.0</v>
      </c>
      <c r="B32" s="97"/>
      <c r="C32" s="39"/>
      <c r="D32" s="43"/>
      <c r="E32" s="43"/>
      <c r="F32" s="43"/>
      <c r="G32" s="45">
        <f t="shared" si="1"/>
        <v>0</v>
      </c>
      <c r="H32" s="45">
        <f t="shared" si="2"/>
        <v>100</v>
      </c>
      <c r="I32" s="45">
        <f t="shared" si="3"/>
        <v>0</v>
      </c>
      <c r="J32" s="45"/>
      <c r="K32" s="45">
        <f t="shared" si="4"/>
        <v>0</v>
      </c>
      <c r="L32" s="51" t="s">
        <v>320</v>
      </c>
      <c r="M32" s="144"/>
      <c r="N32" s="51" t="s">
        <v>320</v>
      </c>
      <c r="O32" s="144"/>
      <c r="P32" s="103"/>
      <c r="Q32" s="56" t="str">
        <f>IF(ISBLANK(CONTROLE!$B$3),"","CMMZ_P"&amp;CONTROLE!$B$3&amp;"_0"&amp;A32)</f>
        <v>CMMZ_P18_030</v>
      </c>
      <c r="R32" s="56" t="str">
        <f>IF(ISBLANK(CONTROLE!$B$3),"","P"&amp;CONTROLE!$B$3&amp;"_0"&amp;A32)</f>
        <v>P18_030</v>
      </c>
      <c r="S32" s="56" t="str">
        <f>"CMMZ_P"&amp;CONTROLE!$B$3&amp;"_"&amp;TEXT(A33,"00")&amp;"_"&amp;TEXT(B32,"ddMMMyy")</f>
        <v>CMMZ_P18_31_30Dec99</v>
      </c>
      <c r="T32" s="71" t="str">
        <f t="array" ref="T32">IFERROR(VLOOKUP(M32,{Indices_iTru!B:C;Indices_NEBNext!C:D;Indices_QIAseq!B:C},1,FALSE),"")</f>
        <v/>
      </c>
      <c r="U32" s="71" t="str">
        <f t="array" ref="U32">IFERROR(VLOOKUP(M32,{Indices_iTru!B:C;Indices_NEBNext!C:D;Indices_QIAseq!B:C},2,FALSE),"")</f>
        <v/>
      </c>
      <c r="V32" s="71" t="str">
        <f t="array" ref="V32">IFERROR(VLOOKUP(O32,{Indices_iTru!B:C;Indices_NEBNext!E:F;Indices_QIAseq!D:E},1,FALSE),"")</f>
        <v/>
      </c>
      <c r="W32" s="71" t="str">
        <f t="array" ref="W32">IFERROR(VLOOKUP(O32,{Indices_iTru!B:C;Indices_NEBNext!E:F;Indices_QIAseq!D:E},2,FALSE),"")</f>
        <v/>
      </c>
      <c r="X32" s="56" t="str">
        <f t="shared" si="5"/>
        <v>__+_R1.fastq.gz</v>
      </c>
      <c r="Y32" s="56" t="str">
        <f t="shared" si="6"/>
        <v>__+_R2.fastq.gz</v>
      </c>
    </row>
    <row r="33" ht="15.75" customHeight="1">
      <c r="A33" s="36">
        <v>31.0</v>
      </c>
      <c r="B33" s="97"/>
      <c r="C33" s="39"/>
      <c r="D33" s="43"/>
      <c r="E33" s="43"/>
      <c r="F33" s="43"/>
      <c r="G33" s="45">
        <f t="shared" si="1"/>
        <v>0</v>
      </c>
      <c r="H33" s="45">
        <f t="shared" si="2"/>
        <v>100</v>
      </c>
      <c r="I33" s="45">
        <f t="shared" si="3"/>
        <v>0</v>
      </c>
      <c r="J33" s="45"/>
      <c r="K33" s="45">
        <f t="shared" si="4"/>
        <v>0</v>
      </c>
      <c r="L33" s="51" t="s">
        <v>321</v>
      </c>
      <c r="M33" s="144"/>
      <c r="N33" s="51" t="s">
        <v>321</v>
      </c>
      <c r="O33" s="144"/>
      <c r="P33" s="103"/>
      <c r="Q33" s="56" t="str">
        <f>IF(ISBLANK(CONTROLE!$B$3),"","CMMZ_P"&amp;CONTROLE!$B$3&amp;"_0"&amp;A33)</f>
        <v>CMMZ_P18_031</v>
      </c>
      <c r="R33" s="56" t="str">
        <f>IF(ISBLANK(CONTROLE!$B$3),"","P"&amp;CONTROLE!$B$3&amp;"_0"&amp;A33)</f>
        <v>P18_031</v>
      </c>
      <c r="S33" s="56" t="str">
        <f>"CMMZ_P"&amp;CONTROLE!$B$3&amp;"_"&amp;TEXT(A34,"00")&amp;"_"&amp;TEXT(B33,"ddMMMyy")</f>
        <v>CMMZ_P18_32_30Dec99</v>
      </c>
      <c r="T33" s="71" t="str">
        <f t="array" ref="T33">IFERROR(VLOOKUP(M33,{Indices_iTru!B:C;Indices_NEBNext!C:D;Indices_QIAseq!B:C},1,FALSE),"")</f>
        <v/>
      </c>
      <c r="U33" s="71" t="str">
        <f t="array" ref="U33">IFERROR(VLOOKUP(M33,{Indices_iTru!B:C;Indices_NEBNext!C:D;Indices_QIAseq!B:C},2,FALSE),"")</f>
        <v/>
      </c>
      <c r="V33" s="71" t="str">
        <f t="array" ref="V33">IFERROR(VLOOKUP(O33,{Indices_iTru!B:C;Indices_NEBNext!E:F;Indices_QIAseq!D:E},1,FALSE),"")</f>
        <v/>
      </c>
      <c r="W33" s="71" t="str">
        <f t="array" ref="W33">IFERROR(VLOOKUP(O33,{Indices_iTru!B:C;Indices_NEBNext!E:F;Indices_QIAseq!D:E},2,FALSE),"")</f>
        <v/>
      </c>
      <c r="X33" s="56" t="str">
        <f t="shared" si="5"/>
        <v>__+_R1.fastq.gz</v>
      </c>
      <c r="Y33" s="56" t="str">
        <f t="shared" si="6"/>
        <v>__+_R2.fastq.gz</v>
      </c>
    </row>
    <row r="34" ht="15.75" customHeight="1">
      <c r="A34" s="36">
        <v>32.0</v>
      </c>
      <c r="B34" s="97"/>
      <c r="C34" s="39"/>
      <c r="D34" s="43"/>
      <c r="E34" s="43"/>
      <c r="F34" s="43"/>
      <c r="G34" s="45">
        <f t="shared" si="1"/>
        <v>0</v>
      </c>
      <c r="H34" s="45">
        <f t="shared" si="2"/>
        <v>100</v>
      </c>
      <c r="I34" s="45">
        <f t="shared" si="3"/>
        <v>0</v>
      </c>
      <c r="J34" s="45"/>
      <c r="K34" s="45">
        <f t="shared" si="4"/>
        <v>0</v>
      </c>
      <c r="L34" s="51" t="s">
        <v>323</v>
      </c>
      <c r="M34" s="144"/>
      <c r="N34" s="51" t="s">
        <v>323</v>
      </c>
      <c r="O34" s="144"/>
      <c r="P34" s="103"/>
      <c r="Q34" s="56" t="str">
        <f>IF(ISBLANK(CONTROLE!$B$3),"","CMMZ_P"&amp;CONTROLE!$B$3&amp;"_0"&amp;A34)</f>
        <v>CMMZ_P18_032</v>
      </c>
      <c r="R34" s="56" t="str">
        <f>IF(ISBLANK(CONTROLE!$B$3),"","P"&amp;CONTROLE!$B$3&amp;"_0"&amp;A34)</f>
        <v>P18_032</v>
      </c>
      <c r="S34" s="56" t="str">
        <f>"CMMZ_P"&amp;CONTROLE!$B$3&amp;"_"&amp;TEXT(A35,"00")&amp;"_"&amp;TEXT(B34,"ddMMMyy")</f>
        <v>CMMZ_P18_33_30Dec99</v>
      </c>
      <c r="T34" s="71" t="str">
        <f t="array" ref="T34">IFERROR(VLOOKUP(M34,{Indices_iTru!B:C;Indices_NEBNext!C:D;Indices_QIAseq!B:C},1,FALSE),"")</f>
        <v/>
      </c>
      <c r="U34" s="71" t="str">
        <f t="array" ref="U34">IFERROR(VLOOKUP(M34,{Indices_iTru!B:C;Indices_NEBNext!C:D;Indices_QIAseq!B:C},2,FALSE),"")</f>
        <v/>
      </c>
      <c r="V34" s="71" t="str">
        <f t="array" ref="V34">IFERROR(VLOOKUP(O34,{Indices_iTru!B:C;Indices_NEBNext!E:F;Indices_QIAseq!D:E},1,FALSE),"")</f>
        <v/>
      </c>
      <c r="W34" s="71" t="str">
        <f t="array" ref="W34">IFERROR(VLOOKUP(O34,{Indices_iTru!B:C;Indices_NEBNext!E:F;Indices_QIAseq!D:E},2,FALSE),"")</f>
        <v/>
      </c>
      <c r="X34" s="56" t="str">
        <f t="shared" si="5"/>
        <v>__+_R1.fastq.gz</v>
      </c>
      <c r="Y34" s="56" t="str">
        <f t="shared" si="6"/>
        <v>__+_R2.fastq.gz</v>
      </c>
    </row>
    <row r="35" ht="15.75" customHeight="1">
      <c r="A35" s="36">
        <v>33.0</v>
      </c>
      <c r="B35" s="97"/>
      <c r="C35" s="39"/>
      <c r="D35" s="43"/>
      <c r="E35" s="43"/>
      <c r="F35" s="43"/>
      <c r="G35" s="45">
        <f t="shared" si="1"/>
        <v>0</v>
      </c>
      <c r="H35" s="45">
        <f t="shared" si="2"/>
        <v>100</v>
      </c>
      <c r="I35" s="45">
        <f t="shared" si="3"/>
        <v>0</v>
      </c>
      <c r="J35" s="45"/>
      <c r="K35" s="45">
        <f t="shared" si="4"/>
        <v>0</v>
      </c>
      <c r="L35" s="51" t="s">
        <v>324</v>
      </c>
      <c r="M35" s="144"/>
      <c r="N35" s="51" t="s">
        <v>324</v>
      </c>
      <c r="O35" s="144"/>
      <c r="P35" s="103"/>
      <c r="Q35" s="56" t="str">
        <f>IF(ISBLANK(CONTROLE!$B$3),"","CMMZ_P"&amp;CONTROLE!$B$3&amp;"_0"&amp;A35)</f>
        <v>CMMZ_P18_033</v>
      </c>
      <c r="R35" s="56" t="str">
        <f>IF(ISBLANK(CONTROLE!$B$3),"","P"&amp;CONTROLE!$B$3&amp;"_0"&amp;A35)</f>
        <v>P18_033</v>
      </c>
      <c r="S35" s="56" t="str">
        <f>"CMMZ_P"&amp;CONTROLE!$B$3&amp;"_"&amp;TEXT(A36,"00")&amp;"_"&amp;TEXT(B35,"ddMMMyy")</f>
        <v>CMMZ_P18_34_30Dec99</v>
      </c>
      <c r="T35" s="71" t="str">
        <f t="array" ref="T35">IFERROR(VLOOKUP(M35,{Indices_iTru!B:C;Indices_NEBNext!C:D;Indices_QIAseq!B:C},1,FALSE),"")</f>
        <v/>
      </c>
      <c r="U35" s="71" t="str">
        <f t="array" ref="U35">IFERROR(VLOOKUP(M35,{Indices_iTru!B:C;Indices_NEBNext!C:D;Indices_QIAseq!B:C},2,FALSE),"")</f>
        <v/>
      </c>
      <c r="V35" s="71" t="str">
        <f t="array" ref="V35">IFERROR(VLOOKUP(O35,{Indices_iTru!B:C;Indices_NEBNext!E:F;Indices_QIAseq!D:E},1,FALSE),"")</f>
        <v/>
      </c>
      <c r="W35" s="71" t="str">
        <f t="array" ref="W35">IFERROR(VLOOKUP(O35,{Indices_iTru!B:C;Indices_NEBNext!E:F;Indices_QIAseq!D:E},2,FALSE),"")</f>
        <v/>
      </c>
      <c r="X35" s="56" t="str">
        <f t="shared" si="5"/>
        <v>__+_R1.fastq.gz</v>
      </c>
      <c r="Y35" s="56" t="str">
        <f t="shared" si="6"/>
        <v>__+_R2.fastq.gz</v>
      </c>
    </row>
    <row r="36" ht="15.75" customHeight="1">
      <c r="A36" s="36">
        <v>34.0</v>
      </c>
      <c r="B36" s="97"/>
      <c r="C36" s="39"/>
      <c r="D36" s="43"/>
      <c r="E36" s="43"/>
      <c r="F36" s="43"/>
      <c r="G36" s="45">
        <f t="shared" si="1"/>
        <v>0</v>
      </c>
      <c r="H36" s="45">
        <f t="shared" si="2"/>
        <v>100</v>
      </c>
      <c r="I36" s="45">
        <f t="shared" si="3"/>
        <v>0</v>
      </c>
      <c r="J36" s="45"/>
      <c r="K36" s="45">
        <f t="shared" si="4"/>
        <v>0</v>
      </c>
      <c r="L36" s="51" t="s">
        <v>326</v>
      </c>
      <c r="M36" s="144"/>
      <c r="N36" s="51" t="s">
        <v>326</v>
      </c>
      <c r="O36" s="144"/>
      <c r="P36" s="184"/>
      <c r="Q36" s="56" t="str">
        <f>IF(ISBLANK(CONTROLE!$B$3),"","CMMZ_P"&amp;CONTROLE!$B$3&amp;"_0"&amp;A36)</f>
        <v>CMMZ_P18_034</v>
      </c>
      <c r="R36" s="56" t="str">
        <f>IF(ISBLANK(CONTROLE!$B$3),"","P"&amp;CONTROLE!$B$3&amp;"_0"&amp;A36)</f>
        <v>P18_034</v>
      </c>
      <c r="S36" s="56" t="str">
        <f>"CMMZ_P"&amp;CONTROLE!$B$3&amp;"_"&amp;TEXT(A37,"00")&amp;"_"&amp;TEXT(B36,"ddMMMyy")</f>
        <v>CMMZ_P18_35_30Dec99</v>
      </c>
      <c r="T36" s="71" t="str">
        <f t="array" ref="T36">IFERROR(VLOOKUP(M36,{Indices_iTru!B:C;Indices_NEBNext!C:D;Indices_QIAseq!B:C},1,FALSE),"")</f>
        <v/>
      </c>
      <c r="U36" s="71" t="str">
        <f t="array" ref="U36">IFERROR(VLOOKUP(M36,{Indices_iTru!B:C;Indices_NEBNext!C:D;Indices_QIAseq!B:C},2,FALSE),"")</f>
        <v/>
      </c>
      <c r="V36" s="71" t="str">
        <f t="array" ref="V36">IFERROR(VLOOKUP(O36,{Indices_iTru!B:C;Indices_NEBNext!E:F;Indices_QIAseq!D:E},1,FALSE),"")</f>
        <v/>
      </c>
      <c r="W36" s="71" t="str">
        <f t="array" ref="W36">IFERROR(VLOOKUP(O36,{Indices_iTru!B:C;Indices_NEBNext!E:F;Indices_QIAseq!D:E},2,FALSE),"")</f>
        <v/>
      </c>
      <c r="X36" s="56" t="str">
        <f t="shared" si="5"/>
        <v>__+_R1.fastq.gz</v>
      </c>
      <c r="Y36" s="56" t="str">
        <f t="shared" si="6"/>
        <v>__+_R2.fastq.gz</v>
      </c>
    </row>
    <row r="37" ht="15.75" customHeight="1">
      <c r="A37" s="36">
        <v>35.0</v>
      </c>
      <c r="B37" s="97"/>
      <c r="C37" s="39"/>
      <c r="D37" s="43"/>
      <c r="E37" s="43"/>
      <c r="F37" s="43"/>
      <c r="G37" s="45">
        <f t="shared" si="1"/>
        <v>0</v>
      </c>
      <c r="H37" s="45">
        <f t="shared" si="2"/>
        <v>100</v>
      </c>
      <c r="I37" s="45">
        <f t="shared" si="3"/>
        <v>0</v>
      </c>
      <c r="J37" s="45"/>
      <c r="K37" s="45">
        <f t="shared" si="4"/>
        <v>0</v>
      </c>
      <c r="L37" s="51" t="s">
        <v>327</v>
      </c>
      <c r="M37" s="144"/>
      <c r="N37" s="51" t="s">
        <v>327</v>
      </c>
      <c r="O37" s="144"/>
      <c r="P37" s="103"/>
      <c r="Q37" s="56" t="str">
        <f>IF(ISBLANK(CONTROLE!$B$3),"","CMMZ_P"&amp;CONTROLE!$B$3&amp;"_0"&amp;A37)</f>
        <v>CMMZ_P18_035</v>
      </c>
      <c r="R37" s="56" t="str">
        <f>IF(ISBLANK(CONTROLE!$B$3),"","P"&amp;CONTROLE!$B$3&amp;"_0"&amp;A37)</f>
        <v>P18_035</v>
      </c>
      <c r="S37" s="56" t="str">
        <f>"CMMZ_P"&amp;CONTROLE!$B$3&amp;"_"&amp;TEXT(A38,"00")&amp;"_"&amp;TEXT(B37,"ddMMMyy")</f>
        <v>CMMZ_P18_36_30Dec99</v>
      </c>
      <c r="T37" s="71" t="str">
        <f t="array" ref="T37">IFERROR(VLOOKUP(M37,{Indices_iTru!B:C;Indices_NEBNext!C:D;Indices_QIAseq!B:C},1,FALSE),"")</f>
        <v/>
      </c>
      <c r="U37" s="71" t="str">
        <f t="array" ref="U37">IFERROR(VLOOKUP(M37,{Indices_iTru!B:C;Indices_NEBNext!C:D;Indices_QIAseq!B:C},2,FALSE),"")</f>
        <v/>
      </c>
      <c r="V37" s="71" t="str">
        <f t="array" ref="V37">IFERROR(VLOOKUP(O37,{Indices_iTru!B:C;Indices_NEBNext!E:F;Indices_QIAseq!D:E},1,FALSE),"")</f>
        <v/>
      </c>
      <c r="W37" s="71" t="str">
        <f t="array" ref="W37">IFERROR(VLOOKUP(O37,{Indices_iTru!B:C;Indices_NEBNext!E:F;Indices_QIAseq!D:E},2,FALSE),"")</f>
        <v/>
      </c>
      <c r="X37" s="56" t="str">
        <f t="shared" si="5"/>
        <v>__+_R1.fastq.gz</v>
      </c>
      <c r="Y37" s="56" t="str">
        <f t="shared" si="6"/>
        <v>__+_R2.fastq.gz</v>
      </c>
    </row>
    <row r="38" ht="15.75" customHeight="1">
      <c r="A38" s="36">
        <v>36.0</v>
      </c>
      <c r="B38" s="97"/>
      <c r="C38" s="39"/>
      <c r="D38" s="43"/>
      <c r="E38" s="43"/>
      <c r="F38" s="43"/>
      <c r="G38" s="45">
        <f t="shared" si="1"/>
        <v>0</v>
      </c>
      <c r="H38" s="45">
        <f t="shared" si="2"/>
        <v>100</v>
      </c>
      <c r="I38" s="45">
        <f t="shared" si="3"/>
        <v>0</v>
      </c>
      <c r="J38" s="45"/>
      <c r="K38" s="45">
        <f t="shared" si="4"/>
        <v>0</v>
      </c>
      <c r="L38" s="51" t="s">
        <v>329</v>
      </c>
      <c r="M38" s="144"/>
      <c r="N38" s="51" t="s">
        <v>329</v>
      </c>
      <c r="O38" s="144"/>
      <c r="P38" s="103"/>
      <c r="Q38" s="56" t="str">
        <f>IF(ISBLANK(CONTROLE!$B$3),"","CMMZ_P"&amp;CONTROLE!$B$3&amp;"_0"&amp;A38)</f>
        <v>CMMZ_P18_036</v>
      </c>
      <c r="R38" s="56" t="str">
        <f>IF(ISBLANK(CONTROLE!$B$3),"","P"&amp;CONTROLE!$B$3&amp;"_0"&amp;A38)</f>
        <v>P18_036</v>
      </c>
      <c r="S38" s="56" t="str">
        <f>"CMMZ_P"&amp;CONTROLE!$B$3&amp;"_"&amp;TEXT(A39,"00")&amp;"_"&amp;TEXT(B38,"ddMMMyy")</f>
        <v>CMMZ_P18_37_30Dec99</v>
      </c>
      <c r="T38" s="71" t="str">
        <f t="array" ref="T38">IFERROR(VLOOKUP(M38,{Indices_iTru!B:C;Indices_NEBNext!C:D;Indices_QIAseq!B:C},1,FALSE),"")</f>
        <v/>
      </c>
      <c r="U38" s="71" t="str">
        <f t="array" ref="U38">IFERROR(VLOOKUP(M38,{Indices_iTru!B:C;Indices_NEBNext!C:D;Indices_QIAseq!B:C},2,FALSE),"")</f>
        <v/>
      </c>
      <c r="V38" s="71" t="str">
        <f t="array" ref="V38">IFERROR(VLOOKUP(O38,{Indices_iTru!B:C;Indices_NEBNext!E:F;Indices_QIAseq!D:E},1,FALSE),"")</f>
        <v/>
      </c>
      <c r="W38" s="71" t="str">
        <f t="array" ref="W38">IFERROR(VLOOKUP(O38,{Indices_iTru!B:C;Indices_NEBNext!E:F;Indices_QIAseq!D:E},2,FALSE),"")</f>
        <v/>
      </c>
      <c r="X38" s="56" t="str">
        <f t="shared" si="5"/>
        <v>__+_R1.fastq.gz</v>
      </c>
      <c r="Y38" s="56" t="str">
        <f t="shared" si="6"/>
        <v>__+_R2.fastq.gz</v>
      </c>
    </row>
    <row r="39" ht="15.75" customHeight="1">
      <c r="A39" s="36">
        <v>37.0</v>
      </c>
      <c r="B39" s="97"/>
      <c r="C39" s="39"/>
      <c r="D39" s="43"/>
      <c r="E39" s="43"/>
      <c r="F39" s="43"/>
      <c r="G39" s="45">
        <f t="shared" si="1"/>
        <v>0</v>
      </c>
      <c r="H39" s="45">
        <f t="shared" si="2"/>
        <v>100</v>
      </c>
      <c r="I39" s="45">
        <f t="shared" si="3"/>
        <v>0</v>
      </c>
      <c r="J39" s="45"/>
      <c r="K39" s="45">
        <f t="shared" si="4"/>
        <v>0</v>
      </c>
      <c r="L39" s="51" t="s">
        <v>330</v>
      </c>
      <c r="M39" s="144"/>
      <c r="N39" s="51" t="s">
        <v>330</v>
      </c>
      <c r="O39" s="144"/>
      <c r="P39" s="103"/>
      <c r="Q39" s="56" t="str">
        <f>IF(ISBLANK(CONTROLE!$B$3),"","CMMZ_P"&amp;CONTROLE!$B$3&amp;"_0"&amp;A39)</f>
        <v>CMMZ_P18_037</v>
      </c>
      <c r="R39" s="56" t="str">
        <f>IF(ISBLANK(CONTROLE!$B$3),"","P"&amp;CONTROLE!$B$3&amp;"_0"&amp;A39)</f>
        <v>P18_037</v>
      </c>
      <c r="S39" s="56" t="str">
        <f>"CMMZ_P"&amp;CONTROLE!$B$3&amp;"_"&amp;TEXT(A40,"00")&amp;"_"&amp;TEXT(B39,"ddMMMyy")</f>
        <v>CMMZ_P18_38_30Dec99</v>
      </c>
      <c r="T39" s="71" t="str">
        <f t="array" ref="T39">IFERROR(VLOOKUP(M39,{Indices_iTru!B:C;Indices_NEBNext!C:D;Indices_QIAseq!B:C},1,FALSE),"")</f>
        <v/>
      </c>
      <c r="U39" s="71" t="str">
        <f t="array" ref="U39">IFERROR(VLOOKUP(M39,{Indices_iTru!B:C;Indices_NEBNext!C:D;Indices_QIAseq!B:C},2,FALSE),"")</f>
        <v/>
      </c>
      <c r="V39" s="71" t="str">
        <f t="array" ref="V39">IFERROR(VLOOKUP(O39,{Indices_iTru!B:C;Indices_NEBNext!E:F;Indices_QIAseq!D:E},1,FALSE),"")</f>
        <v/>
      </c>
      <c r="W39" s="71" t="str">
        <f t="array" ref="W39">IFERROR(VLOOKUP(O39,{Indices_iTru!B:C;Indices_NEBNext!E:F;Indices_QIAseq!D:E},2,FALSE),"")</f>
        <v/>
      </c>
      <c r="X39" s="56" t="str">
        <f t="shared" si="5"/>
        <v>__+_R1.fastq.gz</v>
      </c>
      <c r="Y39" s="56" t="str">
        <f t="shared" si="6"/>
        <v>__+_R2.fastq.gz</v>
      </c>
    </row>
    <row r="40" ht="15.75" customHeight="1">
      <c r="A40" s="36">
        <v>38.0</v>
      </c>
      <c r="B40" s="97"/>
      <c r="C40" s="39"/>
      <c r="D40" s="43"/>
      <c r="E40" s="43"/>
      <c r="F40" s="43"/>
      <c r="G40" s="45">
        <f t="shared" si="1"/>
        <v>0</v>
      </c>
      <c r="H40" s="45">
        <f t="shared" si="2"/>
        <v>100</v>
      </c>
      <c r="I40" s="45">
        <f t="shared" si="3"/>
        <v>0</v>
      </c>
      <c r="J40" s="45"/>
      <c r="K40" s="45">
        <f t="shared" si="4"/>
        <v>0</v>
      </c>
      <c r="L40" s="51" t="s">
        <v>332</v>
      </c>
      <c r="M40" s="144"/>
      <c r="N40" s="51" t="s">
        <v>332</v>
      </c>
      <c r="O40" s="144"/>
      <c r="P40" s="184"/>
      <c r="Q40" s="56" t="str">
        <f>IF(ISBLANK(CONTROLE!$B$3),"","CMMZ_P"&amp;CONTROLE!$B$3&amp;"_0"&amp;A40)</f>
        <v>CMMZ_P18_038</v>
      </c>
      <c r="R40" s="56" t="str">
        <f>IF(ISBLANK(CONTROLE!$B$3),"","P"&amp;CONTROLE!$B$3&amp;"_0"&amp;A40)</f>
        <v>P18_038</v>
      </c>
      <c r="S40" s="56" t="str">
        <f>"CMMZ_P"&amp;CONTROLE!$B$3&amp;"_"&amp;TEXT(A41,"00")&amp;"_"&amp;TEXT(B40,"ddMMMyy")</f>
        <v>CMMZ_P18_39_30Dec99</v>
      </c>
      <c r="T40" s="71" t="str">
        <f t="array" ref="T40">IFERROR(VLOOKUP(M40,{Indices_iTru!B:C;Indices_NEBNext!C:D;Indices_QIAseq!B:C},1,FALSE),"")</f>
        <v/>
      </c>
      <c r="U40" s="71" t="str">
        <f t="array" ref="U40">IFERROR(VLOOKUP(M40,{Indices_iTru!B:C;Indices_NEBNext!C:D;Indices_QIAseq!B:C},2,FALSE),"")</f>
        <v/>
      </c>
      <c r="V40" s="71" t="str">
        <f t="array" ref="V40">IFERROR(VLOOKUP(O40,{Indices_iTru!B:C;Indices_NEBNext!E:F;Indices_QIAseq!D:E},1,FALSE),"")</f>
        <v/>
      </c>
      <c r="W40" s="71" t="str">
        <f t="array" ref="W40">IFERROR(VLOOKUP(O40,{Indices_iTru!B:C;Indices_NEBNext!E:F;Indices_QIAseq!D:E},2,FALSE),"")</f>
        <v/>
      </c>
      <c r="X40" s="56" t="str">
        <f t="shared" si="5"/>
        <v>__+_R1.fastq.gz</v>
      </c>
      <c r="Y40" s="56" t="str">
        <f t="shared" si="6"/>
        <v>__+_R2.fastq.gz</v>
      </c>
    </row>
    <row r="41" ht="15.75" customHeight="1">
      <c r="A41" s="36">
        <v>39.0</v>
      </c>
      <c r="B41" s="97"/>
      <c r="C41" s="39"/>
      <c r="D41" s="43"/>
      <c r="E41" s="43"/>
      <c r="F41" s="43"/>
      <c r="G41" s="45">
        <f t="shared" si="1"/>
        <v>0</v>
      </c>
      <c r="H41" s="45">
        <f t="shared" si="2"/>
        <v>100</v>
      </c>
      <c r="I41" s="45">
        <f t="shared" si="3"/>
        <v>0</v>
      </c>
      <c r="J41" s="45"/>
      <c r="K41" s="45">
        <f t="shared" si="4"/>
        <v>0</v>
      </c>
      <c r="L41" s="51" t="s">
        <v>333</v>
      </c>
      <c r="M41" s="144"/>
      <c r="N41" s="51" t="s">
        <v>333</v>
      </c>
      <c r="O41" s="144"/>
      <c r="P41" s="103"/>
      <c r="Q41" s="56" t="str">
        <f>IF(ISBLANK(CONTROLE!$B$3),"","CMMZ_P"&amp;CONTROLE!$B$3&amp;"_0"&amp;A41)</f>
        <v>CMMZ_P18_039</v>
      </c>
      <c r="R41" s="56" t="str">
        <f>IF(ISBLANK(CONTROLE!$B$3),"","P"&amp;CONTROLE!$B$3&amp;"_0"&amp;A41)</f>
        <v>P18_039</v>
      </c>
      <c r="S41" s="56" t="str">
        <f>"CMMZ_P"&amp;CONTROLE!$B$3&amp;"_"&amp;TEXT(A42,"00")&amp;"_"&amp;TEXT(B41,"ddMMMyy")</f>
        <v>CMMZ_P18_40_30Dec99</v>
      </c>
      <c r="T41" s="71" t="str">
        <f t="array" ref="T41">IFERROR(VLOOKUP(M41,{Indices_iTru!B:C;Indices_NEBNext!C:D;Indices_QIAseq!B:C},1,FALSE),"")</f>
        <v/>
      </c>
      <c r="U41" s="71" t="str">
        <f t="array" ref="U41">IFERROR(VLOOKUP(M41,{Indices_iTru!B:C;Indices_NEBNext!C:D;Indices_QIAseq!B:C},2,FALSE),"")</f>
        <v/>
      </c>
      <c r="V41" s="71" t="str">
        <f t="array" ref="V41">IFERROR(VLOOKUP(O41,{Indices_iTru!B:C;Indices_NEBNext!E:F;Indices_QIAseq!D:E},1,FALSE),"")</f>
        <v/>
      </c>
      <c r="W41" s="71" t="str">
        <f t="array" ref="W41">IFERROR(VLOOKUP(O41,{Indices_iTru!B:C;Indices_NEBNext!E:F;Indices_QIAseq!D:E},2,FALSE),"")</f>
        <v/>
      </c>
      <c r="X41" s="56" t="str">
        <f t="shared" si="5"/>
        <v>__+_R1.fastq.gz</v>
      </c>
      <c r="Y41" s="56" t="str">
        <f t="shared" si="6"/>
        <v>__+_R2.fastq.gz</v>
      </c>
    </row>
    <row r="42" ht="15.75" customHeight="1">
      <c r="A42" s="36">
        <v>40.0</v>
      </c>
      <c r="B42" s="97"/>
      <c r="C42" s="39"/>
      <c r="D42" s="43"/>
      <c r="E42" s="43"/>
      <c r="F42" s="43"/>
      <c r="G42" s="45">
        <f t="shared" si="1"/>
        <v>0</v>
      </c>
      <c r="H42" s="45">
        <f t="shared" si="2"/>
        <v>100</v>
      </c>
      <c r="I42" s="45">
        <f t="shared" si="3"/>
        <v>0</v>
      </c>
      <c r="J42" s="45"/>
      <c r="K42" s="45">
        <f t="shared" si="4"/>
        <v>0</v>
      </c>
      <c r="L42" s="51" t="s">
        <v>335</v>
      </c>
      <c r="M42" s="144"/>
      <c r="N42" s="51" t="s">
        <v>335</v>
      </c>
      <c r="O42" s="144"/>
      <c r="P42" s="103"/>
      <c r="Q42" s="56" t="str">
        <f>IF(ISBLANK(CONTROLE!$B$3),"","CMMZ_P"&amp;CONTROLE!$B$3&amp;"_0"&amp;A42)</f>
        <v>CMMZ_P18_040</v>
      </c>
      <c r="R42" s="56" t="str">
        <f>IF(ISBLANK(CONTROLE!$B$3),"","P"&amp;CONTROLE!$B$3&amp;"_0"&amp;A42)</f>
        <v>P18_040</v>
      </c>
      <c r="S42" s="56" t="str">
        <f>"CMMZ_P"&amp;CONTROLE!$B$3&amp;"_"&amp;TEXT(A43,"00")&amp;"_"&amp;TEXT(B42,"ddMMMyy")</f>
        <v>CMMZ_P18_41_30Dec99</v>
      </c>
      <c r="T42" s="71" t="str">
        <f t="array" ref="T42">IFERROR(VLOOKUP(M42,{Indices_iTru!B:C;Indices_NEBNext!C:D;Indices_QIAseq!B:C},1,FALSE),"")</f>
        <v/>
      </c>
      <c r="U42" s="71" t="str">
        <f t="array" ref="U42">IFERROR(VLOOKUP(M42,{Indices_iTru!B:C;Indices_NEBNext!C:D;Indices_QIAseq!B:C},2,FALSE),"")</f>
        <v/>
      </c>
      <c r="V42" s="71" t="str">
        <f t="array" ref="V42">IFERROR(VLOOKUP(O42,{Indices_iTru!B:C;Indices_NEBNext!E:F;Indices_QIAseq!D:E},1,FALSE),"")</f>
        <v/>
      </c>
      <c r="W42" s="71" t="str">
        <f t="array" ref="W42">IFERROR(VLOOKUP(O42,{Indices_iTru!B:C;Indices_NEBNext!E:F;Indices_QIAseq!D:E},2,FALSE),"")</f>
        <v/>
      </c>
      <c r="X42" s="56" t="str">
        <f t="shared" si="5"/>
        <v>__+_R1.fastq.gz</v>
      </c>
      <c r="Y42" s="56" t="str">
        <f t="shared" si="6"/>
        <v>__+_R2.fastq.gz</v>
      </c>
    </row>
    <row r="43" ht="15.75" customHeight="1">
      <c r="A43" s="36">
        <v>41.0</v>
      </c>
      <c r="B43" s="97"/>
      <c r="C43" s="39"/>
      <c r="D43" s="43"/>
      <c r="E43" s="43"/>
      <c r="F43" s="43"/>
      <c r="G43" s="45">
        <f t="shared" si="1"/>
        <v>0</v>
      </c>
      <c r="H43" s="45">
        <f t="shared" si="2"/>
        <v>100</v>
      </c>
      <c r="I43" s="45">
        <f t="shared" si="3"/>
        <v>0</v>
      </c>
      <c r="J43" s="45"/>
      <c r="K43" s="45">
        <f t="shared" si="4"/>
        <v>0</v>
      </c>
      <c r="L43" s="51" t="s">
        <v>336</v>
      </c>
      <c r="M43" s="144"/>
      <c r="N43" s="51" t="s">
        <v>336</v>
      </c>
      <c r="O43" s="144"/>
      <c r="P43" s="223"/>
      <c r="Q43" s="56" t="str">
        <f>IF(ISBLANK(CONTROLE!$B$3),"","CMMZ_P"&amp;CONTROLE!$B$3&amp;"_0"&amp;A43)</f>
        <v>CMMZ_P18_041</v>
      </c>
      <c r="R43" s="56" t="str">
        <f>IF(ISBLANK(CONTROLE!$B$3),"","P"&amp;CONTROLE!$B$3&amp;"_0"&amp;A43)</f>
        <v>P18_041</v>
      </c>
      <c r="S43" s="56" t="str">
        <f>"CMMZ_P"&amp;CONTROLE!$B$3&amp;"_"&amp;TEXT(A44,"00")&amp;"_"&amp;TEXT(B43,"ddMMMyy")</f>
        <v>CMMZ_P18_42_30Dec99</v>
      </c>
      <c r="T43" s="71" t="str">
        <f t="array" ref="T43">IFERROR(VLOOKUP(M43,{Indices_iTru!B:C;Indices_NEBNext!C:D;Indices_QIAseq!B:C},1,FALSE),"")</f>
        <v/>
      </c>
      <c r="U43" s="71" t="str">
        <f t="array" ref="U43">IFERROR(VLOOKUP(M43,{Indices_iTru!B:C;Indices_NEBNext!C:D;Indices_QIAseq!B:C},2,FALSE),"")</f>
        <v/>
      </c>
      <c r="V43" s="71" t="str">
        <f t="array" ref="V43">IFERROR(VLOOKUP(O43,{Indices_iTru!B:C;Indices_NEBNext!E:F;Indices_QIAseq!D:E},1,FALSE),"")</f>
        <v/>
      </c>
      <c r="W43" s="71" t="str">
        <f t="array" ref="W43">IFERROR(VLOOKUP(O43,{Indices_iTru!B:C;Indices_NEBNext!E:F;Indices_QIAseq!D:E},2,FALSE),"")</f>
        <v/>
      </c>
      <c r="X43" s="56" t="str">
        <f t="shared" si="5"/>
        <v>__+_R1.fastq.gz</v>
      </c>
      <c r="Y43" s="56" t="str">
        <f t="shared" si="6"/>
        <v>__+_R2.fastq.gz</v>
      </c>
    </row>
    <row r="44" ht="15.75" customHeight="1">
      <c r="A44" s="36">
        <v>42.0</v>
      </c>
      <c r="B44" s="97"/>
      <c r="C44" s="39"/>
      <c r="D44" s="43"/>
      <c r="E44" s="43"/>
      <c r="F44" s="43"/>
      <c r="G44" s="45">
        <f t="shared" si="1"/>
        <v>0</v>
      </c>
      <c r="H44" s="45">
        <f t="shared" si="2"/>
        <v>100</v>
      </c>
      <c r="I44" s="45">
        <f t="shared" si="3"/>
        <v>0</v>
      </c>
      <c r="J44" s="45"/>
      <c r="K44" s="45">
        <f t="shared" si="4"/>
        <v>0</v>
      </c>
      <c r="L44" s="51" t="s">
        <v>338</v>
      </c>
      <c r="M44" s="144"/>
      <c r="N44" s="51" t="s">
        <v>338</v>
      </c>
      <c r="O44" s="144"/>
      <c r="P44" s="223"/>
      <c r="Q44" s="56" t="str">
        <f>IF(ISBLANK(CONTROLE!$B$3),"","CMMZ_P"&amp;CONTROLE!$B$3&amp;"_0"&amp;A44)</f>
        <v>CMMZ_P18_042</v>
      </c>
      <c r="R44" s="56" t="str">
        <f>IF(ISBLANK(CONTROLE!$B$3),"","P"&amp;CONTROLE!$B$3&amp;"_0"&amp;A44)</f>
        <v>P18_042</v>
      </c>
      <c r="S44" s="56" t="str">
        <f>"CMMZ_P"&amp;CONTROLE!$B$3&amp;"_"&amp;TEXT(A45,"00")&amp;"_"&amp;TEXT(B44,"ddMMMyy")</f>
        <v>CMMZ_P18_43_30Dec99</v>
      </c>
      <c r="T44" s="71" t="str">
        <f t="array" ref="T44">IFERROR(VLOOKUP(M44,{Indices_iTru!B:C;Indices_NEBNext!C:D;Indices_QIAseq!B:C},1,FALSE),"")</f>
        <v/>
      </c>
      <c r="U44" s="71" t="str">
        <f t="array" ref="U44">IFERROR(VLOOKUP(M44,{Indices_iTru!B:C;Indices_NEBNext!C:D;Indices_QIAseq!B:C},2,FALSE),"")</f>
        <v/>
      </c>
      <c r="V44" s="71" t="str">
        <f t="array" ref="V44">IFERROR(VLOOKUP(O44,{Indices_iTru!B:C;Indices_NEBNext!E:F;Indices_QIAseq!D:E},1,FALSE),"")</f>
        <v/>
      </c>
      <c r="W44" s="71" t="str">
        <f t="array" ref="W44">IFERROR(VLOOKUP(O44,{Indices_iTru!B:C;Indices_NEBNext!E:F;Indices_QIAseq!D:E},2,FALSE),"")</f>
        <v/>
      </c>
      <c r="X44" s="56" t="str">
        <f t="shared" si="5"/>
        <v>__+_R1.fastq.gz</v>
      </c>
      <c r="Y44" s="56" t="str">
        <f t="shared" si="6"/>
        <v>__+_R2.fastq.gz</v>
      </c>
    </row>
    <row r="45" ht="15.75" customHeight="1">
      <c r="A45" s="36">
        <v>43.0</v>
      </c>
      <c r="B45" s="97"/>
      <c r="C45" s="39"/>
      <c r="D45" s="43"/>
      <c r="E45" s="43"/>
      <c r="F45" s="43"/>
      <c r="G45" s="45">
        <f t="shared" si="1"/>
        <v>0</v>
      </c>
      <c r="H45" s="45">
        <f t="shared" si="2"/>
        <v>100</v>
      </c>
      <c r="I45" s="45">
        <f t="shared" si="3"/>
        <v>0</v>
      </c>
      <c r="J45" s="45"/>
      <c r="K45" s="45">
        <f t="shared" si="4"/>
        <v>0</v>
      </c>
      <c r="L45" s="51" t="s">
        <v>339</v>
      </c>
      <c r="M45" s="144"/>
      <c r="N45" s="51" t="s">
        <v>339</v>
      </c>
      <c r="O45" s="144"/>
      <c r="P45" s="223"/>
      <c r="Q45" s="56" t="str">
        <f>IF(ISBLANK(CONTROLE!$B$3),"","CMMZ_P"&amp;CONTROLE!$B$3&amp;"_0"&amp;A45)</f>
        <v>CMMZ_P18_043</v>
      </c>
      <c r="R45" s="56" t="str">
        <f>IF(ISBLANK(CONTROLE!$B$3),"","P"&amp;CONTROLE!$B$3&amp;"_0"&amp;A45)</f>
        <v>P18_043</v>
      </c>
      <c r="S45" s="56" t="str">
        <f>"CMMZ_P"&amp;CONTROLE!$B$3&amp;"_"&amp;TEXT(A46,"00")&amp;"_"&amp;TEXT(B45,"ddMMMyy")</f>
        <v>CMMZ_P18_44_30Dec99</v>
      </c>
      <c r="T45" s="71" t="str">
        <f t="array" ref="T45">IFERROR(VLOOKUP(M45,{Indices_iTru!B:C;Indices_NEBNext!C:D;Indices_QIAseq!B:C},1,FALSE),"")</f>
        <v/>
      </c>
      <c r="U45" s="71" t="str">
        <f t="array" ref="U45">IFERROR(VLOOKUP(M45,{Indices_iTru!B:C;Indices_NEBNext!C:D;Indices_QIAseq!B:C},2,FALSE),"")</f>
        <v/>
      </c>
      <c r="V45" s="71" t="str">
        <f t="array" ref="V45">IFERROR(VLOOKUP(O45,{Indices_iTru!B:C;Indices_NEBNext!E:F;Indices_QIAseq!D:E},1,FALSE),"")</f>
        <v/>
      </c>
      <c r="W45" s="71" t="str">
        <f t="array" ref="W45">IFERROR(VLOOKUP(O45,{Indices_iTru!B:C;Indices_NEBNext!E:F;Indices_QIAseq!D:E},2,FALSE),"")</f>
        <v/>
      </c>
      <c r="X45" s="56" t="str">
        <f t="shared" si="5"/>
        <v>__+_R1.fastq.gz</v>
      </c>
      <c r="Y45" s="56" t="str">
        <f t="shared" si="6"/>
        <v>__+_R2.fastq.gz</v>
      </c>
    </row>
    <row r="46" ht="15.75" customHeight="1">
      <c r="A46" s="36">
        <v>44.0</v>
      </c>
      <c r="B46" s="97"/>
      <c r="C46" s="39"/>
      <c r="D46" s="43"/>
      <c r="E46" s="43"/>
      <c r="F46" s="43"/>
      <c r="G46" s="45">
        <f t="shared" si="1"/>
        <v>0</v>
      </c>
      <c r="H46" s="45">
        <f t="shared" si="2"/>
        <v>100</v>
      </c>
      <c r="I46" s="45">
        <f t="shared" si="3"/>
        <v>0</v>
      </c>
      <c r="J46" s="45"/>
      <c r="K46" s="45">
        <f t="shared" si="4"/>
        <v>0</v>
      </c>
      <c r="L46" s="51" t="s">
        <v>340</v>
      </c>
      <c r="M46" s="144"/>
      <c r="N46" s="51" t="s">
        <v>340</v>
      </c>
      <c r="O46" s="144"/>
      <c r="P46" s="223"/>
      <c r="Q46" s="56" t="str">
        <f>IF(ISBLANK(CONTROLE!$B$3),"","CMMZ_P"&amp;CONTROLE!$B$3&amp;"_0"&amp;A46)</f>
        <v>CMMZ_P18_044</v>
      </c>
      <c r="R46" s="56" t="str">
        <f>IF(ISBLANK(CONTROLE!$B$3),"","P"&amp;CONTROLE!$B$3&amp;"_0"&amp;A46)</f>
        <v>P18_044</v>
      </c>
      <c r="S46" s="56" t="str">
        <f>"CMMZ_P"&amp;CONTROLE!$B$3&amp;"_"&amp;TEXT(A47,"00")&amp;"_"&amp;TEXT(B46,"ddMMMyy")</f>
        <v>CMMZ_P18_45_30Dec99</v>
      </c>
      <c r="T46" s="71" t="str">
        <f t="array" ref="T46">IFERROR(VLOOKUP(M46,{Indices_iTru!B:C;Indices_NEBNext!C:D;Indices_QIAseq!B:C},1,FALSE),"")</f>
        <v/>
      </c>
      <c r="U46" s="71" t="str">
        <f t="array" ref="U46">IFERROR(VLOOKUP(M46,{Indices_iTru!B:C;Indices_NEBNext!C:D;Indices_QIAseq!B:C},2,FALSE),"")</f>
        <v/>
      </c>
      <c r="V46" s="71" t="str">
        <f t="array" ref="V46">IFERROR(VLOOKUP(O46,{Indices_iTru!B:C;Indices_NEBNext!E:F;Indices_QIAseq!D:E},1,FALSE),"")</f>
        <v/>
      </c>
      <c r="W46" s="71" t="str">
        <f t="array" ref="W46">IFERROR(VLOOKUP(O46,{Indices_iTru!B:C;Indices_NEBNext!E:F;Indices_QIAseq!D:E},2,FALSE),"")</f>
        <v/>
      </c>
      <c r="X46" s="56" t="str">
        <f t="shared" si="5"/>
        <v>__+_R1.fastq.gz</v>
      </c>
      <c r="Y46" s="56" t="str">
        <f t="shared" si="6"/>
        <v>__+_R2.fastq.gz</v>
      </c>
    </row>
    <row r="47" ht="15.75" customHeight="1">
      <c r="A47" s="36">
        <v>45.0</v>
      </c>
      <c r="B47" s="97"/>
      <c r="C47" s="39"/>
      <c r="D47" s="43"/>
      <c r="E47" s="43"/>
      <c r="F47" s="43"/>
      <c r="G47" s="45">
        <f t="shared" si="1"/>
        <v>0</v>
      </c>
      <c r="H47" s="45">
        <f t="shared" si="2"/>
        <v>100</v>
      </c>
      <c r="I47" s="45">
        <f t="shared" si="3"/>
        <v>0</v>
      </c>
      <c r="J47" s="45"/>
      <c r="K47" s="45">
        <f t="shared" si="4"/>
        <v>0</v>
      </c>
      <c r="L47" s="51" t="s">
        <v>341</v>
      </c>
      <c r="M47" s="144"/>
      <c r="N47" s="51" t="s">
        <v>341</v>
      </c>
      <c r="O47" s="144"/>
      <c r="P47" s="184"/>
      <c r="Q47" s="56" t="str">
        <f>IF(ISBLANK(CONTROLE!$B$3),"","CMMZ_P"&amp;CONTROLE!$B$3&amp;"_0"&amp;A47)</f>
        <v>CMMZ_P18_045</v>
      </c>
      <c r="R47" s="56" t="str">
        <f>IF(ISBLANK(CONTROLE!$B$3),"","P"&amp;CONTROLE!$B$3&amp;"_0"&amp;A47)</f>
        <v>P18_045</v>
      </c>
      <c r="S47" s="56" t="str">
        <f>"CMMZ_P"&amp;CONTROLE!$B$3&amp;"_"&amp;TEXT(A48,"00")&amp;"_"&amp;TEXT(B47,"ddMMMyy")</f>
        <v>CMMZ_P18_46_30Dec99</v>
      </c>
      <c r="T47" s="71" t="str">
        <f t="array" ref="T47">IFERROR(VLOOKUP(M47,{Indices_iTru!B:C;Indices_NEBNext!C:D;Indices_QIAseq!B:C},1,FALSE),"")</f>
        <v/>
      </c>
      <c r="U47" s="71" t="str">
        <f t="array" ref="U47">IFERROR(VLOOKUP(M47,{Indices_iTru!B:C;Indices_NEBNext!C:D;Indices_QIAseq!B:C},2,FALSE),"")</f>
        <v/>
      </c>
      <c r="V47" s="71" t="str">
        <f t="array" ref="V47">IFERROR(VLOOKUP(O47,{Indices_iTru!B:C;Indices_NEBNext!E:F;Indices_QIAseq!D:E},1,FALSE),"")</f>
        <v/>
      </c>
      <c r="W47" s="71" t="str">
        <f t="array" ref="W47">IFERROR(VLOOKUP(O47,{Indices_iTru!B:C;Indices_NEBNext!E:F;Indices_QIAseq!D:E},2,FALSE),"")</f>
        <v/>
      </c>
      <c r="X47" s="56" t="str">
        <f t="shared" si="5"/>
        <v>__+_R1.fastq.gz</v>
      </c>
      <c r="Y47" s="56" t="str">
        <f t="shared" si="6"/>
        <v>__+_R2.fastq.gz</v>
      </c>
    </row>
    <row r="48" ht="15.75" customHeight="1">
      <c r="A48" s="36">
        <v>46.0</v>
      </c>
      <c r="B48" s="97"/>
      <c r="C48" s="39"/>
      <c r="D48" s="43"/>
      <c r="E48" s="43"/>
      <c r="F48" s="43"/>
      <c r="G48" s="45">
        <f t="shared" si="1"/>
        <v>0</v>
      </c>
      <c r="H48" s="45">
        <f t="shared" si="2"/>
        <v>100</v>
      </c>
      <c r="I48" s="45">
        <f t="shared" si="3"/>
        <v>0</v>
      </c>
      <c r="J48" s="45"/>
      <c r="K48" s="45">
        <f t="shared" si="4"/>
        <v>0</v>
      </c>
      <c r="L48" s="51" t="s">
        <v>342</v>
      </c>
      <c r="M48" s="144"/>
      <c r="N48" s="51" t="s">
        <v>342</v>
      </c>
      <c r="O48" s="144"/>
      <c r="P48" s="184"/>
      <c r="Q48" s="56" t="str">
        <f>IF(ISBLANK(CONTROLE!$B$3),"","CMMZ_P"&amp;CONTROLE!$B$3&amp;"_0"&amp;A48)</f>
        <v>CMMZ_P18_046</v>
      </c>
      <c r="R48" s="56" t="str">
        <f>IF(ISBLANK(CONTROLE!$B$3),"","P"&amp;CONTROLE!$B$3&amp;"_0"&amp;A48)</f>
        <v>P18_046</v>
      </c>
      <c r="S48" s="56" t="str">
        <f>"CMMZ_P"&amp;CONTROLE!$B$3&amp;"_"&amp;TEXT(A49,"00")&amp;"_"&amp;TEXT(B48,"ddMMMyy")</f>
        <v>CMMZ_P18_47_30Dec99</v>
      </c>
      <c r="T48" s="71" t="str">
        <f t="array" ref="T48">IFERROR(VLOOKUP(M48,{Indices_iTru!B:C;Indices_NEBNext!C:D;Indices_QIAseq!B:C},1,FALSE),"")</f>
        <v/>
      </c>
      <c r="U48" s="71" t="str">
        <f t="array" ref="U48">IFERROR(VLOOKUP(M48,{Indices_iTru!B:C;Indices_NEBNext!C:D;Indices_QIAseq!B:C},2,FALSE),"")</f>
        <v/>
      </c>
      <c r="V48" s="71" t="str">
        <f t="array" ref="V48">IFERROR(VLOOKUP(O48,{Indices_iTru!B:C;Indices_NEBNext!E:F;Indices_QIAseq!D:E},1,FALSE),"")</f>
        <v/>
      </c>
      <c r="W48" s="71" t="str">
        <f t="array" ref="W48">IFERROR(VLOOKUP(O48,{Indices_iTru!B:C;Indices_NEBNext!E:F;Indices_QIAseq!D:E},2,FALSE),"")</f>
        <v/>
      </c>
      <c r="X48" s="56" t="str">
        <f t="shared" si="5"/>
        <v>__+_R1.fastq.gz</v>
      </c>
      <c r="Y48" s="56" t="str">
        <f t="shared" si="6"/>
        <v>__+_R2.fastq.gz</v>
      </c>
    </row>
    <row r="49" ht="15.75" customHeight="1">
      <c r="A49" s="36">
        <v>47.0</v>
      </c>
      <c r="B49" s="97"/>
      <c r="C49" s="39"/>
      <c r="D49" s="43"/>
      <c r="E49" s="43"/>
      <c r="F49" s="43"/>
      <c r="G49" s="45">
        <f t="shared" si="1"/>
        <v>0</v>
      </c>
      <c r="H49" s="45">
        <f t="shared" si="2"/>
        <v>100</v>
      </c>
      <c r="I49" s="45">
        <f t="shared" si="3"/>
        <v>0</v>
      </c>
      <c r="J49" s="45"/>
      <c r="K49" s="45">
        <f t="shared" si="4"/>
        <v>0</v>
      </c>
      <c r="L49" s="51" t="s">
        <v>343</v>
      </c>
      <c r="M49" s="144"/>
      <c r="N49" s="51" t="s">
        <v>343</v>
      </c>
      <c r="O49" s="144"/>
      <c r="P49" s="103"/>
      <c r="Q49" s="56" t="str">
        <f>IF(ISBLANK(CONTROLE!$B$3),"","CMMZ_P"&amp;CONTROLE!$B$3&amp;"_0"&amp;A49)</f>
        <v>CMMZ_P18_047</v>
      </c>
      <c r="R49" s="56" t="str">
        <f>IF(ISBLANK(CONTROLE!$B$3),"","P"&amp;CONTROLE!$B$3&amp;"_0"&amp;A49)</f>
        <v>P18_047</v>
      </c>
      <c r="S49" s="56" t="str">
        <f>"CMMZ_P"&amp;CONTROLE!$B$3&amp;"_"&amp;TEXT(A50,"00")&amp;"_"&amp;TEXT(B49,"ddMMMyy")</f>
        <v>CMMZ_P18_48_30Dec99</v>
      </c>
      <c r="T49" s="71" t="str">
        <f t="array" ref="T49">IFERROR(VLOOKUP(M49,{Indices_iTru!B:C;Indices_NEBNext!C:D;Indices_QIAseq!B:C},1,FALSE),"")</f>
        <v/>
      </c>
      <c r="U49" s="71" t="str">
        <f t="array" ref="U49">IFERROR(VLOOKUP(M49,{Indices_iTru!B:C;Indices_NEBNext!C:D;Indices_QIAseq!B:C},2,FALSE),"")</f>
        <v/>
      </c>
      <c r="V49" s="71" t="str">
        <f t="array" ref="V49">IFERROR(VLOOKUP(O49,{Indices_iTru!B:C;Indices_NEBNext!E:F;Indices_QIAseq!D:E},1,FALSE),"")</f>
        <v/>
      </c>
      <c r="W49" s="71" t="str">
        <f t="array" ref="W49">IFERROR(VLOOKUP(O49,{Indices_iTru!B:C;Indices_NEBNext!E:F;Indices_QIAseq!D:E},2,FALSE),"")</f>
        <v/>
      </c>
      <c r="X49" s="56" t="str">
        <f t="shared" si="5"/>
        <v>__+_R1.fastq.gz</v>
      </c>
      <c r="Y49" s="56" t="str">
        <f t="shared" si="6"/>
        <v>__+_R2.fastq.gz</v>
      </c>
    </row>
    <row r="50" ht="15.75" customHeight="1">
      <c r="A50" s="36">
        <v>48.0</v>
      </c>
      <c r="B50" s="97"/>
      <c r="C50" s="39"/>
      <c r="D50" s="43"/>
      <c r="E50" s="43"/>
      <c r="F50" s="43"/>
      <c r="G50" s="45">
        <f t="shared" si="1"/>
        <v>0</v>
      </c>
      <c r="H50" s="45">
        <f t="shared" si="2"/>
        <v>100</v>
      </c>
      <c r="I50" s="45">
        <f t="shared" si="3"/>
        <v>0</v>
      </c>
      <c r="J50" s="45"/>
      <c r="K50" s="45">
        <f t="shared" si="4"/>
        <v>0</v>
      </c>
      <c r="L50" s="51" t="s">
        <v>344</v>
      </c>
      <c r="M50" s="144"/>
      <c r="N50" s="51" t="s">
        <v>344</v>
      </c>
      <c r="O50" s="144"/>
      <c r="P50" s="184"/>
      <c r="Q50" s="56" t="str">
        <f>IF(ISBLANK(CONTROLE!$B$3),"","CMMZ_P"&amp;CONTROLE!$B$3&amp;"_0"&amp;A50)</f>
        <v>CMMZ_P18_048</v>
      </c>
      <c r="R50" s="56" t="str">
        <f>IF(ISBLANK(CONTROLE!$B$3),"","P"&amp;CONTROLE!$B$3&amp;"_0"&amp;A50)</f>
        <v>P18_048</v>
      </c>
      <c r="S50" s="56" t="str">
        <f>"CMMZ_P"&amp;CONTROLE!$B$3&amp;"_"&amp;TEXT(A51,"00")&amp;"_"&amp;TEXT(B50,"ddMMMyy")</f>
        <v>CMMZ_P18_49_30Dec99</v>
      </c>
      <c r="T50" s="71" t="str">
        <f t="array" ref="T50">IFERROR(VLOOKUP(M50,{Indices_iTru!B:C;Indices_NEBNext!C:D;Indices_QIAseq!B:C},1,FALSE),"")</f>
        <v/>
      </c>
      <c r="U50" s="71" t="str">
        <f t="array" ref="U50">IFERROR(VLOOKUP(M50,{Indices_iTru!B:C;Indices_NEBNext!C:D;Indices_QIAseq!B:C},2,FALSE),"")</f>
        <v/>
      </c>
      <c r="V50" s="71" t="str">
        <f t="array" ref="V50">IFERROR(VLOOKUP(O50,{Indices_iTru!B:C;Indices_NEBNext!E:F;Indices_QIAseq!D:E},1,FALSE),"")</f>
        <v/>
      </c>
      <c r="W50" s="71" t="str">
        <f t="array" ref="W50">IFERROR(VLOOKUP(O50,{Indices_iTru!B:C;Indices_NEBNext!E:F;Indices_QIAseq!D:E},2,FALSE),"")</f>
        <v/>
      </c>
      <c r="X50" s="56" t="str">
        <f t="shared" si="5"/>
        <v>__+_R1.fastq.gz</v>
      </c>
      <c r="Y50" s="56" t="str">
        <f t="shared" si="6"/>
        <v>__+_R2.fastq.gz</v>
      </c>
    </row>
    <row r="51" ht="15.75" customHeight="1">
      <c r="A51" s="36">
        <v>49.0</v>
      </c>
      <c r="B51" s="97"/>
      <c r="C51" s="39"/>
      <c r="D51" s="43"/>
      <c r="E51" s="43"/>
      <c r="F51" s="43"/>
      <c r="G51" s="45">
        <f t="shared" si="1"/>
        <v>0</v>
      </c>
      <c r="H51" s="45">
        <f t="shared" si="2"/>
        <v>100</v>
      </c>
      <c r="I51" s="45">
        <f t="shared" si="3"/>
        <v>0</v>
      </c>
      <c r="J51" s="45"/>
      <c r="K51" s="45">
        <f t="shared" si="4"/>
        <v>0</v>
      </c>
      <c r="L51" s="51" t="s">
        <v>345</v>
      </c>
      <c r="M51" s="144"/>
      <c r="N51" s="51" t="s">
        <v>345</v>
      </c>
      <c r="O51" s="144"/>
      <c r="P51" s="103"/>
      <c r="Q51" s="56" t="str">
        <f>IF(ISBLANK(CONTROLE!$B$3),"","CMMZ_P"&amp;CONTROLE!$B$3&amp;"_0"&amp;A51)</f>
        <v>CMMZ_P18_049</v>
      </c>
      <c r="R51" s="56" t="str">
        <f>IF(ISBLANK(CONTROLE!$B$3),"","P"&amp;CONTROLE!$B$3&amp;"_0"&amp;A51)</f>
        <v>P18_049</v>
      </c>
      <c r="S51" s="56" t="str">
        <f>"CMMZ_P"&amp;CONTROLE!$B$3&amp;"_"&amp;TEXT(A52,"00")&amp;"_"&amp;TEXT(B51,"ddMMMyy")</f>
        <v>CMMZ_P18_50_30Dec99</v>
      </c>
      <c r="T51" s="71" t="str">
        <f t="array" ref="T51">IFERROR(VLOOKUP(M51,{Indices_iTru!B:C;Indices_NEBNext!C:D;Indices_QIAseq!B:C},1,FALSE),"")</f>
        <v/>
      </c>
      <c r="U51" s="71" t="str">
        <f t="array" ref="U51">IFERROR(VLOOKUP(M51,{Indices_iTru!B:C;Indices_NEBNext!C:D;Indices_QIAseq!B:C},2,FALSE),"")</f>
        <v/>
      </c>
      <c r="V51" s="71" t="str">
        <f t="array" ref="V51">IFERROR(VLOOKUP(O51,{Indices_iTru!B:C;Indices_NEBNext!E:F;Indices_QIAseq!D:E},1,FALSE),"")</f>
        <v/>
      </c>
      <c r="W51" s="71" t="str">
        <f t="array" ref="W51">IFERROR(VLOOKUP(O51,{Indices_iTru!B:C;Indices_NEBNext!E:F;Indices_QIAseq!D:E},2,FALSE),"")</f>
        <v/>
      </c>
      <c r="X51" s="56" t="str">
        <f t="shared" si="5"/>
        <v>__+_R1.fastq.gz</v>
      </c>
      <c r="Y51" s="56" t="str">
        <f t="shared" si="6"/>
        <v>__+_R2.fastq.gz</v>
      </c>
    </row>
    <row r="52" ht="15.75" customHeight="1">
      <c r="A52" s="36">
        <v>50.0</v>
      </c>
      <c r="B52" s="97"/>
      <c r="C52" s="39"/>
      <c r="D52" s="43"/>
      <c r="E52" s="43"/>
      <c r="F52" s="43"/>
      <c r="G52" s="45">
        <f t="shared" si="1"/>
        <v>0</v>
      </c>
      <c r="H52" s="45">
        <f t="shared" si="2"/>
        <v>100</v>
      </c>
      <c r="I52" s="45">
        <f t="shared" si="3"/>
        <v>0</v>
      </c>
      <c r="J52" s="45"/>
      <c r="K52" s="45">
        <f t="shared" si="4"/>
        <v>0</v>
      </c>
      <c r="L52" s="51" t="s">
        <v>346</v>
      </c>
      <c r="M52" s="144"/>
      <c r="N52" s="51" t="s">
        <v>346</v>
      </c>
      <c r="O52" s="144"/>
      <c r="P52" s="103"/>
      <c r="Q52" s="56" t="str">
        <f>IF(ISBLANK(CONTROLE!$B$3),"","CMMZ_P"&amp;CONTROLE!$B$3&amp;"_0"&amp;A52)</f>
        <v>CMMZ_P18_050</v>
      </c>
      <c r="R52" s="56" t="str">
        <f>IF(ISBLANK(CONTROLE!$B$3),"","P"&amp;CONTROLE!$B$3&amp;"_0"&amp;A52)</f>
        <v>P18_050</v>
      </c>
      <c r="S52" s="56" t="str">
        <f>"CMMZ_P"&amp;CONTROLE!$B$3&amp;"_"&amp;TEXT(A53,"00")&amp;"_"&amp;TEXT(B52,"ddMMMyy")</f>
        <v>CMMZ_P18_51_30Dec99</v>
      </c>
      <c r="T52" s="71" t="str">
        <f t="array" ref="T52">IFERROR(VLOOKUP(M52,{Indices_iTru!B:C;Indices_NEBNext!C:D;Indices_QIAseq!B:C},1,FALSE),"")</f>
        <v/>
      </c>
      <c r="U52" s="71" t="str">
        <f t="array" ref="U52">IFERROR(VLOOKUP(M52,{Indices_iTru!B:C;Indices_NEBNext!C:D;Indices_QIAseq!B:C},2,FALSE),"")</f>
        <v/>
      </c>
      <c r="V52" s="71" t="str">
        <f t="array" ref="V52">IFERROR(VLOOKUP(O52,{Indices_iTru!B:C;Indices_NEBNext!E:F;Indices_QIAseq!D:E},1,FALSE),"")</f>
        <v/>
      </c>
      <c r="W52" s="71" t="str">
        <f t="array" ref="W52">IFERROR(VLOOKUP(O52,{Indices_iTru!B:C;Indices_NEBNext!E:F;Indices_QIAseq!D:E},2,FALSE),"")</f>
        <v/>
      </c>
      <c r="X52" s="56" t="str">
        <f t="shared" si="5"/>
        <v>__+_R1.fastq.gz</v>
      </c>
      <c r="Y52" s="56" t="str">
        <f t="shared" si="6"/>
        <v>__+_R2.fastq.gz</v>
      </c>
    </row>
    <row r="53" ht="15.75" customHeight="1">
      <c r="A53" s="36">
        <v>51.0</v>
      </c>
      <c r="B53" s="97"/>
      <c r="C53" s="39"/>
      <c r="D53" s="43"/>
      <c r="E53" s="43"/>
      <c r="F53" s="43"/>
      <c r="G53" s="45">
        <f t="shared" si="1"/>
        <v>0</v>
      </c>
      <c r="H53" s="45">
        <f t="shared" si="2"/>
        <v>100</v>
      </c>
      <c r="I53" s="45">
        <f t="shared" si="3"/>
        <v>0</v>
      </c>
      <c r="J53" s="45"/>
      <c r="K53" s="45">
        <f t="shared" si="4"/>
        <v>0</v>
      </c>
      <c r="L53" s="51" t="s">
        <v>347</v>
      </c>
      <c r="M53" s="144"/>
      <c r="N53" s="51" t="s">
        <v>347</v>
      </c>
      <c r="O53" s="144"/>
      <c r="P53" s="103"/>
      <c r="Q53" s="56" t="str">
        <f>IF(ISBLANK(CONTROLE!$B$3),"","CMMZ_P"&amp;CONTROLE!$B$3&amp;"_0"&amp;A53)</f>
        <v>CMMZ_P18_051</v>
      </c>
      <c r="R53" s="56" t="str">
        <f>IF(ISBLANK(CONTROLE!$B$3),"","P"&amp;CONTROLE!$B$3&amp;"_0"&amp;A53)</f>
        <v>P18_051</v>
      </c>
      <c r="S53" s="56" t="str">
        <f>"CMMZ_P"&amp;CONTROLE!$B$3&amp;"_"&amp;TEXT(A54,"00")&amp;"_"&amp;TEXT(B53,"ddMMMyy")</f>
        <v>CMMZ_P18_52_30Dec99</v>
      </c>
      <c r="T53" s="71" t="str">
        <f t="array" ref="T53">IFERROR(VLOOKUP(M53,{Indices_iTru!B:C;Indices_NEBNext!C:D;Indices_QIAseq!B:C},1,FALSE),"")</f>
        <v/>
      </c>
      <c r="U53" s="71" t="str">
        <f t="array" ref="U53">IFERROR(VLOOKUP(M53,{Indices_iTru!B:C;Indices_NEBNext!C:D;Indices_QIAseq!B:C},2,FALSE),"")</f>
        <v/>
      </c>
      <c r="V53" s="71" t="str">
        <f t="array" ref="V53">IFERROR(VLOOKUP(O53,{Indices_iTru!B:C;Indices_NEBNext!E:F;Indices_QIAseq!D:E},1,FALSE),"")</f>
        <v/>
      </c>
      <c r="W53" s="71" t="str">
        <f t="array" ref="W53">IFERROR(VLOOKUP(O53,{Indices_iTru!B:C;Indices_NEBNext!E:F;Indices_QIAseq!D:E},2,FALSE),"")</f>
        <v/>
      </c>
      <c r="X53" s="56" t="str">
        <f t="shared" si="5"/>
        <v>__+_R1.fastq.gz</v>
      </c>
      <c r="Y53" s="56" t="str">
        <f t="shared" si="6"/>
        <v>__+_R2.fastq.gz</v>
      </c>
    </row>
    <row r="54" ht="15.75" customHeight="1">
      <c r="A54" s="36">
        <v>52.0</v>
      </c>
      <c r="B54" s="97"/>
      <c r="C54" s="39"/>
      <c r="D54" s="43"/>
      <c r="E54" s="43"/>
      <c r="F54" s="43"/>
      <c r="G54" s="45">
        <f t="shared" si="1"/>
        <v>0</v>
      </c>
      <c r="H54" s="45">
        <f t="shared" si="2"/>
        <v>100</v>
      </c>
      <c r="I54" s="45">
        <f t="shared" si="3"/>
        <v>0</v>
      </c>
      <c r="J54" s="45"/>
      <c r="K54" s="45">
        <f t="shared" si="4"/>
        <v>0</v>
      </c>
      <c r="L54" s="51" t="s">
        <v>348</v>
      </c>
      <c r="M54" s="144"/>
      <c r="N54" s="51" t="s">
        <v>348</v>
      </c>
      <c r="O54" s="144"/>
      <c r="P54" s="103"/>
      <c r="Q54" s="56" t="str">
        <f>IF(ISBLANK(CONTROLE!$B$3),"","CMMZ_P"&amp;CONTROLE!$B$3&amp;"_0"&amp;A54)</f>
        <v>CMMZ_P18_052</v>
      </c>
      <c r="R54" s="56" t="str">
        <f>IF(ISBLANK(CONTROLE!$B$3),"","P"&amp;CONTROLE!$B$3&amp;"_0"&amp;A54)</f>
        <v>P18_052</v>
      </c>
      <c r="S54" s="56" t="str">
        <f>"CMMZ_P"&amp;CONTROLE!$B$3&amp;"_"&amp;TEXT(A55,"00")&amp;"_"&amp;TEXT(B54,"ddMMMyy")</f>
        <v>CMMZ_P18_53_30Dec99</v>
      </c>
      <c r="T54" s="71" t="str">
        <f t="array" ref="T54">IFERROR(VLOOKUP(M54,{Indices_iTru!B:C;Indices_NEBNext!C:D;Indices_QIAseq!B:C},1,FALSE),"")</f>
        <v/>
      </c>
      <c r="U54" s="71" t="str">
        <f t="array" ref="U54">IFERROR(VLOOKUP(M54,{Indices_iTru!B:C;Indices_NEBNext!C:D;Indices_QIAseq!B:C},2,FALSE),"")</f>
        <v/>
      </c>
      <c r="V54" s="71" t="str">
        <f t="array" ref="V54">IFERROR(VLOOKUP(O54,{Indices_iTru!B:C;Indices_NEBNext!E:F;Indices_QIAseq!D:E},1,FALSE),"")</f>
        <v/>
      </c>
      <c r="W54" s="71" t="str">
        <f t="array" ref="W54">IFERROR(VLOOKUP(O54,{Indices_iTru!B:C;Indices_NEBNext!E:F;Indices_QIAseq!D:E},2,FALSE),"")</f>
        <v/>
      </c>
      <c r="X54" s="56" t="str">
        <f t="shared" si="5"/>
        <v>__+_R1.fastq.gz</v>
      </c>
      <c r="Y54" s="56" t="str">
        <f t="shared" si="6"/>
        <v>__+_R2.fastq.gz</v>
      </c>
    </row>
    <row r="55" ht="15.75" customHeight="1">
      <c r="A55" s="36">
        <v>53.0</v>
      </c>
      <c r="B55" s="97"/>
      <c r="C55" s="39"/>
      <c r="D55" s="43"/>
      <c r="E55" s="43"/>
      <c r="F55" s="43"/>
      <c r="G55" s="45">
        <f t="shared" si="1"/>
        <v>0</v>
      </c>
      <c r="H55" s="45">
        <f t="shared" si="2"/>
        <v>100</v>
      </c>
      <c r="I55" s="45">
        <f t="shared" si="3"/>
        <v>0</v>
      </c>
      <c r="J55" s="45"/>
      <c r="K55" s="45">
        <f t="shared" si="4"/>
        <v>0</v>
      </c>
      <c r="L55" s="51" t="s">
        <v>349</v>
      </c>
      <c r="M55" s="144"/>
      <c r="N55" s="51" t="s">
        <v>349</v>
      </c>
      <c r="O55" s="144"/>
      <c r="P55" s="103"/>
      <c r="Q55" s="56" t="str">
        <f>IF(ISBLANK(CONTROLE!$B$3),"","CMMZ_P"&amp;CONTROLE!$B$3&amp;"_0"&amp;A55)</f>
        <v>CMMZ_P18_053</v>
      </c>
      <c r="R55" s="56" t="str">
        <f>IF(ISBLANK(CONTROLE!$B$3),"","P"&amp;CONTROLE!$B$3&amp;"_0"&amp;A55)</f>
        <v>P18_053</v>
      </c>
      <c r="S55" s="56" t="str">
        <f>"CMMZ_P"&amp;CONTROLE!$B$3&amp;"_"&amp;TEXT(A56,"00")&amp;"_"&amp;TEXT(B55,"ddMMMyy")</f>
        <v>CMMZ_P18_54_30Dec99</v>
      </c>
      <c r="T55" s="71" t="str">
        <f t="array" ref="T55">IFERROR(VLOOKUP(M55,{Indices_iTru!B:C;Indices_NEBNext!C:D;Indices_QIAseq!B:C},1,FALSE),"")</f>
        <v/>
      </c>
      <c r="U55" s="71" t="str">
        <f t="array" ref="U55">IFERROR(VLOOKUP(M55,{Indices_iTru!B:C;Indices_NEBNext!C:D;Indices_QIAseq!B:C},2,FALSE),"")</f>
        <v/>
      </c>
      <c r="V55" s="71" t="str">
        <f t="array" ref="V55">IFERROR(VLOOKUP(O55,{Indices_iTru!B:C;Indices_NEBNext!E:F;Indices_QIAseq!D:E},1,FALSE),"")</f>
        <v/>
      </c>
      <c r="W55" s="71" t="str">
        <f t="array" ref="W55">IFERROR(VLOOKUP(O55,{Indices_iTru!B:C;Indices_NEBNext!E:F;Indices_QIAseq!D:E},2,FALSE),"")</f>
        <v/>
      </c>
      <c r="X55" s="56" t="str">
        <f t="shared" si="5"/>
        <v>__+_R1.fastq.gz</v>
      </c>
      <c r="Y55" s="56" t="str">
        <f t="shared" si="6"/>
        <v>__+_R2.fastq.gz</v>
      </c>
    </row>
    <row r="56" ht="15.75" customHeight="1">
      <c r="A56" s="36">
        <v>54.0</v>
      </c>
      <c r="B56" s="97"/>
      <c r="C56" s="39"/>
      <c r="D56" s="43"/>
      <c r="E56" s="43"/>
      <c r="F56" s="43"/>
      <c r="G56" s="45">
        <f t="shared" si="1"/>
        <v>0</v>
      </c>
      <c r="H56" s="45">
        <f t="shared" si="2"/>
        <v>100</v>
      </c>
      <c r="I56" s="45">
        <f t="shared" si="3"/>
        <v>0</v>
      </c>
      <c r="J56" s="45"/>
      <c r="K56" s="45">
        <f t="shared" si="4"/>
        <v>0</v>
      </c>
      <c r="L56" s="51" t="s">
        <v>350</v>
      </c>
      <c r="M56" s="144"/>
      <c r="N56" s="51" t="s">
        <v>350</v>
      </c>
      <c r="O56" s="246"/>
      <c r="P56" s="103"/>
      <c r="Q56" s="247" t="str">
        <f>IF(ISBLANK(CONTROLE!$B$3),"","CMMZ_P"&amp;CONTROLE!$B$3&amp;"_0"&amp;A56)</f>
        <v>CMMZ_P18_054</v>
      </c>
      <c r="R56" s="56" t="str">
        <f>IF(ISBLANK(CONTROLE!$B$3),"","P"&amp;CONTROLE!$B$3&amp;"_0"&amp;A56)</f>
        <v>P18_054</v>
      </c>
      <c r="S56" s="56" t="str">
        <f>"CMMZ_P"&amp;CONTROLE!$B$3&amp;"_"&amp;TEXT(A57,"00")&amp;"_"&amp;TEXT(B56,"ddMMMyy")</f>
        <v>CMMZ_P18_55_30Dec99</v>
      </c>
      <c r="T56" s="71" t="str">
        <f t="array" ref="T56">IFERROR(VLOOKUP(M56,{Indices_iTru!B:C;Indices_NEBNext!C:D;Indices_QIAseq!B:C},1,FALSE),"")</f>
        <v/>
      </c>
      <c r="U56" s="71" t="str">
        <f t="array" ref="U56">IFERROR(VLOOKUP(M56,{Indices_iTru!B:C;Indices_NEBNext!C:D;Indices_QIAseq!B:C},2,FALSE),"")</f>
        <v/>
      </c>
      <c r="V56" s="71" t="str">
        <f t="array" ref="V56">IFERROR(VLOOKUP(O56,{Indices_iTru!B:C;Indices_NEBNext!E:F;Indices_QIAseq!D:E},1,FALSE),"")</f>
        <v/>
      </c>
      <c r="W56" s="71" t="str">
        <f t="array" ref="W56">IFERROR(VLOOKUP(O56,{Indices_iTru!B:C;Indices_NEBNext!E:F;Indices_QIAseq!D:E},2,FALSE),"")</f>
        <v/>
      </c>
      <c r="X56" s="56" t="str">
        <f t="shared" si="5"/>
        <v>__+_R1.fastq.gz</v>
      </c>
      <c r="Y56" s="56" t="str">
        <f t="shared" si="6"/>
        <v>__+_R2.fastq.gz</v>
      </c>
    </row>
    <row r="57" ht="15.75" customHeight="1">
      <c r="A57" s="36">
        <v>55.0</v>
      </c>
      <c r="B57" s="97"/>
      <c r="C57" s="39"/>
      <c r="D57" s="43"/>
      <c r="E57" s="43"/>
      <c r="F57" s="43"/>
      <c r="G57" s="45">
        <f t="shared" si="1"/>
        <v>0</v>
      </c>
      <c r="H57" s="45">
        <f t="shared" si="2"/>
        <v>100</v>
      </c>
      <c r="I57" s="45">
        <f t="shared" si="3"/>
        <v>0</v>
      </c>
      <c r="J57" s="45"/>
      <c r="K57" s="45">
        <f t="shared" si="4"/>
        <v>0</v>
      </c>
      <c r="L57" s="51" t="s">
        <v>351</v>
      </c>
      <c r="M57" s="144"/>
      <c r="N57" s="51" t="s">
        <v>351</v>
      </c>
      <c r="O57" s="246"/>
      <c r="P57" s="184"/>
      <c r="Q57" s="247" t="str">
        <f>IF(ISBLANK(CONTROLE!$B$3),"","CMMZ_P"&amp;CONTROLE!$B$3&amp;"_0"&amp;A57)</f>
        <v>CMMZ_P18_055</v>
      </c>
      <c r="R57" s="56" t="str">
        <f>IF(ISBLANK(CONTROLE!$B$3),"","P"&amp;CONTROLE!$B$3&amp;"_0"&amp;A57)</f>
        <v>P18_055</v>
      </c>
      <c r="S57" s="56" t="str">
        <f>"CMMZ_P"&amp;CONTROLE!$B$3&amp;"_"&amp;TEXT(A58,"00")&amp;"_"&amp;TEXT(B57,"ddMMMyy")</f>
        <v>CMMZ_P18_56_30Dec99</v>
      </c>
      <c r="T57" s="71" t="str">
        <f t="array" ref="T57">IFERROR(VLOOKUP(M57,{Indices_iTru!B:C;Indices_NEBNext!C:D;Indices_QIAseq!B:C},1,FALSE),"")</f>
        <v/>
      </c>
      <c r="U57" s="71" t="str">
        <f t="array" ref="U57">IFERROR(VLOOKUP(M57,{Indices_iTru!B:C;Indices_NEBNext!C:D;Indices_QIAseq!B:C},2,FALSE),"")</f>
        <v/>
      </c>
      <c r="V57" s="71" t="str">
        <f t="array" ref="V57">IFERROR(VLOOKUP(O57,{Indices_iTru!B:C;Indices_NEBNext!E:F;Indices_QIAseq!D:E},1,FALSE),"")</f>
        <v/>
      </c>
      <c r="W57" s="71" t="str">
        <f t="array" ref="W57">IFERROR(VLOOKUP(O57,{Indices_iTru!B:C;Indices_NEBNext!E:F;Indices_QIAseq!D:E},2,FALSE),"")</f>
        <v/>
      </c>
      <c r="X57" s="56" t="str">
        <f t="shared" si="5"/>
        <v>__+_R1.fastq.gz</v>
      </c>
      <c r="Y57" s="56" t="str">
        <f t="shared" si="6"/>
        <v>__+_R2.fastq.gz</v>
      </c>
    </row>
    <row r="58" ht="15.75" customHeight="1">
      <c r="A58" s="36">
        <v>56.0</v>
      </c>
      <c r="B58" s="97"/>
      <c r="C58" s="39"/>
      <c r="D58" s="43"/>
      <c r="E58" s="43"/>
      <c r="F58" s="43"/>
      <c r="G58" s="45">
        <f t="shared" si="1"/>
        <v>0</v>
      </c>
      <c r="H58" s="45">
        <f t="shared" si="2"/>
        <v>100</v>
      </c>
      <c r="I58" s="45">
        <f t="shared" si="3"/>
        <v>0</v>
      </c>
      <c r="J58" s="45"/>
      <c r="K58" s="45">
        <f t="shared" si="4"/>
        <v>0</v>
      </c>
      <c r="L58" s="51" t="s">
        <v>352</v>
      </c>
      <c r="M58" s="144"/>
      <c r="N58" s="51" t="s">
        <v>352</v>
      </c>
      <c r="O58" s="246"/>
      <c r="P58" s="184"/>
      <c r="Q58" s="247" t="str">
        <f>IF(ISBLANK(CONTROLE!$B$3),"","CMMZ_P"&amp;CONTROLE!$B$3&amp;"_0"&amp;A58)</f>
        <v>CMMZ_P18_056</v>
      </c>
      <c r="R58" s="56" t="str">
        <f>IF(ISBLANK(CONTROLE!$B$3),"","P"&amp;CONTROLE!$B$3&amp;"_0"&amp;A58)</f>
        <v>P18_056</v>
      </c>
      <c r="S58" s="56" t="str">
        <f>"CMMZ_P"&amp;CONTROLE!$B$3&amp;"_"&amp;TEXT(A59,"00")&amp;"_"&amp;TEXT(B58,"ddMMMyy")</f>
        <v>CMMZ_P18_57_30Dec99</v>
      </c>
      <c r="T58" s="71" t="str">
        <f t="array" ref="T58">IFERROR(VLOOKUP(M58,{Indices_iTru!B:C;Indices_NEBNext!C:D;Indices_QIAseq!B:C},1,FALSE),"")</f>
        <v/>
      </c>
      <c r="U58" s="71" t="str">
        <f t="array" ref="U58">IFERROR(VLOOKUP(M58,{Indices_iTru!B:C;Indices_NEBNext!C:D;Indices_QIAseq!B:C},2,FALSE),"")</f>
        <v/>
      </c>
      <c r="V58" s="71" t="str">
        <f t="array" ref="V58">IFERROR(VLOOKUP(O58,{Indices_iTru!B:C;Indices_NEBNext!E:F;Indices_QIAseq!D:E},1,FALSE),"")</f>
        <v/>
      </c>
      <c r="W58" s="71" t="str">
        <f t="array" ref="W58">IFERROR(VLOOKUP(O58,{Indices_iTru!B:C;Indices_NEBNext!E:F;Indices_QIAseq!D:E},2,FALSE),"")</f>
        <v/>
      </c>
      <c r="X58" s="56" t="str">
        <f t="shared" si="5"/>
        <v>__+_R1.fastq.gz</v>
      </c>
      <c r="Y58" s="56" t="str">
        <f t="shared" si="6"/>
        <v>__+_R2.fastq.gz</v>
      </c>
    </row>
    <row r="59" ht="15.75" customHeight="1">
      <c r="A59" s="36">
        <v>57.0</v>
      </c>
      <c r="B59" s="97"/>
      <c r="C59" s="39"/>
      <c r="D59" s="43"/>
      <c r="E59" s="43"/>
      <c r="F59" s="43"/>
      <c r="G59" s="45">
        <f t="shared" si="1"/>
        <v>0</v>
      </c>
      <c r="H59" s="45">
        <f t="shared" si="2"/>
        <v>100</v>
      </c>
      <c r="I59" s="45">
        <f t="shared" si="3"/>
        <v>0</v>
      </c>
      <c r="J59" s="45"/>
      <c r="K59" s="45">
        <f t="shared" si="4"/>
        <v>0</v>
      </c>
      <c r="L59" s="51" t="s">
        <v>353</v>
      </c>
      <c r="M59" s="144"/>
      <c r="N59" s="51" t="s">
        <v>353</v>
      </c>
      <c r="O59" s="246"/>
      <c r="P59" s="184"/>
      <c r="Q59" s="247" t="str">
        <f>IF(ISBLANK(CONTROLE!$B$3),"","CMMZ_P"&amp;CONTROLE!$B$3&amp;"_0"&amp;A59)</f>
        <v>CMMZ_P18_057</v>
      </c>
      <c r="R59" s="56" t="str">
        <f>IF(ISBLANK(CONTROLE!$B$3),"","P"&amp;CONTROLE!$B$3&amp;"_0"&amp;A59)</f>
        <v>P18_057</v>
      </c>
      <c r="S59" s="56" t="str">
        <f>"CMMZ_P"&amp;CONTROLE!$B$3&amp;"_"&amp;TEXT(A60,"00")&amp;"_"&amp;TEXT(B59,"ddMMMyy")</f>
        <v>CMMZ_P18_58_30Dec99</v>
      </c>
      <c r="T59" s="71" t="str">
        <f t="array" ref="T59">IFERROR(VLOOKUP(M59,{Indices_iTru!B:C;Indices_NEBNext!C:D;Indices_QIAseq!B:C},1,FALSE),"")</f>
        <v/>
      </c>
      <c r="U59" s="71" t="str">
        <f t="array" ref="U59">IFERROR(VLOOKUP(M59,{Indices_iTru!B:C;Indices_NEBNext!C:D;Indices_QIAseq!B:C},2,FALSE),"")</f>
        <v/>
      </c>
      <c r="V59" s="71" t="str">
        <f t="array" ref="V59">IFERROR(VLOOKUP(O59,{Indices_iTru!B:C;Indices_NEBNext!E:F;Indices_QIAseq!D:E},1,FALSE),"")</f>
        <v/>
      </c>
      <c r="W59" s="71" t="str">
        <f t="array" ref="W59">IFERROR(VLOOKUP(O59,{Indices_iTru!B:C;Indices_NEBNext!E:F;Indices_QIAseq!D:E},2,FALSE),"")</f>
        <v/>
      </c>
      <c r="X59" s="56" t="str">
        <f t="shared" si="5"/>
        <v>__+_R1.fastq.gz</v>
      </c>
      <c r="Y59" s="56" t="str">
        <f t="shared" si="6"/>
        <v>__+_R2.fastq.gz</v>
      </c>
    </row>
    <row r="60" ht="15.75" customHeight="1">
      <c r="A60" s="36">
        <v>58.0</v>
      </c>
      <c r="B60" s="97"/>
      <c r="C60" s="39"/>
      <c r="D60" s="43"/>
      <c r="E60" s="43"/>
      <c r="F60" s="43"/>
      <c r="G60" s="45">
        <f t="shared" si="1"/>
        <v>0</v>
      </c>
      <c r="H60" s="45">
        <f t="shared" si="2"/>
        <v>100</v>
      </c>
      <c r="I60" s="45">
        <f t="shared" si="3"/>
        <v>0</v>
      </c>
      <c r="J60" s="45"/>
      <c r="K60" s="45">
        <f t="shared" si="4"/>
        <v>0</v>
      </c>
      <c r="L60" s="51" t="s">
        <v>354</v>
      </c>
      <c r="M60" s="144"/>
      <c r="N60" s="51" t="s">
        <v>354</v>
      </c>
      <c r="O60" s="246"/>
      <c r="P60" s="103"/>
      <c r="Q60" s="247" t="str">
        <f>IF(ISBLANK(CONTROLE!$B$3),"","CMMZ_P"&amp;CONTROLE!$B$3&amp;"_0"&amp;A60)</f>
        <v>CMMZ_P18_058</v>
      </c>
      <c r="R60" s="56" t="str">
        <f>IF(ISBLANK(CONTROLE!$B$3),"","P"&amp;CONTROLE!$B$3&amp;"_0"&amp;A60)</f>
        <v>P18_058</v>
      </c>
      <c r="S60" s="56" t="str">
        <f>"CMMZ_P"&amp;CONTROLE!$B$3&amp;"_"&amp;TEXT(A61,"00")&amp;"_"&amp;TEXT(B60,"ddMMMyy")</f>
        <v>CMMZ_P18_59_30Dec99</v>
      </c>
      <c r="T60" s="71" t="str">
        <f t="array" ref="T60">IFERROR(VLOOKUP(M60,{Indices_iTru!B:C;Indices_NEBNext!C:D;Indices_QIAseq!B:C},1,FALSE),"")</f>
        <v/>
      </c>
      <c r="U60" s="71" t="str">
        <f t="array" ref="U60">IFERROR(VLOOKUP(M60,{Indices_iTru!B:C;Indices_NEBNext!C:D;Indices_QIAseq!B:C},2,FALSE),"")</f>
        <v/>
      </c>
      <c r="V60" s="71" t="str">
        <f t="array" ref="V60">IFERROR(VLOOKUP(O60,{Indices_iTru!B:C;Indices_NEBNext!E:F;Indices_QIAseq!D:E},1,FALSE),"")</f>
        <v/>
      </c>
      <c r="W60" s="71" t="str">
        <f t="array" ref="W60">IFERROR(VLOOKUP(O60,{Indices_iTru!B:C;Indices_NEBNext!E:F;Indices_QIAseq!D:E},2,FALSE),"")</f>
        <v/>
      </c>
      <c r="X60" s="56" t="str">
        <f t="shared" si="5"/>
        <v>__+_R1.fastq.gz</v>
      </c>
      <c r="Y60" s="56" t="str">
        <f t="shared" si="6"/>
        <v>__+_R2.fastq.gz</v>
      </c>
    </row>
    <row r="61" ht="15.75" customHeight="1">
      <c r="A61" s="36">
        <v>59.0</v>
      </c>
      <c r="B61" s="97"/>
      <c r="C61" s="39"/>
      <c r="D61" s="43"/>
      <c r="E61" s="43"/>
      <c r="F61" s="43"/>
      <c r="G61" s="45">
        <f t="shared" si="1"/>
        <v>0</v>
      </c>
      <c r="H61" s="45">
        <f t="shared" si="2"/>
        <v>100</v>
      </c>
      <c r="I61" s="45">
        <f t="shared" si="3"/>
        <v>0</v>
      </c>
      <c r="J61" s="45"/>
      <c r="K61" s="45">
        <f t="shared" si="4"/>
        <v>0</v>
      </c>
      <c r="L61" s="51" t="s">
        <v>355</v>
      </c>
      <c r="M61" s="144"/>
      <c r="N61" s="51" t="s">
        <v>355</v>
      </c>
      <c r="O61" s="246"/>
      <c r="P61" s="103"/>
      <c r="Q61" s="247" t="str">
        <f>IF(ISBLANK(CONTROLE!$B$3),"","CMMZ_P"&amp;CONTROLE!$B$3&amp;"_0"&amp;A61)</f>
        <v>CMMZ_P18_059</v>
      </c>
      <c r="R61" s="56" t="str">
        <f>IF(ISBLANK(CONTROLE!$B$3),"","P"&amp;CONTROLE!$B$3&amp;"_0"&amp;A61)</f>
        <v>P18_059</v>
      </c>
      <c r="S61" s="56" t="str">
        <f>"CMMZ_P"&amp;CONTROLE!$B$3&amp;"_"&amp;TEXT(A62,"00")&amp;"_"&amp;TEXT(B61,"ddMMMyy")</f>
        <v>CMMZ_P18_60_30Dec99</v>
      </c>
      <c r="T61" s="71" t="str">
        <f t="array" ref="T61">IFERROR(VLOOKUP(M61,{Indices_iTru!B:C;Indices_NEBNext!C:D;Indices_QIAseq!B:C},1,FALSE),"")</f>
        <v/>
      </c>
      <c r="U61" s="71" t="str">
        <f t="array" ref="U61">IFERROR(VLOOKUP(M61,{Indices_iTru!B:C;Indices_NEBNext!C:D;Indices_QIAseq!B:C},2,FALSE),"")</f>
        <v/>
      </c>
      <c r="V61" s="71" t="str">
        <f t="array" ref="V61">IFERROR(VLOOKUP(O61,{Indices_iTru!B:C;Indices_NEBNext!E:F;Indices_QIAseq!D:E},1,FALSE),"")</f>
        <v/>
      </c>
      <c r="W61" s="71" t="str">
        <f t="array" ref="W61">IFERROR(VLOOKUP(O61,{Indices_iTru!B:C;Indices_NEBNext!E:F;Indices_QIAseq!D:E},2,FALSE),"")</f>
        <v/>
      </c>
      <c r="X61" s="56" t="str">
        <f t="shared" si="5"/>
        <v>__+_R1.fastq.gz</v>
      </c>
      <c r="Y61" s="56" t="str">
        <f t="shared" si="6"/>
        <v>__+_R2.fastq.gz</v>
      </c>
    </row>
    <row r="62" ht="15.75" customHeight="1">
      <c r="A62" s="36">
        <v>60.0</v>
      </c>
      <c r="B62" s="97"/>
      <c r="C62" s="39"/>
      <c r="D62" s="43"/>
      <c r="E62" s="43"/>
      <c r="F62" s="43"/>
      <c r="G62" s="45">
        <f t="shared" si="1"/>
        <v>0</v>
      </c>
      <c r="H62" s="45">
        <f t="shared" si="2"/>
        <v>100</v>
      </c>
      <c r="I62" s="45">
        <f t="shared" si="3"/>
        <v>0</v>
      </c>
      <c r="J62" s="45"/>
      <c r="K62" s="45">
        <f t="shared" si="4"/>
        <v>0</v>
      </c>
      <c r="L62" s="51" t="s">
        <v>356</v>
      </c>
      <c r="M62" s="144"/>
      <c r="N62" s="51" t="s">
        <v>356</v>
      </c>
      <c r="O62" s="246"/>
      <c r="P62" s="184"/>
      <c r="Q62" s="247" t="str">
        <f>IF(ISBLANK(CONTROLE!$B$3),"","CMMZ_P"&amp;CONTROLE!$B$3&amp;"_0"&amp;A62)</f>
        <v>CMMZ_P18_060</v>
      </c>
      <c r="R62" s="56" t="str">
        <f>IF(ISBLANK(CONTROLE!$B$3),"","P"&amp;CONTROLE!$B$3&amp;"_0"&amp;A62)</f>
        <v>P18_060</v>
      </c>
      <c r="S62" s="56" t="str">
        <f>"CMMZ_P"&amp;CONTROLE!$B$3&amp;"_"&amp;TEXT(A63,"00")&amp;"_"&amp;TEXT(B62,"ddMMMyy")</f>
        <v>CMMZ_P18_61_30Dec99</v>
      </c>
      <c r="T62" s="71" t="str">
        <f t="array" ref="T62">IFERROR(VLOOKUP(M62,{Indices_iTru!B:C;Indices_NEBNext!C:D;Indices_QIAseq!B:C},1,FALSE),"")</f>
        <v/>
      </c>
      <c r="U62" s="71" t="str">
        <f t="array" ref="U62">IFERROR(VLOOKUP(M62,{Indices_iTru!B:C;Indices_NEBNext!C:D;Indices_QIAseq!B:C},2,FALSE),"")</f>
        <v/>
      </c>
      <c r="V62" s="71" t="str">
        <f t="array" ref="V62">IFERROR(VLOOKUP(O62,{Indices_iTru!B:C;Indices_NEBNext!E:F;Indices_QIAseq!D:E},1,FALSE),"")</f>
        <v/>
      </c>
      <c r="W62" s="71" t="str">
        <f t="array" ref="W62">IFERROR(VLOOKUP(O62,{Indices_iTru!B:C;Indices_NEBNext!E:F;Indices_QIAseq!D:E},2,FALSE),"")</f>
        <v/>
      </c>
      <c r="X62" s="56" t="str">
        <f t="shared" si="5"/>
        <v>__+_R1.fastq.gz</v>
      </c>
      <c r="Y62" s="56" t="str">
        <f t="shared" si="6"/>
        <v>__+_R2.fastq.gz</v>
      </c>
    </row>
    <row r="63" ht="15.75" customHeight="1">
      <c r="A63" s="36">
        <v>61.0</v>
      </c>
      <c r="B63" s="97"/>
      <c r="C63" s="39"/>
      <c r="D63" s="43"/>
      <c r="E63" s="43"/>
      <c r="F63" s="43"/>
      <c r="G63" s="45">
        <f t="shared" si="1"/>
        <v>0</v>
      </c>
      <c r="H63" s="45">
        <f t="shared" si="2"/>
        <v>100</v>
      </c>
      <c r="I63" s="45">
        <f t="shared" si="3"/>
        <v>0</v>
      </c>
      <c r="J63" s="45"/>
      <c r="K63" s="45">
        <f t="shared" si="4"/>
        <v>0</v>
      </c>
      <c r="L63" s="51" t="s">
        <v>357</v>
      </c>
      <c r="M63" s="144"/>
      <c r="N63" s="51" t="s">
        <v>357</v>
      </c>
      <c r="O63" s="246"/>
      <c r="P63" s="103"/>
      <c r="Q63" s="247" t="str">
        <f>IF(ISBLANK(CONTROLE!$B$3),"","CMMZ_P"&amp;CONTROLE!$B$3&amp;"_0"&amp;A63)</f>
        <v>CMMZ_P18_061</v>
      </c>
      <c r="R63" s="56" t="str">
        <f>IF(ISBLANK(CONTROLE!$B$3),"","P"&amp;CONTROLE!$B$3&amp;"_0"&amp;A63)</f>
        <v>P18_061</v>
      </c>
      <c r="S63" s="56" t="str">
        <f>"CMMZ_P"&amp;CONTROLE!$B$3&amp;"_"&amp;TEXT(A64,"00")&amp;"_"&amp;TEXT(B63,"ddMMMyy")</f>
        <v>CMMZ_P18_62_30Dec99</v>
      </c>
      <c r="T63" s="71" t="str">
        <f t="array" ref="T63">IFERROR(VLOOKUP(M63,{Indices_iTru!B:C;Indices_NEBNext!C:D;Indices_QIAseq!B:C},1,FALSE),"")</f>
        <v/>
      </c>
      <c r="U63" s="71" t="str">
        <f t="array" ref="U63">IFERROR(VLOOKUP(M63,{Indices_iTru!B:C;Indices_NEBNext!C:D;Indices_QIAseq!B:C},2,FALSE),"")</f>
        <v/>
      </c>
      <c r="V63" s="71" t="str">
        <f t="array" ref="V63">IFERROR(VLOOKUP(O63,{Indices_iTru!B:C;Indices_NEBNext!E:F;Indices_QIAseq!D:E},1,FALSE),"")</f>
        <v/>
      </c>
      <c r="W63" s="71" t="str">
        <f t="array" ref="W63">IFERROR(VLOOKUP(O63,{Indices_iTru!B:C;Indices_NEBNext!E:F;Indices_QIAseq!D:E},2,FALSE),"")</f>
        <v/>
      </c>
      <c r="X63" s="56" t="str">
        <f t="shared" si="5"/>
        <v>__+_R1.fastq.gz</v>
      </c>
      <c r="Y63" s="56" t="str">
        <f t="shared" si="6"/>
        <v>__+_R2.fastq.gz</v>
      </c>
    </row>
    <row r="64" ht="15.75" customHeight="1">
      <c r="A64" s="36">
        <v>62.0</v>
      </c>
      <c r="B64" s="97"/>
      <c r="C64" s="39"/>
      <c r="D64" s="43"/>
      <c r="E64" s="43"/>
      <c r="F64" s="43"/>
      <c r="G64" s="45">
        <f t="shared" si="1"/>
        <v>0</v>
      </c>
      <c r="H64" s="45">
        <f t="shared" si="2"/>
        <v>100</v>
      </c>
      <c r="I64" s="45">
        <f t="shared" si="3"/>
        <v>0</v>
      </c>
      <c r="J64" s="45"/>
      <c r="K64" s="45">
        <f t="shared" si="4"/>
        <v>0</v>
      </c>
      <c r="L64" s="51" t="s">
        <v>358</v>
      </c>
      <c r="M64" s="144"/>
      <c r="N64" s="51" t="s">
        <v>358</v>
      </c>
      <c r="O64" s="246"/>
      <c r="P64" s="103"/>
      <c r="Q64" s="247" t="str">
        <f>IF(ISBLANK(CONTROLE!$B$3),"","CMMZ_P"&amp;CONTROLE!$B$3&amp;"_0"&amp;A64)</f>
        <v>CMMZ_P18_062</v>
      </c>
      <c r="R64" s="56" t="str">
        <f>IF(ISBLANK(CONTROLE!$B$3),"","P"&amp;CONTROLE!$B$3&amp;"_0"&amp;A64)</f>
        <v>P18_062</v>
      </c>
      <c r="S64" s="56" t="str">
        <f>"CMMZ_P"&amp;CONTROLE!$B$3&amp;"_"&amp;TEXT(A65,"00")&amp;"_"&amp;TEXT(B64,"ddMMMyy")</f>
        <v>CMMZ_P18_63_30Dec99</v>
      </c>
      <c r="T64" s="71" t="str">
        <f t="array" ref="T64">IFERROR(VLOOKUP(M64,{Indices_iTru!B:C;Indices_NEBNext!C:D;Indices_QIAseq!B:C},1,FALSE),"")</f>
        <v/>
      </c>
      <c r="U64" s="71" t="str">
        <f t="array" ref="U64">IFERROR(VLOOKUP(M64,{Indices_iTru!B:C;Indices_NEBNext!C:D;Indices_QIAseq!B:C},2,FALSE),"")</f>
        <v/>
      </c>
      <c r="V64" s="71" t="str">
        <f t="array" ref="V64">IFERROR(VLOOKUP(O64,{Indices_iTru!B:C;Indices_NEBNext!E:F;Indices_QIAseq!D:E},1,FALSE),"")</f>
        <v/>
      </c>
      <c r="W64" s="71" t="str">
        <f t="array" ref="W64">IFERROR(VLOOKUP(O64,{Indices_iTru!B:C;Indices_NEBNext!E:F;Indices_QIAseq!D:E},2,FALSE),"")</f>
        <v/>
      </c>
      <c r="X64" s="56" t="str">
        <f t="shared" si="5"/>
        <v>__+_R1.fastq.gz</v>
      </c>
      <c r="Y64" s="56" t="str">
        <f t="shared" si="6"/>
        <v>__+_R2.fastq.gz</v>
      </c>
    </row>
    <row r="65" ht="15.75" customHeight="1">
      <c r="A65" s="36">
        <v>63.0</v>
      </c>
      <c r="B65" s="97"/>
      <c r="C65" s="39"/>
      <c r="D65" s="43"/>
      <c r="E65" s="43"/>
      <c r="F65" s="43"/>
      <c r="G65" s="45">
        <f t="shared" si="1"/>
        <v>0</v>
      </c>
      <c r="H65" s="45">
        <f t="shared" si="2"/>
        <v>100</v>
      </c>
      <c r="I65" s="45">
        <f t="shared" si="3"/>
        <v>0</v>
      </c>
      <c r="J65" s="45"/>
      <c r="K65" s="45">
        <f t="shared" si="4"/>
        <v>0</v>
      </c>
      <c r="L65" s="51" t="s">
        <v>359</v>
      </c>
      <c r="M65" s="144"/>
      <c r="N65" s="51" t="s">
        <v>359</v>
      </c>
      <c r="O65" s="246"/>
      <c r="P65" s="103"/>
      <c r="Q65" s="247" t="str">
        <f>IF(ISBLANK(CONTROLE!$B$3),"","CMMZ_P"&amp;CONTROLE!$B$3&amp;"_0"&amp;A65)</f>
        <v>CMMZ_P18_063</v>
      </c>
      <c r="R65" s="56" t="str">
        <f>IF(ISBLANK(CONTROLE!$B$3),"","P"&amp;CONTROLE!$B$3&amp;"_0"&amp;A65)</f>
        <v>P18_063</v>
      </c>
      <c r="S65" s="56" t="str">
        <f>"CMMZ_P"&amp;CONTROLE!$B$3&amp;"_"&amp;TEXT(A66,"00")&amp;"_"&amp;TEXT(B65,"ddMMMyy")</f>
        <v>CMMZ_P18_64_30Dec99</v>
      </c>
      <c r="T65" s="71" t="str">
        <f t="array" ref="T65">IFERROR(VLOOKUP(M65,{Indices_iTru!B:C;Indices_NEBNext!C:D;Indices_QIAseq!B:C},1,FALSE),"")</f>
        <v/>
      </c>
      <c r="U65" s="71" t="str">
        <f t="array" ref="U65">IFERROR(VLOOKUP(M65,{Indices_iTru!B:C;Indices_NEBNext!C:D;Indices_QIAseq!B:C},2,FALSE),"")</f>
        <v/>
      </c>
      <c r="V65" s="71" t="str">
        <f t="array" ref="V65">IFERROR(VLOOKUP(O65,{Indices_iTru!B:C;Indices_NEBNext!E:F;Indices_QIAseq!D:E},1,FALSE),"")</f>
        <v/>
      </c>
      <c r="W65" s="71" t="str">
        <f t="array" ref="W65">IFERROR(VLOOKUP(O65,{Indices_iTru!B:C;Indices_NEBNext!E:F;Indices_QIAseq!D:E},2,FALSE),"")</f>
        <v/>
      </c>
      <c r="X65" s="56" t="str">
        <f t="shared" si="5"/>
        <v>__+_R1.fastq.gz</v>
      </c>
      <c r="Y65" s="56" t="str">
        <f t="shared" si="6"/>
        <v>__+_R2.fastq.gz</v>
      </c>
    </row>
    <row r="66" ht="15.75" customHeight="1">
      <c r="A66" s="36">
        <v>64.0</v>
      </c>
      <c r="B66" s="97"/>
      <c r="C66" s="39"/>
      <c r="D66" s="43"/>
      <c r="E66" s="43"/>
      <c r="F66" s="43"/>
      <c r="G66" s="45">
        <f t="shared" si="1"/>
        <v>0</v>
      </c>
      <c r="H66" s="45">
        <f t="shared" si="2"/>
        <v>100</v>
      </c>
      <c r="I66" s="45">
        <f t="shared" si="3"/>
        <v>0</v>
      </c>
      <c r="J66" s="45"/>
      <c r="K66" s="45">
        <f t="shared" si="4"/>
        <v>0</v>
      </c>
      <c r="L66" s="51" t="s">
        <v>360</v>
      </c>
      <c r="M66" s="144"/>
      <c r="N66" s="51" t="s">
        <v>360</v>
      </c>
      <c r="O66" s="246"/>
      <c r="P66" s="223"/>
      <c r="Q66" s="247" t="str">
        <f>IF(ISBLANK(CONTROLE!$B$3),"","CMMZ_P"&amp;CONTROLE!$B$3&amp;"_0"&amp;A66)</f>
        <v>CMMZ_P18_064</v>
      </c>
      <c r="R66" s="56" t="str">
        <f>IF(ISBLANK(CONTROLE!$B$3),"","P"&amp;CONTROLE!$B$3&amp;"_0"&amp;A66)</f>
        <v>P18_064</v>
      </c>
      <c r="S66" s="56" t="str">
        <f>"CMMZ_P"&amp;CONTROLE!$B$3&amp;"_"&amp;TEXT(A67,"00")&amp;"_"&amp;TEXT(B66,"ddMMMyy")</f>
        <v>CMMZ_P18_65_30Dec99</v>
      </c>
      <c r="T66" s="71" t="str">
        <f t="array" ref="T66">IFERROR(VLOOKUP(M66,{Indices_iTru!B:C;Indices_NEBNext!C:D;Indices_QIAseq!B:C},1,FALSE),"")</f>
        <v/>
      </c>
      <c r="U66" s="71" t="str">
        <f t="array" ref="U66">IFERROR(VLOOKUP(M66,{Indices_iTru!B:C;Indices_NEBNext!C:D;Indices_QIAseq!B:C},2,FALSE),"")</f>
        <v/>
      </c>
      <c r="V66" s="71" t="str">
        <f t="array" ref="V66">IFERROR(VLOOKUP(O66,{Indices_iTru!B:C;Indices_NEBNext!E:F;Indices_QIAseq!D:E},1,FALSE),"")</f>
        <v/>
      </c>
      <c r="W66" s="71" t="str">
        <f t="array" ref="W66">IFERROR(VLOOKUP(O66,{Indices_iTru!B:C;Indices_NEBNext!E:F;Indices_QIAseq!D:E},2,FALSE),"")</f>
        <v/>
      </c>
      <c r="X66" s="56" t="str">
        <f t="shared" si="5"/>
        <v>__+_R1.fastq.gz</v>
      </c>
      <c r="Y66" s="56" t="str">
        <f t="shared" si="6"/>
        <v>__+_R2.fastq.gz</v>
      </c>
    </row>
    <row r="67" ht="15.75" customHeight="1">
      <c r="A67" s="36">
        <v>65.0</v>
      </c>
      <c r="B67" s="97"/>
      <c r="C67" s="39"/>
      <c r="D67" s="43"/>
      <c r="E67" s="43"/>
      <c r="F67" s="43"/>
      <c r="G67" s="45">
        <f t="shared" si="1"/>
        <v>0</v>
      </c>
      <c r="H67" s="45">
        <f t="shared" si="2"/>
        <v>100</v>
      </c>
      <c r="I67" s="45">
        <f t="shared" si="3"/>
        <v>0</v>
      </c>
      <c r="J67" s="45"/>
      <c r="K67" s="45">
        <f t="shared" si="4"/>
        <v>0</v>
      </c>
      <c r="L67" s="51" t="s">
        <v>361</v>
      </c>
      <c r="M67" s="144"/>
      <c r="N67" s="51" t="s">
        <v>361</v>
      </c>
      <c r="O67" s="246"/>
      <c r="P67" s="223"/>
      <c r="Q67" s="247" t="str">
        <f>IF(ISBLANK(CONTROLE!$B$3),"","CMMZ_P"&amp;CONTROLE!$B$3&amp;"_0"&amp;A67)</f>
        <v>CMMZ_P18_065</v>
      </c>
      <c r="R67" s="56" t="str">
        <f>IF(ISBLANK(CONTROLE!$B$3),"","P"&amp;CONTROLE!$B$3&amp;"_0"&amp;A67)</f>
        <v>P18_065</v>
      </c>
      <c r="S67" s="56" t="str">
        <f>"CMMZ_P"&amp;CONTROLE!$B$3&amp;"_"&amp;TEXT(A68,"00")&amp;"_"&amp;TEXT(B67,"ddMMMyy")</f>
        <v>CMMZ_P18_66_30Dec99</v>
      </c>
      <c r="T67" s="71" t="str">
        <f t="array" ref="T67">IFERROR(VLOOKUP(M67,{Indices_iTru!B:C;Indices_NEBNext!C:D;Indices_QIAseq!B:C},1,FALSE),"")</f>
        <v/>
      </c>
      <c r="U67" s="71" t="str">
        <f t="array" ref="U67">IFERROR(VLOOKUP(M67,{Indices_iTru!B:C;Indices_NEBNext!C:D;Indices_QIAseq!B:C},2,FALSE),"")</f>
        <v/>
      </c>
      <c r="V67" s="71" t="str">
        <f t="array" ref="V67">IFERROR(VLOOKUP(O67,{Indices_iTru!B:C;Indices_NEBNext!E:F;Indices_QIAseq!D:E},1,FALSE),"")</f>
        <v/>
      </c>
      <c r="W67" s="71" t="str">
        <f t="array" ref="W67">IFERROR(VLOOKUP(O67,{Indices_iTru!B:C;Indices_NEBNext!E:F;Indices_QIAseq!D:E},2,FALSE),"")</f>
        <v/>
      </c>
      <c r="X67" s="56" t="str">
        <f t="shared" si="5"/>
        <v>__+_R1.fastq.gz</v>
      </c>
      <c r="Y67" s="56" t="str">
        <f t="shared" si="6"/>
        <v>__+_R2.fastq.gz</v>
      </c>
    </row>
    <row r="68" ht="15.75" customHeight="1">
      <c r="A68" s="36">
        <v>66.0</v>
      </c>
      <c r="B68" s="97"/>
      <c r="C68" s="39"/>
      <c r="D68" s="43"/>
      <c r="E68" s="43"/>
      <c r="F68" s="43"/>
      <c r="G68" s="45">
        <f t="shared" si="1"/>
        <v>0</v>
      </c>
      <c r="H68" s="45">
        <f t="shared" si="2"/>
        <v>100</v>
      </c>
      <c r="I68" s="45">
        <f t="shared" si="3"/>
        <v>0</v>
      </c>
      <c r="J68" s="45"/>
      <c r="K68" s="45">
        <f t="shared" si="4"/>
        <v>0</v>
      </c>
      <c r="L68" s="51" t="s">
        <v>362</v>
      </c>
      <c r="M68" s="144"/>
      <c r="N68" s="51" t="s">
        <v>362</v>
      </c>
      <c r="O68" s="246"/>
      <c r="P68" s="223"/>
      <c r="Q68" s="247" t="str">
        <f>IF(ISBLANK(CONTROLE!$B$3),"","CMMZ_P"&amp;CONTROLE!$B$3&amp;"_0"&amp;A68)</f>
        <v>CMMZ_P18_066</v>
      </c>
      <c r="R68" s="56" t="str">
        <f>IF(ISBLANK(CONTROLE!$B$3),"","P"&amp;CONTROLE!$B$3&amp;"_0"&amp;A68)</f>
        <v>P18_066</v>
      </c>
      <c r="S68" s="56" t="str">
        <f>"CMMZ_P"&amp;CONTROLE!$B$3&amp;"_"&amp;TEXT(A69,"00")&amp;"_"&amp;TEXT(B68,"ddMMMyy")</f>
        <v>CMMZ_P18_67_30Dec99</v>
      </c>
      <c r="T68" s="71" t="str">
        <f t="array" ref="T68">IFERROR(VLOOKUP(M68,{Indices_iTru!B:C;Indices_NEBNext!C:D;Indices_QIAseq!B:C},1,FALSE),"")</f>
        <v/>
      </c>
      <c r="U68" s="71" t="str">
        <f t="array" ref="U68">IFERROR(VLOOKUP(M68,{Indices_iTru!B:C;Indices_NEBNext!C:D;Indices_QIAseq!B:C},2,FALSE),"")</f>
        <v/>
      </c>
      <c r="V68" s="71" t="str">
        <f t="array" ref="V68">IFERROR(VLOOKUP(O68,{Indices_iTru!B:C;Indices_NEBNext!E:F;Indices_QIAseq!D:E},1,FALSE),"")</f>
        <v/>
      </c>
      <c r="W68" s="71" t="str">
        <f t="array" ref="W68">IFERROR(VLOOKUP(O68,{Indices_iTru!B:C;Indices_NEBNext!E:F;Indices_QIAseq!D:E},2,FALSE),"")</f>
        <v/>
      </c>
      <c r="X68" s="56" t="str">
        <f t="shared" si="5"/>
        <v>__+_R1.fastq.gz</v>
      </c>
      <c r="Y68" s="56" t="str">
        <f t="shared" si="6"/>
        <v>__+_R2.fastq.gz</v>
      </c>
    </row>
    <row r="69" ht="15.75" customHeight="1">
      <c r="A69" s="36">
        <v>67.0</v>
      </c>
      <c r="B69" s="97"/>
      <c r="C69" s="39"/>
      <c r="D69" s="43"/>
      <c r="E69" s="43"/>
      <c r="F69" s="43"/>
      <c r="G69" s="45">
        <f t="shared" si="1"/>
        <v>0</v>
      </c>
      <c r="H69" s="45">
        <f t="shared" si="2"/>
        <v>100</v>
      </c>
      <c r="I69" s="45">
        <f t="shared" si="3"/>
        <v>0</v>
      </c>
      <c r="J69" s="45"/>
      <c r="K69" s="45">
        <f t="shared" si="4"/>
        <v>0</v>
      </c>
      <c r="L69" s="51" t="s">
        <v>363</v>
      </c>
      <c r="M69" s="144"/>
      <c r="N69" s="51" t="s">
        <v>363</v>
      </c>
      <c r="O69" s="246"/>
      <c r="P69" s="223"/>
      <c r="Q69" s="247" t="str">
        <f>IF(ISBLANK(CONTROLE!$B$3),"","CMMZ_P"&amp;CONTROLE!$B$3&amp;"_0"&amp;A69)</f>
        <v>CMMZ_P18_067</v>
      </c>
      <c r="R69" s="56" t="str">
        <f>IF(ISBLANK(CONTROLE!$B$3),"","P"&amp;CONTROLE!$B$3&amp;"_0"&amp;A69)</f>
        <v>P18_067</v>
      </c>
      <c r="S69" s="56" t="str">
        <f>"CMMZ_P"&amp;CONTROLE!$B$3&amp;"_"&amp;TEXT(A70,"00")&amp;"_"&amp;TEXT(B69,"ddMMMyy")</f>
        <v>CMMZ_P18_68_30Dec99</v>
      </c>
      <c r="T69" s="71" t="str">
        <f t="array" ref="T69">IFERROR(VLOOKUP(M69,{Indices_iTru!B:C;Indices_NEBNext!C:D;Indices_QIAseq!B:C},1,FALSE),"")</f>
        <v/>
      </c>
      <c r="U69" s="71" t="str">
        <f t="array" ref="U69">IFERROR(VLOOKUP(M69,{Indices_iTru!B:C;Indices_NEBNext!C:D;Indices_QIAseq!B:C},2,FALSE),"")</f>
        <v/>
      </c>
      <c r="V69" s="71" t="str">
        <f t="array" ref="V69">IFERROR(VLOOKUP(O69,{Indices_iTru!B:C;Indices_NEBNext!E:F;Indices_QIAseq!D:E},1,FALSE),"")</f>
        <v/>
      </c>
      <c r="W69" s="71" t="str">
        <f t="array" ref="W69">IFERROR(VLOOKUP(O69,{Indices_iTru!B:C;Indices_NEBNext!E:F;Indices_QIAseq!D:E},2,FALSE),"")</f>
        <v/>
      </c>
      <c r="X69" s="56" t="str">
        <f t="shared" si="5"/>
        <v>__+_R1.fastq.gz</v>
      </c>
      <c r="Y69" s="56" t="str">
        <f t="shared" si="6"/>
        <v>__+_R2.fastq.gz</v>
      </c>
    </row>
    <row r="70" ht="15.75" customHeight="1">
      <c r="A70" s="36">
        <v>68.0</v>
      </c>
      <c r="B70" s="97"/>
      <c r="C70" s="39"/>
      <c r="D70" s="43"/>
      <c r="E70" s="43"/>
      <c r="F70" s="43"/>
      <c r="G70" s="45">
        <f t="shared" si="1"/>
        <v>0</v>
      </c>
      <c r="H70" s="45">
        <f t="shared" si="2"/>
        <v>100</v>
      </c>
      <c r="I70" s="45">
        <f t="shared" si="3"/>
        <v>0</v>
      </c>
      <c r="J70" s="45"/>
      <c r="K70" s="45">
        <f t="shared" si="4"/>
        <v>0</v>
      </c>
      <c r="L70" s="51" t="s">
        <v>364</v>
      </c>
      <c r="M70" s="144"/>
      <c r="N70" s="51" t="s">
        <v>364</v>
      </c>
      <c r="O70" s="246"/>
      <c r="P70" s="223"/>
      <c r="Q70" s="247" t="str">
        <f>IF(ISBLANK(CONTROLE!$B$3),"","CMMZ_P"&amp;CONTROLE!$B$3&amp;"_0"&amp;A70)</f>
        <v>CMMZ_P18_068</v>
      </c>
      <c r="R70" s="56" t="str">
        <f>IF(ISBLANK(CONTROLE!$B$3),"","P"&amp;CONTROLE!$B$3&amp;"_0"&amp;A70)</f>
        <v>P18_068</v>
      </c>
      <c r="S70" s="56" t="str">
        <f>"CMMZ_P"&amp;CONTROLE!$B$3&amp;"_"&amp;TEXT(A71,"00")&amp;"_"&amp;TEXT(B70,"ddMMMyy")</f>
        <v>CMMZ_P18_69_30Dec99</v>
      </c>
      <c r="T70" s="71" t="str">
        <f t="array" ref="T70">IFERROR(VLOOKUP(M70,{Indices_iTru!B:C;Indices_NEBNext!C:D;Indices_QIAseq!B:C},1,FALSE),"")</f>
        <v/>
      </c>
      <c r="U70" s="71" t="str">
        <f t="array" ref="U70">IFERROR(VLOOKUP(M70,{Indices_iTru!B:C;Indices_NEBNext!C:D;Indices_QIAseq!B:C},2,FALSE),"")</f>
        <v/>
      </c>
      <c r="V70" s="71" t="str">
        <f t="array" ref="V70">IFERROR(VLOOKUP(O70,{Indices_iTru!B:C;Indices_NEBNext!E:F;Indices_QIAseq!D:E},1,FALSE),"")</f>
        <v/>
      </c>
      <c r="W70" s="71" t="str">
        <f t="array" ref="W70">IFERROR(VLOOKUP(O70,{Indices_iTru!B:C;Indices_NEBNext!E:F;Indices_QIAseq!D:E},2,FALSE),"")</f>
        <v/>
      </c>
      <c r="X70" s="56" t="str">
        <f t="shared" si="5"/>
        <v>__+_R1.fastq.gz</v>
      </c>
      <c r="Y70" s="56" t="str">
        <f t="shared" si="6"/>
        <v>__+_R2.fastq.gz</v>
      </c>
    </row>
    <row r="71" ht="15.75" customHeight="1">
      <c r="A71" s="36">
        <v>69.0</v>
      </c>
      <c r="B71" s="97"/>
      <c r="C71" s="39"/>
      <c r="D71" s="43"/>
      <c r="E71" s="43"/>
      <c r="F71" s="43"/>
      <c r="G71" s="45">
        <f t="shared" si="1"/>
        <v>0</v>
      </c>
      <c r="H71" s="45">
        <f t="shared" si="2"/>
        <v>100</v>
      </c>
      <c r="I71" s="45">
        <f t="shared" si="3"/>
        <v>0</v>
      </c>
      <c r="J71" s="45"/>
      <c r="K71" s="45">
        <f t="shared" si="4"/>
        <v>0</v>
      </c>
      <c r="L71" s="51" t="s">
        <v>365</v>
      </c>
      <c r="M71" s="144"/>
      <c r="N71" s="51" t="s">
        <v>365</v>
      </c>
      <c r="O71" s="246"/>
      <c r="P71" s="223"/>
      <c r="Q71" s="247" t="str">
        <f>IF(ISBLANK(CONTROLE!$B$3),"","CMMZ_P"&amp;CONTROLE!$B$3&amp;"_0"&amp;A71)</f>
        <v>CMMZ_P18_069</v>
      </c>
      <c r="R71" s="56" t="str">
        <f>IF(ISBLANK(CONTROLE!$B$3),"","P"&amp;CONTROLE!$B$3&amp;"_0"&amp;A71)</f>
        <v>P18_069</v>
      </c>
      <c r="S71" s="56" t="str">
        <f>"CMMZ_P"&amp;CONTROLE!$B$3&amp;"_"&amp;TEXT(A72,"00")&amp;"_"&amp;TEXT(B71,"ddMMMyy")</f>
        <v>CMMZ_P18_70_30Dec99</v>
      </c>
      <c r="T71" s="71" t="str">
        <f t="array" ref="T71">IFERROR(VLOOKUP(M71,{Indices_iTru!B:C;Indices_NEBNext!C:D;Indices_QIAseq!B:C},1,FALSE),"")</f>
        <v/>
      </c>
      <c r="U71" s="71" t="str">
        <f t="array" ref="U71">IFERROR(VLOOKUP(M71,{Indices_iTru!B:C;Indices_NEBNext!C:D;Indices_QIAseq!B:C},2,FALSE),"")</f>
        <v/>
      </c>
      <c r="V71" s="71" t="str">
        <f t="array" ref="V71">IFERROR(VLOOKUP(O71,{Indices_iTru!B:C;Indices_NEBNext!E:F;Indices_QIAseq!D:E},1,FALSE),"")</f>
        <v/>
      </c>
      <c r="W71" s="71" t="str">
        <f t="array" ref="W71">IFERROR(VLOOKUP(O71,{Indices_iTru!B:C;Indices_NEBNext!E:F;Indices_QIAseq!D:E},2,FALSE),"")</f>
        <v/>
      </c>
      <c r="X71" s="56" t="str">
        <f t="shared" si="5"/>
        <v>__+_R1.fastq.gz</v>
      </c>
      <c r="Y71" s="56" t="str">
        <f t="shared" si="6"/>
        <v>__+_R2.fastq.gz</v>
      </c>
    </row>
    <row r="72" ht="15.75" customHeight="1">
      <c r="A72" s="36">
        <v>70.0</v>
      </c>
      <c r="B72" s="97"/>
      <c r="C72" s="39"/>
      <c r="D72" s="43"/>
      <c r="E72" s="43"/>
      <c r="F72" s="43"/>
      <c r="G72" s="45">
        <f t="shared" si="1"/>
        <v>0</v>
      </c>
      <c r="H72" s="45">
        <f t="shared" si="2"/>
        <v>100</v>
      </c>
      <c r="I72" s="45">
        <f t="shared" si="3"/>
        <v>0</v>
      </c>
      <c r="J72" s="45"/>
      <c r="K72" s="45">
        <f t="shared" si="4"/>
        <v>0</v>
      </c>
      <c r="L72" s="51" t="s">
        <v>366</v>
      </c>
      <c r="M72" s="144"/>
      <c r="N72" s="51" t="s">
        <v>366</v>
      </c>
      <c r="O72" s="246"/>
      <c r="P72" s="223"/>
      <c r="Q72" s="247" t="str">
        <f>IF(ISBLANK(CONTROLE!$B$3),"","CMMZ_P"&amp;CONTROLE!$B$3&amp;"_0"&amp;A72)</f>
        <v>CMMZ_P18_070</v>
      </c>
      <c r="R72" s="56" t="str">
        <f>IF(ISBLANK(CONTROLE!$B$3),"","P"&amp;CONTROLE!$B$3&amp;"_0"&amp;A72)</f>
        <v>P18_070</v>
      </c>
      <c r="S72" s="56" t="str">
        <f>"CMMZ_P"&amp;CONTROLE!$B$3&amp;"_"&amp;TEXT(A73,"00")&amp;"_"&amp;TEXT(B72,"ddMMMyy")</f>
        <v>CMMZ_P18_71_30Dec99</v>
      </c>
      <c r="T72" s="71" t="str">
        <f t="array" ref="T72">IFERROR(VLOOKUP(M72,{Indices_iTru!B:C;Indices_NEBNext!C:D;Indices_QIAseq!B:C},1,FALSE),"")</f>
        <v/>
      </c>
      <c r="U72" s="71" t="str">
        <f t="array" ref="U72">IFERROR(VLOOKUP(M72,{Indices_iTru!B:C;Indices_NEBNext!C:D;Indices_QIAseq!B:C},2,FALSE),"")</f>
        <v/>
      </c>
      <c r="V72" s="71" t="str">
        <f t="array" ref="V72">IFERROR(VLOOKUP(O72,{Indices_iTru!B:C;Indices_NEBNext!E:F;Indices_QIAseq!D:E},1,FALSE),"")</f>
        <v/>
      </c>
      <c r="W72" s="71" t="str">
        <f t="array" ref="W72">IFERROR(VLOOKUP(O72,{Indices_iTru!B:C;Indices_NEBNext!E:F;Indices_QIAseq!D:E},2,FALSE),"")</f>
        <v/>
      </c>
      <c r="X72" s="56" t="str">
        <f t="shared" si="5"/>
        <v>__+_R1.fastq.gz</v>
      </c>
      <c r="Y72" s="56" t="str">
        <f t="shared" si="6"/>
        <v>__+_R2.fastq.gz</v>
      </c>
    </row>
    <row r="73" ht="15.75" customHeight="1">
      <c r="A73" s="36">
        <v>71.0</v>
      </c>
      <c r="B73" s="97"/>
      <c r="C73" s="39"/>
      <c r="D73" s="43"/>
      <c r="E73" s="43"/>
      <c r="F73" s="43"/>
      <c r="G73" s="45">
        <f t="shared" si="1"/>
        <v>0</v>
      </c>
      <c r="H73" s="45">
        <f t="shared" si="2"/>
        <v>100</v>
      </c>
      <c r="I73" s="45">
        <f t="shared" si="3"/>
        <v>0</v>
      </c>
      <c r="J73" s="45"/>
      <c r="K73" s="45">
        <f t="shared" si="4"/>
        <v>0</v>
      </c>
      <c r="L73" s="51" t="s">
        <v>367</v>
      </c>
      <c r="M73" s="144"/>
      <c r="N73" s="51" t="s">
        <v>367</v>
      </c>
      <c r="O73" s="246"/>
      <c r="P73" s="223"/>
      <c r="Q73" s="247" t="str">
        <f>IF(ISBLANK(CONTROLE!$B$3),"","CMMZ_P"&amp;CONTROLE!$B$3&amp;"_0"&amp;A73)</f>
        <v>CMMZ_P18_071</v>
      </c>
      <c r="R73" s="56" t="str">
        <f>IF(ISBLANK(CONTROLE!$B$3),"","P"&amp;CONTROLE!$B$3&amp;"_0"&amp;A73)</f>
        <v>P18_071</v>
      </c>
      <c r="S73" s="56" t="str">
        <f>"CMMZ_P"&amp;CONTROLE!$B$3&amp;"_"&amp;TEXT(A74,"00")&amp;"_"&amp;TEXT(B73,"ddMMMyy")</f>
        <v>CMMZ_P18_72_30Dec99</v>
      </c>
      <c r="T73" s="71" t="str">
        <f t="array" ref="T73">IFERROR(VLOOKUP(M73,{Indices_iTru!B:C;Indices_NEBNext!C:D;Indices_QIAseq!B:C},1,FALSE),"")</f>
        <v/>
      </c>
      <c r="U73" s="71" t="str">
        <f t="array" ref="U73">IFERROR(VLOOKUP(M73,{Indices_iTru!B:C;Indices_NEBNext!C:D;Indices_QIAseq!B:C},2,FALSE),"")</f>
        <v/>
      </c>
      <c r="V73" s="71" t="str">
        <f t="array" ref="V73">IFERROR(VLOOKUP(O73,{Indices_iTru!B:C;Indices_NEBNext!E:F;Indices_QIAseq!D:E},1,FALSE),"")</f>
        <v/>
      </c>
      <c r="W73" s="71" t="str">
        <f t="array" ref="W73">IFERROR(VLOOKUP(O73,{Indices_iTru!B:C;Indices_NEBNext!E:F;Indices_QIAseq!D:E},2,FALSE),"")</f>
        <v/>
      </c>
      <c r="X73" s="56" t="str">
        <f t="shared" si="5"/>
        <v>__+_R1.fastq.gz</v>
      </c>
      <c r="Y73" s="56" t="str">
        <f t="shared" si="6"/>
        <v>__+_R2.fastq.gz</v>
      </c>
    </row>
    <row r="74" ht="15.75" customHeight="1">
      <c r="A74" s="36">
        <v>72.0</v>
      </c>
      <c r="B74" s="97"/>
      <c r="C74" s="39"/>
      <c r="D74" s="43"/>
      <c r="E74" s="43"/>
      <c r="F74" s="43"/>
      <c r="G74" s="45">
        <f t="shared" si="1"/>
        <v>0</v>
      </c>
      <c r="H74" s="45">
        <f t="shared" si="2"/>
        <v>100</v>
      </c>
      <c r="I74" s="45">
        <f t="shared" si="3"/>
        <v>0</v>
      </c>
      <c r="J74" s="45"/>
      <c r="K74" s="45">
        <f t="shared" si="4"/>
        <v>0</v>
      </c>
      <c r="L74" s="51" t="s">
        <v>368</v>
      </c>
      <c r="M74" s="144"/>
      <c r="N74" s="51" t="s">
        <v>368</v>
      </c>
      <c r="O74" s="246"/>
      <c r="P74" s="184"/>
      <c r="Q74" s="247" t="str">
        <f>IF(ISBLANK(CONTROLE!$B$3),"","CMMZ_P"&amp;CONTROLE!$B$3&amp;"_0"&amp;A74)</f>
        <v>CMMZ_P18_072</v>
      </c>
      <c r="R74" s="56" t="str">
        <f>IF(ISBLANK(CONTROLE!$B$3),"","P"&amp;CONTROLE!$B$3&amp;"_0"&amp;A74)</f>
        <v>P18_072</v>
      </c>
      <c r="S74" s="56" t="str">
        <f>"CMMZ_P"&amp;CONTROLE!$B$3&amp;"_"&amp;TEXT(A75,"00")&amp;"_"&amp;TEXT(B74,"ddMMMyy")</f>
        <v>CMMZ_P18_73_30Dec99</v>
      </c>
      <c r="T74" s="71" t="str">
        <f t="array" ref="T74">IFERROR(VLOOKUP(M74,{Indices_iTru!B:C;Indices_NEBNext!C:D;Indices_QIAseq!B:C},1,FALSE),"")</f>
        <v/>
      </c>
      <c r="U74" s="71" t="str">
        <f t="array" ref="U74">IFERROR(VLOOKUP(M74,{Indices_iTru!B:C;Indices_NEBNext!C:D;Indices_QIAseq!B:C},2,FALSE),"")</f>
        <v/>
      </c>
      <c r="V74" s="71" t="str">
        <f t="array" ref="V74">IFERROR(VLOOKUP(O74,{Indices_iTru!B:C;Indices_NEBNext!E:F;Indices_QIAseq!D:E},1,FALSE),"")</f>
        <v/>
      </c>
      <c r="W74" s="71" t="str">
        <f t="array" ref="W74">IFERROR(VLOOKUP(O74,{Indices_iTru!B:C;Indices_NEBNext!E:F;Indices_QIAseq!D:E},2,FALSE),"")</f>
        <v/>
      </c>
      <c r="X74" s="56" t="str">
        <f t="shared" si="5"/>
        <v>__+_R1.fastq.gz</v>
      </c>
      <c r="Y74" s="56" t="str">
        <f t="shared" si="6"/>
        <v>__+_R2.fastq.gz</v>
      </c>
    </row>
    <row r="75" ht="15.75" customHeight="1">
      <c r="A75" s="36">
        <v>73.0</v>
      </c>
      <c r="B75" s="97"/>
      <c r="C75" s="39"/>
      <c r="D75" s="43"/>
      <c r="E75" s="43"/>
      <c r="F75" s="43"/>
      <c r="G75" s="45">
        <f t="shared" si="1"/>
        <v>0</v>
      </c>
      <c r="H75" s="45">
        <f t="shared" si="2"/>
        <v>100</v>
      </c>
      <c r="I75" s="45">
        <f t="shared" si="3"/>
        <v>0</v>
      </c>
      <c r="J75" s="45"/>
      <c r="K75" s="45">
        <f t="shared" si="4"/>
        <v>0</v>
      </c>
      <c r="L75" s="51" t="s">
        <v>369</v>
      </c>
      <c r="M75" s="144"/>
      <c r="N75" s="51" t="s">
        <v>369</v>
      </c>
      <c r="O75" s="246"/>
      <c r="P75" s="223"/>
      <c r="Q75" s="247" t="str">
        <f>IF(ISBLANK(CONTROLE!$B$3),"","CMMZ_P"&amp;CONTROLE!$B$3&amp;"_0"&amp;A75)</f>
        <v>CMMZ_P18_073</v>
      </c>
      <c r="R75" s="56" t="str">
        <f>IF(ISBLANK(CONTROLE!$B$3),"","P"&amp;CONTROLE!$B$3&amp;"_0"&amp;A75)</f>
        <v>P18_073</v>
      </c>
      <c r="S75" s="56" t="str">
        <f>"CMMZ_P"&amp;CONTROLE!$B$3&amp;"_"&amp;TEXT(A76,"00")&amp;"_"&amp;TEXT(B75,"ddMMMyy")</f>
        <v>CMMZ_P18_74_30Dec99</v>
      </c>
      <c r="T75" s="71" t="str">
        <f t="array" ref="T75">IFERROR(VLOOKUP(M75,{Indices_iTru!B:C;Indices_NEBNext!C:D;Indices_QIAseq!B:C},1,FALSE),"")</f>
        <v/>
      </c>
      <c r="U75" s="71" t="str">
        <f t="array" ref="U75">IFERROR(VLOOKUP(M75,{Indices_iTru!B:C;Indices_NEBNext!C:D;Indices_QIAseq!B:C},2,FALSE),"")</f>
        <v/>
      </c>
      <c r="V75" s="71" t="str">
        <f t="array" ref="V75">IFERROR(VLOOKUP(O75,{Indices_iTru!B:C;Indices_NEBNext!E:F;Indices_QIAseq!D:E},1,FALSE),"")</f>
        <v/>
      </c>
      <c r="W75" s="71" t="str">
        <f t="array" ref="W75">IFERROR(VLOOKUP(O75,{Indices_iTru!B:C;Indices_NEBNext!E:F;Indices_QIAseq!D:E},2,FALSE),"")</f>
        <v/>
      </c>
      <c r="X75" s="56" t="str">
        <f t="shared" si="5"/>
        <v>__+_R1.fastq.gz</v>
      </c>
      <c r="Y75" s="56" t="str">
        <f t="shared" si="6"/>
        <v>__+_R2.fastq.gz</v>
      </c>
    </row>
    <row r="76" ht="15.75" customHeight="1">
      <c r="A76" s="36">
        <v>74.0</v>
      </c>
      <c r="B76" s="97"/>
      <c r="C76" s="39"/>
      <c r="D76" s="43"/>
      <c r="E76" s="43"/>
      <c r="F76" s="43"/>
      <c r="G76" s="45">
        <f t="shared" si="1"/>
        <v>0</v>
      </c>
      <c r="H76" s="45">
        <f t="shared" si="2"/>
        <v>100</v>
      </c>
      <c r="I76" s="45">
        <f t="shared" si="3"/>
        <v>0</v>
      </c>
      <c r="J76" s="45"/>
      <c r="K76" s="45">
        <f t="shared" si="4"/>
        <v>0</v>
      </c>
      <c r="L76" s="51" t="s">
        <v>370</v>
      </c>
      <c r="M76" s="144"/>
      <c r="N76" s="51" t="s">
        <v>370</v>
      </c>
      <c r="O76" s="246"/>
      <c r="P76" s="184"/>
      <c r="Q76" s="247" t="str">
        <f>IF(ISBLANK(CONTROLE!$B$3),"","CMMZ_P"&amp;CONTROLE!$B$3&amp;"_0"&amp;A76)</f>
        <v>CMMZ_P18_074</v>
      </c>
      <c r="R76" s="56" t="str">
        <f>IF(ISBLANK(CONTROLE!$B$3),"","P"&amp;CONTROLE!$B$3&amp;"_0"&amp;A76)</f>
        <v>P18_074</v>
      </c>
      <c r="S76" s="56" t="str">
        <f>"CMMZ_P"&amp;CONTROLE!$B$3&amp;"_"&amp;TEXT(A77,"00")&amp;"_"&amp;TEXT(B76,"ddMMMyy")</f>
        <v>CMMZ_P18_75_30Dec99</v>
      </c>
      <c r="T76" s="71" t="str">
        <f t="array" ref="T76">IFERROR(VLOOKUP(M76,{Indices_iTru!B:C;Indices_NEBNext!C:D;Indices_QIAseq!B:C},1,FALSE),"")</f>
        <v/>
      </c>
      <c r="U76" s="71" t="str">
        <f t="array" ref="U76">IFERROR(VLOOKUP(M76,{Indices_iTru!B:C;Indices_NEBNext!C:D;Indices_QIAseq!B:C},2,FALSE),"")</f>
        <v/>
      </c>
      <c r="V76" s="71" t="str">
        <f t="array" ref="V76">IFERROR(VLOOKUP(O76,{Indices_iTru!B:C;Indices_NEBNext!E:F;Indices_QIAseq!D:E},1,FALSE),"")</f>
        <v/>
      </c>
      <c r="W76" s="71" t="str">
        <f t="array" ref="W76">IFERROR(VLOOKUP(O76,{Indices_iTru!B:C;Indices_NEBNext!E:F;Indices_QIAseq!D:E},2,FALSE),"")</f>
        <v/>
      </c>
      <c r="X76" s="56" t="str">
        <f t="shared" si="5"/>
        <v>__+_R1.fastq.gz</v>
      </c>
      <c r="Y76" s="56" t="str">
        <f t="shared" si="6"/>
        <v>__+_R2.fastq.gz</v>
      </c>
    </row>
    <row r="77" ht="15.75" customHeight="1">
      <c r="A77" s="36">
        <v>75.0</v>
      </c>
      <c r="B77" s="97"/>
      <c r="C77" s="39"/>
      <c r="D77" s="43"/>
      <c r="E77" s="43"/>
      <c r="F77" s="43"/>
      <c r="G77" s="45">
        <f t="shared" si="1"/>
        <v>0</v>
      </c>
      <c r="H77" s="45">
        <f t="shared" si="2"/>
        <v>100</v>
      </c>
      <c r="I77" s="45">
        <f t="shared" si="3"/>
        <v>0</v>
      </c>
      <c r="J77" s="45"/>
      <c r="K77" s="45">
        <f t="shared" si="4"/>
        <v>0</v>
      </c>
      <c r="L77" s="51" t="s">
        <v>371</v>
      </c>
      <c r="M77" s="144"/>
      <c r="N77" s="51" t="s">
        <v>371</v>
      </c>
      <c r="O77" s="246"/>
      <c r="P77" s="223"/>
      <c r="Q77" s="247" t="str">
        <f>IF(ISBLANK(CONTROLE!$B$3),"","CMMZ_P"&amp;CONTROLE!$B$3&amp;"_0"&amp;A77)</f>
        <v>CMMZ_P18_075</v>
      </c>
      <c r="R77" s="56" t="str">
        <f>IF(ISBLANK(CONTROLE!$B$3),"","P"&amp;CONTROLE!$B$3&amp;"_0"&amp;A77)</f>
        <v>P18_075</v>
      </c>
      <c r="S77" s="56" t="str">
        <f>"CMMZ_P"&amp;CONTROLE!$B$3&amp;"_"&amp;TEXT(A78,"00")&amp;"_"&amp;TEXT(B77,"ddMMMyy")</f>
        <v>CMMZ_P18_76_30Dec99</v>
      </c>
      <c r="T77" s="71" t="str">
        <f t="array" ref="T77">IFERROR(VLOOKUP(M77,{Indices_iTru!B:C;Indices_NEBNext!C:D;Indices_QIAseq!B:C},1,FALSE),"")</f>
        <v/>
      </c>
      <c r="U77" s="71" t="str">
        <f t="array" ref="U77">IFERROR(VLOOKUP(M77,{Indices_iTru!B:C;Indices_NEBNext!C:D;Indices_QIAseq!B:C},2,FALSE),"")</f>
        <v/>
      </c>
      <c r="V77" s="71" t="str">
        <f t="array" ref="V77">IFERROR(VLOOKUP(O77,{Indices_iTru!B:C;Indices_NEBNext!E:F;Indices_QIAseq!D:E},1,FALSE),"")</f>
        <v/>
      </c>
      <c r="W77" s="71" t="str">
        <f t="array" ref="W77">IFERROR(VLOOKUP(O77,{Indices_iTru!B:C;Indices_NEBNext!E:F;Indices_QIAseq!D:E},2,FALSE),"")</f>
        <v/>
      </c>
      <c r="X77" s="56" t="str">
        <f t="shared" si="5"/>
        <v>__+_R1.fastq.gz</v>
      </c>
      <c r="Y77" s="56" t="str">
        <f t="shared" si="6"/>
        <v>__+_R2.fastq.gz</v>
      </c>
    </row>
    <row r="78" ht="15.75" customHeight="1">
      <c r="A78" s="36">
        <v>76.0</v>
      </c>
      <c r="B78" s="97"/>
      <c r="C78" s="39"/>
      <c r="D78" s="43"/>
      <c r="E78" s="43"/>
      <c r="F78" s="43"/>
      <c r="G78" s="45">
        <f t="shared" si="1"/>
        <v>0</v>
      </c>
      <c r="H78" s="45">
        <f t="shared" si="2"/>
        <v>100</v>
      </c>
      <c r="I78" s="45">
        <f t="shared" si="3"/>
        <v>0</v>
      </c>
      <c r="J78" s="45"/>
      <c r="K78" s="45">
        <f t="shared" si="4"/>
        <v>0</v>
      </c>
      <c r="L78" s="51" t="s">
        <v>372</v>
      </c>
      <c r="M78" s="144"/>
      <c r="N78" s="51" t="s">
        <v>372</v>
      </c>
      <c r="O78" s="246"/>
      <c r="P78" s="223"/>
      <c r="Q78" s="247" t="str">
        <f>IF(ISBLANK(CONTROLE!$B$3),"","CMMZ_P"&amp;CONTROLE!$B$3&amp;"_0"&amp;A78)</f>
        <v>CMMZ_P18_076</v>
      </c>
      <c r="R78" s="56" t="str">
        <f>IF(ISBLANK(CONTROLE!$B$3),"","P"&amp;CONTROLE!$B$3&amp;"_0"&amp;A78)</f>
        <v>P18_076</v>
      </c>
      <c r="S78" s="56" t="str">
        <f>"CMMZ_P"&amp;CONTROLE!$B$3&amp;"_"&amp;TEXT(A79,"00")&amp;"_"&amp;TEXT(B78,"ddMMMyy")</f>
        <v>CMMZ_P18_77_30Dec99</v>
      </c>
      <c r="T78" s="71" t="str">
        <f t="array" ref="T78">IFERROR(VLOOKUP(M78,{Indices_iTru!B:C;Indices_NEBNext!C:D;Indices_QIAseq!B:C},1,FALSE),"")</f>
        <v/>
      </c>
      <c r="U78" s="71" t="str">
        <f t="array" ref="U78">IFERROR(VLOOKUP(M78,{Indices_iTru!B:C;Indices_NEBNext!C:D;Indices_QIAseq!B:C},2,FALSE),"")</f>
        <v/>
      </c>
      <c r="V78" s="71" t="str">
        <f t="array" ref="V78">IFERROR(VLOOKUP(O78,{Indices_iTru!B:C;Indices_NEBNext!E:F;Indices_QIAseq!D:E},1,FALSE),"")</f>
        <v/>
      </c>
      <c r="W78" s="71" t="str">
        <f t="array" ref="W78">IFERROR(VLOOKUP(O78,{Indices_iTru!B:C;Indices_NEBNext!E:F;Indices_QIAseq!D:E},2,FALSE),"")</f>
        <v/>
      </c>
      <c r="X78" s="56" t="str">
        <f t="shared" si="5"/>
        <v>__+_R1.fastq.gz</v>
      </c>
      <c r="Y78" s="56" t="str">
        <f t="shared" si="6"/>
        <v>__+_R2.fastq.gz</v>
      </c>
    </row>
    <row r="79" ht="15.75" customHeight="1">
      <c r="A79" s="36">
        <v>77.0</v>
      </c>
      <c r="B79" s="97"/>
      <c r="C79" s="39"/>
      <c r="D79" s="43"/>
      <c r="E79" s="43"/>
      <c r="F79" s="43"/>
      <c r="G79" s="45">
        <f t="shared" si="1"/>
        <v>0</v>
      </c>
      <c r="H79" s="45">
        <f t="shared" si="2"/>
        <v>100</v>
      </c>
      <c r="I79" s="45">
        <f t="shared" si="3"/>
        <v>0</v>
      </c>
      <c r="J79" s="45"/>
      <c r="K79" s="45">
        <f t="shared" si="4"/>
        <v>0</v>
      </c>
      <c r="L79" s="51" t="s">
        <v>373</v>
      </c>
      <c r="M79" s="144"/>
      <c r="N79" s="51" t="s">
        <v>373</v>
      </c>
      <c r="O79" s="246"/>
      <c r="P79" s="223"/>
      <c r="Q79" s="247" t="str">
        <f>IF(ISBLANK(CONTROLE!$B$3),"","CMMZ_P"&amp;CONTROLE!$B$3&amp;"_0"&amp;A79)</f>
        <v>CMMZ_P18_077</v>
      </c>
      <c r="R79" s="56" t="str">
        <f>IF(ISBLANK(CONTROLE!$B$3),"","P"&amp;CONTROLE!$B$3&amp;"_0"&amp;A79)</f>
        <v>P18_077</v>
      </c>
      <c r="S79" s="56" t="str">
        <f>"CMMZ_P"&amp;CONTROLE!$B$3&amp;"_"&amp;TEXT(A80,"00")&amp;"_"&amp;TEXT(B79,"ddMMMyy")</f>
        <v>CMMZ_P18_78_30Dec99</v>
      </c>
      <c r="T79" s="71" t="str">
        <f t="array" ref="T79">IFERROR(VLOOKUP(M79,{Indices_iTru!B:C;Indices_NEBNext!C:D;Indices_QIAseq!B:C},1,FALSE),"")</f>
        <v/>
      </c>
      <c r="U79" s="71" t="str">
        <f t="array" ref="U79">IFERROR(VLOOKUP(M79,{Indices_iTru!B:C;Indices_NEBNext!C:D;Indices_QIAseq!B:C},2,FALSE),"")</f>
        <v/>
      </c>
      <c r="V79" s="71" t="str">
        <f t="array" ref="V79">IFERROR(VLOOKUP(O79,{Indices_iTru!B:C;Indices_NEBNext!E:F;Indices_QIAseq!D:E},1,FALSE),"")</f>
        <v/>
      </c>
      <c r="W79" s="71" t="str">
        <f t="array" ref="W79">IFERROR(VLOOKUP(O79,{Indices_iTru!B:C;Indices_NEBNext!E:F;Indices_QIAseq!D:E},2,FALSE),"")</f>
        <v/>
      </c>
      <c r="X79" s="56" t="str">
        <f t="shared" si="5"/>
        <v>__+_R1.fastq.gz</v>
      </c>
      <c r="Y79" s="56" t="str">
        <f t="shared" si="6"/>
        <v>__+_R2.fastq.gz</v>
      </c>
    </row>
    <row r="80" ht="15.75" customHeight="1">
      <c r="A80" s="36">
        <v>78.0</v>
      </c>
      <c r="B80" s="97"/>
      <c r="C80" s="39"/>
      <c r="D80" s="43"/>
      <c r="E80" s="43"/>
      <c r="F80" s="43"/>
      <c r="G80" s="45">
        <f t="shared" si="1"/>
        <v>0</v>
      </c>
      <c r="H80" s="45">
        <f t="shared" si="2"/>
        <v>100</v>
      </c>
      <c r="I80" s="45">
        <f t="shared" si="3"/>
        <v>0</v>
      </c>
      <c r="J80" s="45"/>
      <c r="K80" s="45">
        <f t="shared" si="4"/>
        <v>0</v>
      </c>
      <c r="L80" s="51" t="s">
        <v>374</v>
      </c>
      <c r="M80" s="144"/>
      <c r="N80" s="51" t="s">
        <v>374</v>
      </c>
      <c r="O80" s="246"/>
      <c r="P80" s="223"/>
      <c r="Q80" s="247" t="str">
        <f>IF(ISBLANK(CONTROLE!$B$3),"","CMMZ_P"&amp;CONTROLE!$B$3&amp;"_0"&amp;A80)</f>
        <v>CMMZ_P18_078</v>
      </c>
      <c r="R80" s="56" t="str">
        <f>IF(ISBLANK(CONTROLE!$B$3),"","P"&amp;CONTROLE!$B$3&amp;"_0"&amp;A80)</f>
        <v>P18_078</v>
      </c>
      <c r="S80" s="56" t="str">
        <f>"CMMZ_P"&amp;CONTROLE!$B$3&amp;"_"&amp;TEXT(A81,"00")&amp;"_"&amp;TEXT(B80,"ddMMMyy")</f>
        <v>CMMZ_P18_79_30Dec99</v>
      </c>
      <c r="T80" s="71" t="str">
        <f t="array" ref="T80">IFERROR(VLOOKUP(M80,{Indices_iTru!B:C;Indices_NEBNext!C:D;Indices_QIAseq!B:C},1,FALSE),"")</f>
        <v/>
      </c>
      <c r="U80" s="71" t="str">
        <f t="array" ref="U80">IFERROR(VLOOKUP(M80,{Indices_iTru!B:C;Indices_NEBNext!C:D;Indices_QIAseq!B:C},2,FALSE),"")</f>
        <v/>
      </c>
      <c r="V80" s="71" t="str">
        <f t="array" ref="V80">IFERROR(VLOOKUP(O80,{Indices_iTru!B:C;Indices_NEBNext!E:F;Indices_QIAseq!D:E},1,FALSE),"")</f>
        <v/>
      </c>
      <c r="W80" s="71" t="str">
        <f t="array" ref="W80">IFERROR(VLOOKUP(O80,{Indices_iTru!B:C;Indices_NEBNext!E:F;Indices_QIAseq!D:E},2,FALSE),"")</f>
        <v/>
      </c>
      <c r="X80" s="56" t="str">
        <f t="shared" si="5"/>
        <v>__+_R1.fastq.gz</v>
      </c>
      <c r="Y80" s="56" t="str">
        <f t="shared" si="6"/>
        <v>__+_R2.fastq.gz</v>
      </c>
    </row>
    <row r="81" ht="15.75" customHeight="1">
      <c r="A81" s="36">
        <v>79.0</v>
      </c>
      <c r="B81" s="97"/>
      <c r="C81" s="39"/>
      <c r="D81" s="43"/>
      <c r="E81" s="43"/>
      <c r="F81" s="43"/>
      <c r="G81" s="45">
        <f t="shared" si="1"/>
        <v>0</v>
      </c>
      <c r="H81" s="45">
        <f t="shared" si="2"/>
        <v>100</v>
      </c>
      <c r="I81" s="45">
        <f t="shared" si="3"/>
        <v>0</v>
      </c>
      <c r="J81" s="45"/>
      <c r="K81" s="45">
        <f t="shared" si="4"/>
        <v>0</v>
      </c>
      <c r="L81" s="51" t="s">
        <v>375</v>
      </c>
      <c r="M81" s="144"/>
      <c r="N81" s="51" t="s">
        <v>375</v>
      </c>
      <c r="O81" s="246"/>
      <c r="P81" s="223"/>
      <c r="Q81" s="247" t="str">
        <f>IF(ISBLANK(CONTROLE!$B$3),"","CMMZ_P"&amp;CONTROLE!$B$3&amp;"_0"&amp;A81)</f>
        <v>CMMZ_P18_079</v>
      </c>
      <c r="R81" s="56" t="str">
        <f>IF(ISBLANK(CONTROLE!$B$3),"","P"&amp;CONTROLE!$B$3&amp;"_0"&amp;A81)</f>
        <v>P18_079</v>
      </c>
      <c r="S81" s="56" t="str">
        <f>"CMMZ_P"&amp;CONTROLE!$B$3&amp;"_"&amp;TEXT(A82,"00")&amp;"_"&amp;TEXT(B81,"ddMMMyy")</f>
        <v>CMMZ_P18_80_30Dec99</v>
      </c>
      <c r="T81" s="71" t="str">
        <f t="array" ref="T81">IFERROR(VLOOKUP(M81,{Indices_iTru!B:C;Indices_NEBNext!C:D;Indices_QIAseq!B:C},1,FALSE),"")</f>
        <v/>
      </c>
      <c r="U81" s="71" t="str">
        <f t="array" ref="U81">IFERROR(VLOOKUP(M81,{Indices_iTru!B:C;Indices_NEBNext!C:D;Indices_QIAseq!B:C},2,FALSE),"")</f>
        <v/>
      </c>
      <c r="V81" s="71" t="str">
        <f t="array" ref="V81">IFERROR(VLOOKUP(O81,{Indices_iTru!B:C;Indices_NEBNext!E:F;Indices_QIAseq!D:E},1,FALSE),"")</f>
        <v/>
      </c>
      <c r="W81" s="71" t="str">
        <f t="array" ref="W81">IFERROR(VLOOKUP(O81,{Indices_iTru!B:C;Indices_NEBNext!E:F;Indices_QIAseq!D:E},2,FALSE),"")</f>
        <v/>
      </c>
      <c r="X81" s="56" t="str">
        <f t="shared" si="5"/>
        <v>__+_R1.fastq.gz</v>
      </c>
      <c r="Y81" s="56" t="str">
        <f t="shared" si="6"/>
        <v>__+_R2.fastq.gz</v>
      </c>
    </row>
    <row r="82" ht="15.75" customHeight="1">
      <c r="A82" s="36">
        <v>80.0</v>
      </c>
      <c r="B82" s="97"/>
      <c r="C82" s="39"/>
      <c r="D82" s="43"/>
      <c r="E82" s="43"/>
      <c r="F82" s="43"/>
      <c r="G82" s="45">
        <f t="shared" si="1"/>
        <v>0</v>
      </c>
      <c r="H82" s="45">
        <f t="shared" si="2"/>
        <v>100</v>
      </c>
      <c r="I82" s="45">
        <f t="shared" si="3"/>
        <v>0</v>
      </c>
      <c r="J82" s="45"/>
      <c r="K82" s="45">
        <f t="shared" si="4"/>
        <v>0</v>
      </c>
      <c r="L82" s="51" t="s">
        <v>376</v>
      </c>
      <c r="M82" s="144"/>
      <c r="N82" s="51" t="s">
        <v>376</v>
      </c>
      <c r="O82" s="246"/>
      <c r="P82" s="223"/>
      <c r="Q82" s="247" t="str">
        <f>IF(ISBLANK(CONTROLE!$B$3),"","CMMZ_P"&amp;CONTROLE!$B$3&amp;"_0"&amp;A82)</f>
        <v>CMMZ_P18_080</v>
      </c>
      <c r="R82" s="56" t="str">
        <f>IF(ISBLANK(CONTROLE!$B$3),"","P"&amp;CONTROLE!$B$3&amp;"_0"&amp;A82)</f>
        <v>P18_080</v>
      </c>
      <c r="S82" s="56" t="str">
        <f>"CMMZ_P"&amp;CONTROLE!$B$3&amp;"_"&amp;TEXT(A83,"00")&amp;"_"&amp;TEXT(B82,"ddMMMyy")</f>
        <v>CMMZ_P18_81_30Dec99</v>
      </c>
      <c r="T82" s="71" t="str">
        <f t="array" ref="T82">IFERROR(VLOOKUP(M82,{Indices_iTru!B:C;Indices_NEBNext!C:D;Indices_QIAseq!B:C},1,FALSE),"")</f>
        <v/>
      </c>
      <c r="U82" s="71" t="str">
        <f t="array" ref="U82">IFERROR(VLOOKUP(M82,{Indices_iTru!B:C;Indices_NEBNext!C:D;Indices_QIAseq!B:C},2,FALSE),"")</f>
        <v/>
      </c>
      <c r="V82" s="71" t="str">
        <f t="array" ref="V82">IFERROR(VLOOKUP(O82,{Indices_iTru!B:C;Indices_NEBNext!E:F;Indices_QIAseq!D:E},1,FALSE),"")</f>
        <v/>
      </c>
      <c r="W82" s="71" t="str">
        <f t="array" ref="W82">IFERROR(VLOOKUP(O82,{Indices_iTru!B:C;Indices_NEBNext!E:F;Indices_QIAseq!D:E},2,FALSE),"")</f>
        <v/>
      </c>
      <c r="X82" s="56" t="str">
        <f t="shared" si="5"/>
        <v>__+_R1.fastq.gz</v>
      </c>
      <c r="Y82" s="56" t="str">
        <f t="shared" si="6"/>
        <v>__+_R2.fastq.gz</v>
      </c>
    </row>
    <row r="83" ht="15.75" customHeight="1">
      <c r="A83" s="36">
        <v>81.0</v>
      </c>
      <c r="B83" s="97"/>
      <c r="C83" s="39"/>
      <c r="D83" s="43"/>
      <c r="E83" s="43"/>
      <c r="F83" s="43"/>
      <c r="G83" s="45">
        <f t="shared" si="1"/>
        <v>0</v>
      </c>
      <c r="H83" s="45">
        <f t="shared" si="2"/>
        <v>100</v>
      </c>
      <c r="I83" s="45">
        <f t="shared" si="3"/>
        <v>0</v>
      </c>
      <c r="J83" s="45"/>
      <c r="K83" s="45">
        <f t="shared" si="4"/>
        <v>0</v>
      </c>
      <c r="L83" s="51" t="s">
        <v>377</v>
      </c>
      <c r="M83" s="144"/>
      <c r="N83" s="51" t="s">
        <v>377</v>
      </c>
      <c r="O83" s="246"/>
      <c r="P83" s="223"/>
      <c r="Q83" s="247" t="str">
        <f>IF(ISBLANK(CONTROLE!$B$3),"","CMMZ_P"&amp;CONTROLE!$B$3&amp;"_0"&amp;A83)</f>
        <v>CMMZ_P18_081</v>
      </c>
      <c r="R83" s="56" t="str">
        <f>IF(ISBLANK(CONTROLE!$B$3),"","P"&amp;CONTROLE!$B$3&amp;"_0"&amp;A83)</f>
        <v>P18_081</v>
      </c>
      <c r="S83" s="56" t="str">
        <f>"CMMZ_P"&amp;CONTROLE!$B$3&amp;"_"&amp;TEXT(A84,"00")&amp;"_"&amp;TEXT(B83,"ddMMMyy")</f>
        <v>CMMZ_P18_82_30Dec99</v>
      </c>
      <c r="T83" s="71" t="str">
        <f t="array" ref="T83">IFERROR(VLOOKUP(M83,{Indices_iTru!B:C;Indices_NEBNext!C:D;Indices_QIAseq!B:C},1,FALSE),"")</f>
        <v/>
      </c>
      <c r="U83" s="71" t="str">
        <f t="array" ref="U83">IFERROR(VLOOKUP(M83,{Indices_iTru!B:C;Indices_NEBNext!C:D;Indices_QIAseq!B:C},2,FALSE),"")</f>
        <v/>
      </c>
      <c r="V83" s="71" t="str">
        <f t="array" ref="V83">IFERROR(VLOOKUP(O83,{Indices_iTru!B:C;Indices_NEBNext!E:F;Indices_QIAseq!D:E},1,FALSE),"")</f>
        <v/>
      </c>
      <c r="W83" s="71" t="str">
        <f t="array" ref="W83">IFERROR(VLOOKUP(O83,{Indices_iTru!B:C;Indices_NEBNext!E:F;Indices_QIAseq!D:E},2,FALSE),"")</f>
        <v/>
      </c>
      <c r="X83" s="56" t="str">
        <f t="shared" si="5"/>
        <v>__+_R1.fastq.gz</v>
      </c>
      <c r="Y83" s="56" t="str">
        <f t="shared" si="6"/>
        <v>__+_R2.fastq.gz</v>
      </c>
    </row>
    <row r="84" ht="15.75" customHeight="1">
      <c r="A84" s="36">
        <v>82.0</v>
      </c>
      <c r="B84" s="97"/>
      <c r="C84" s="39"/>
      <c r="D84" s="43"/>
      <c r="E84" s="43"/>
      <c r="F84" s="43"/>
      <c r="G84" s="45">
        <f t="shared" si="1"/>
        <v>0</v>
      </c>
      <c r="H84" s="45">
        <f t="shared" si="2"/>
        <v>100</v>
      </c>
      <c r="I84" s="45">
        <f t="shared" si="3"/>
        <v>0</v>
      </c>
      <c r="J84" s="45"/>
      <c r="K84" s="45">
        <f t="shared" si="4"/>
        <v>0</v>
      </c>
      <c r="L84" s="51" t="s">
        <v>378</v>
      </c>
      <c r="M84" s="144"/>
      <c r="N84" s="51" t="s">
        <v>378</v>
      </c>
      <c r="O84" s="246"/>
      <c r="P84" s="223"/>
      <c r="Q84" s="247" t="str">
        <f>IF(ISBLANK(CONTROLE!$B$3),"","CMMZ_P"&amp;CONTROLE!$B$3&amp;"_0"&amp;A84)</f>
        <v>CMMZ_P18_082</v>
      </c>
      <c r="R84" s="56" t="str">
        <f>IF(ISBLANK(CONTROLE!$B$3),"","P"&amp;CONTROLE!$B$3&amp;"_0"&amp;A84)</f>
        <v>P18_082</v>
      </c>
      <c r="S84" s="56" t="str">
        <f>"CMMZ_P"&amp;CONTROLE!$B$3&amp;"_"&amp;TEXT(A85,"00")&amp;"_"&amp;TEXT(B84,"ddMMMyy")</f>
        <v>CMMZ_P18_83_30Dec99</v>
      </c>
      <c r="T84" s="71" t="str">
        <f t="array" ref="T84">IFERROR(VLOOKUP(M84,{Indices_iTru!B:C;Indices_NEBNext!C:D;Indices_QIAseq!B:C},1,FALSE),"")</f>
        <v/>
      </c>
      <c r="U84" s="71" t="str">
        <f t="array" ref="U84">IFERROR(VLOOKUP(M84,{Indices_iTru!B:C;Indices_NEBNext!C:D;Indices_QIAseq!B:C},2,FALSE),"")</f>
        <v/>
      </c>
      <c r="V84" s="71" t="str">
        <f t="array" ref="V84">IFERROR(VLOOKUP(O84,{Indices_iTru!B:C;Indices_NEBNext!E:F;Indices_QIAseq!D:E},1,FALSE),"")</f>
        <v/>
      </c>
      <c r="W84" s="71" t="str">
        <f t="array" ref="W84">IFERROR(VLOOKUP(O84,{Indices_iTru!B:C;Indices_NEBNext!E:F;Indices_QIAseq!D:E},2,FALSE),"")</f>
        <v/>
      </c>
      <c r="X84" s="56" t="str">
        <f t="shared" si="5"/>
        <v>__+_R1.fastq.gz</v>
      </c>
      <c r="Y84" s="56" t="str">
        <f t="shared" si="6"/>
        <v>__+_R2.fastq.gz</v>
      </c>
    </row>
    <row r="85" ht="15.75" customHeight="1">
      <c r="A85" s="36">
        <v>83.0</v>
      </c>
      <c r="B85" s="97"/>
      <c r="C85" s="39"/>
      <c r="D85" s="43"/>
      <c r="E85" s="43"/>
      <c r="F85" s="43"/>
      <c r="G85" s="45">
        <f t="shared" si="1"/>
        <v>0</v>
      </c>
      <c r="H85" s="45">
        <f t="shared" si="2"/>
        <v>100</v>
      </c>
      <c r="I85" s="45">
        <f t="shared" si="3"/>
        <v>0</v>
      </c>
      <c r="J85" s="45"/>
      <c r="K85" s="45">
        <f t="shared" si="4"/>
        <v>0</v>
      </c>
      <c r="L85" s="51" t="s">
        <v>379</v>
      </c>
      <c r="M85" s="144"/>
      <c r="N85" s="51" t="s">
        <v>379</v>
      </c>
      <c r="O85" s="246"/>
      <c r="P85" s="223"/>
      <c r="Q85" s="247" t="str">
        <f>IF(ISBLANK(CONTROLE!$B$3),"","CMMZ_P"&amp;CONTROLE!$B$3&amp;"_0"&amp;A85)</f>
        <v>CMMZ_P18_083</v>
      </c>
      <c r="R85" s="56" t="str">
        <f>IF(ISBLANK(CONTROLE!$B$3),"","P"&amp;CONTROLE!$B$3&amp;"_0"&amp;A85)</f>
        <v>P18_083</v>
      </c>
      <c r="S85" s="56" t="str">
        <f>"CMMZ_P"&amp;CONTROLE!$B$3&amp;"_"&amp;TEXT(A86,"00")&amp;"_"&amp;TEXT(B85,"ddMMMyy")</f>
        <v>CMMZ_P18_84_30Dec99</v>
      </c>
      <c r="T85" s="71" t="str">
        <f t="array" ref="T85">IFERROR(VLOOKUP(M85,{Indices_iTru!B:C;Indices_NEBNext!C:D;Indices_QIAseq!B:C},1,FALSE),"")</f>
        <v/>
      </c>
      <c r="U85" s="71" t="str">
        <f t="array" ref="U85">IFERROR(VLOOKUP(M85,{Indices_iTru!B:C;Indices_NEBNext!C:D;Indices_QIAseq!B:C},2,FALSE),"")</f>
        <v/>
      </c>
      <c r="V85" s="71" t="str">
        <f t="array" ref="V85">IFERROR(VLOOKUP(O85,{Indices_iTru!B:C;Indices_NEBNext!E:F;Indices_QIAseq!D:E},1,FALSE),"")</f>
        <v/>
      </c>
      <c r="W85" s="71" t="str">
        <f t="array" ref="W85">IFERROR(VLOOKUP(O85,{Indices_iTru!B:C;Indices_NEBNext!E:F;Indices_QIAseq!D:E},2,FALSE),"")</f>
        <v/>
      </c>
      <c r="X85" s="56" t="str">
        <f t="shared" si="5"/>
        <v>__+_R1.fastq.gz</v>
      </c>
      <c r="Y85" s="56" t="str">
        <f t="shared" si="6"/>
        <v>__+_R2.fastq.gz</v>
      </c>
    </row>
    <row r="86" ht="15.75" customHeight="1">
      <c r="A86" s="36">
        <v>84.0</v>
      </c>
      <c r="B86" s="97"/>
      <c r="C86" s="39"/>
      <c r="D86" s="43"/>
      <c r="E86" s="43"/>
      <c r="F86" s="43"/>
      <c r="G86" s="45">
        <f t="shared" si="1"/>
        <v>0</v>
      </c>
      <c r="H86" s="45">
        <f t="shared" si="2"/>
        <v>100</v>
      </c>
      <c r="I86" s="45">
        <f t="shared" si="3"/>
        <v>0</v>
      </c>
      <c r="J86" s="45"/>
      <c r="K86" s="45">
        <f t="shared" si="4"/>
        <v>0</v>
      </c>
      <c r="L86" s="51" t="s">
        <v>380</v>
      </c>
      <c r="M86" s="144"/>
      <c r="N86" s="51" t="s">
        <v>380</v>
      </c>
      <c r="O86" s="246"/>
      <c r="P86" s="184"/>
      <c r="Q86" s="247" t="str">
        <f>IF(ISBLANK(CONTROLE!$B$3),"","CMMZ_P"&amp;CONTROLE!$B$3&amp;"_0"&amp;A86)</f>
        <v>CMMZ_P18_084</v>
      </c>
      <c r="R86" s="56" t="str">
        <f>IF(ISBLANK(CONTROLE!$B$3),"","P"&amp;CONTROLE!$B$3&amp;"_0"&amp;A86)</f>
        <v>P18_084</v>
      </c>
      <c r="S86" s="56" t="str">
        <f>"CMMZ_P"&amp;CONTROLE!$B$3&amp;"_"&amp;TEXT(A87,"00")&amp;"_"&amp;TEXT(B86,"ddMMMyy")</f>
        <v>CMMZ_P18_85_30Dec99</v>
      </c>
      <c r="T86" s="71" t="str">
        <f t="array" ref="T86">IFERROR(VLOOKUP(M86,{Indices_iTru!B:C;Indices_NEBNext!C:D;Indices_QIAseq!B:C},1,FALSE),"")</f>
        <v/>
      </c>
      <c r="U86" s="71" t="str">
        <f t="array" ref="U86">IFERROR(VLOOKUP(M86,{Indices_iTru!B:C;Indices_NEBNext!C:D;Indices_QIAseq!B:C},2,FALSE),"")</f>
        <v/>
      </c>
      <c r="V86" s="71" t="str">
        <f t="array" ref="V86">IFERROR(VLOOKUP(O86,{Indices_iTru!B:C;Indices_NEBNext!E:F;Indices_QIAseq!D:E},1,FALSE),"")</f>
        <v/>
      </c>
      <c r="W86" s="71" t="str">
        <f t="array" ref="W86">IFERROR(VLOOKUP(O86,{Indices_iTru!B:C;Indices_NEBNext!E:F;Indices_QIAseq!D:E},2,FALSE),"")</f>
        <v/>
      </c>
      <c r="X86" s="56" t="str">
        <f t="shared" si="5"/>
        <v>__+_R1.fastq.gz</v>
      </c>
      <c r="Y86" s="56" t="str">
        <f t="shared" si="6"/>
        <v>__+_R2.fastq.gz</v>
      </c>
    </row>
    <row r="87" ht="15.75" customHeight="1">
      <c r="A87" s="36">
        <v>85.0</v>
      </c>
      <c r="B87" s="97"/>
      <c r="C87" s="39"/>
      <c r="D87" s="43"/>
      <c r="E87" s="43"/>
      <c r="F87" s="43"/>
      <c r="G87" s="45">
        <f t="shared" si="1"/>
        <v>0</v>
      </c>
      <c r="H87" s="45">
        <f t="shared" si="2"/>
        <v>100</v>
      </c>
      <c r="I87" s="45">
        <f t="shared" si="3"/>
        <v>0</v>
      </c>
      <c r="J87" s="45"/>
      <c r="K87" s="45">
        <f t="shared" si="4"/>
        <v>0</v>
      </c>
      <c r="L87" s="51" t="s">
        <v>381</v>
      </c>
      <c r="M87" s="144"/>
      <c r="N87" s="51" t="s">
        <v>381</v>
      </c>
      <c r="O87" s="246"/>
      <c r="P87" s="223"/>
      <c r="Q87" s="247" t="str">
        <f>IF(ISBLANK(CONTROLE!$B$3),"","CMMZ_P"&amp;CONTROLE!$B$3&amp;"_0"&amp;A87)</f>
        <v>CMMZ_P18_085</v>
      </c>
      <c r="R87" s="56" t="str">
        <f>IF(ISBLANK(CONTROLE!$B$3),"","P"&amp;CONTROLE!$B$3&amp;"_0"&amp;A87)</f>
        <v>P18_085</v>
      </c>
      <c r="S87" s="56" t="str">
        <f>"CMMZ_P"&amp;CONTROLE!$B$3&amp;"_"&amp;TEXT(A88,"00")&amp;"_"&amp;TEXT(B87,"ddMMMyy")</f>
        <v>CMMZ_P18_86_30Dec99</v>
      </c>
      <c r="T87" s="71" t="str">
        <f t="array" ref="T87">IFERROR(VLOOKUP(M87,{Indices_iTru!B:C;Indices_NEBNext!C:D;Indices_QIAseq!B:C},1,FALSE),"")</f>
        <v/>
      </c>
      <c r="U87" s="71" t="str">
        <f t="array" ref="U87">IFERROR(VLOOKUP(M87,{Indices_iTru!B:C;Indices_NEBNext!C:D;Indices_QIAseq!B:C},2,FALSE),"")</f>
        <v/>
      </c>
      <c r="V87" s="71" t="str">
        <f t="array" ref="V87">IFERROR(VLOOKUP(O87,{Indices_iTru!B:C;Indices_NEBNext!E:F;Indices_QIAseq!D:E},1,FALSE),"")</f>
        <v/>
      </c>
      <c r="W87" s="71" t="str">
        <f t="array" ref="W87">IFERROR(VLOOKUP(O87,{Indices_iTru!B:C;Indices_NEBNext!E:F;Indices_QIAseq!D:E},2,FALSE),"")</f>
        <v/>
      </c>
      <c r="X87" s="56" t="str">
        <f t="shared" si="5"/>
        <v>__+_R1.fastq.gz</v>
      </c>
      <c r="Y87" s="56" t="str">
        <f t="shared" si="6"/>
        <v>__+_R2.fastq.gz</v>
      </c>
    </row>
    <row r="88" ht="15.75" customHeight="1">
      <c r="A88" s="36">
        <v>86.0</v>
      </c>
      <c r="B88" s="97"/>
      <c r="C88" s="39"/>
      <c r="D88" s="43"/>
      <c r="E88" s="43"/>
      <c r="F88" s="43"/>
      <c r="G88" s="45">
        <f t="shared" si="1"/>
        <v>0</v>
      </c>
      <c r="H88" s="45">
        <f t="shared" si="2"/>
        <v>100</v>
      </c>
      <c r="I88" s="45">
        <f t="shared" si="3"/>
        <v>0</v>
      </c>
      <c r="J88" s="45"/>
      <c r="K88" s="45">
        <f t="shared" si="4"/>
        <v>0</v>
      </c>
      <c r="L88" s="51" t="s">
        <v>382</v>
      </c>
      <c r="M88" s="144"/>
      <c r="N88" s="51" t="s">
        <v>382</v>
      </c>
      <c r="O88" s="246"/>
      <c r="P88" s="223"/>
      <c r="Q88" s="247" t="str">
        <f>IF(ISBLANK(CONTROLE!$B$3),"","CMMZ_P"&amp;CONTROLE!$B$3&amp;"_0"&amp;A88)</f>
        <v>CMMZ_P18_086</v>
      </c>
      <c r="R88" s="56" t="str">
        <f>IF(ISBLANK(CONTROLE!$B$3),"","P"&amp;CONTROLE!$B$3&amp;"_0"&amp;A88)</f>
        <v>P18_086</v>
      </c>
      <c r="S88" s="56" t="str">
        <f>"CMMZ_P"&amp;CONTROLE!$B$3&amp;"_"&amp;TEXT(A89,"00")&amp;"_"&amp;TEXT(B88,"ddMMMyy")</f>
        <v>CMMZ_P18_87_30Dec99</v>
      </c>
      <c r="T88" s="71" t="str">
        <f t="array" ref="T88">IFERROR(VLOOKUP(M88,{Indices_iTru!B:C;Indices_NEBNext!C:D;Indices_QIAseq!B:C},1,FALSE),"")</f>
        <v/>
      </c>
      <c r="U88" s="71" t="str">
        <f t="array" ref="U88">IFERROR(VLOOKUP(M88,{Indices_iTru!B:C;Indices_NEBNext!C:D;Indices_QIAseq!B:C},2,FALSE),"")</f>
        <v/>
      </c>
      <c r="V88" s="71" t="str">
        <f t="array" ref="V88">IFERROR(VLOOKUP(O88,{Indices_iTru!B:C;Indices_NEBNext!E:F;Indices_QIAseq!D:E},1,FALSE),"")</f>
        <v/>
      </c>
      <c r="W88" s="71" t="str">
        <f t="array" ref="W88">IFERROR(VLOOKUP(O88,{Indices_iTru!B:C;Indices_NEBNext!E:F;Indices_QIAseq!D:E},2,FALSE),"")</f>
        <v/>
      </c>
      <c r="X88" s="56" t="str">
        <f t="shared" si="5"/>
        <v>__+_R1.fastq.gz</v>
      </c>
      <c r="Y88" s="56" t="str">
        <f t="shared" si="6"/>
        <v>__+_R2.fastq.gz</v>
      </c>
    </row>
    <row r="89" ht="15.75" customHeight="1">
      <c r="A89" s="36">
        <v>87.0</v>
      </c>
      <c r="B89" s="97"/>
      <c r="C89" s="39"/>
      <c r="D89" s="43"/>
      <c r="E89" s="43"/>
      <c r="F89" s="43"/>
      <c r="G89" s="45">
        <f t="shared" si="1"/>
        <v>0</v>
      </c>
      <c r="H89" s="45">
        <f t="shared" si="2"/>
        <v>100</v>
      </c>
      <c r="I89" s="45">
        <f t="shared" si="3"/>
        <v>0</v>
      </c>
      <c r="J89" s="45"/>
      <c r="K89" s="45">
        <f t="shared" si="4"/>
        <v>0</v>
      </c>
      <c r="L89" s="51" t="s">
        <v>383</v>
      </c>
      <c r="M89" s="144"/>
      <c r="N89" s="51" t="s">
        <v>383</v>
      </c>
      <c r="O89" s="246"/>
      <c r="P89" s="223"/>
      <c r="Q89" s="247" t="str">
        <f>IF(ISBLANK(CONTROLE!$B$3),"","CMMZ_P"&amp;CONTROLE!$B$3&amp;"_0"&amp;A89)</f>
        <v>CMMZ_P18_087</v>
      </c>
      <c r="R89" s="56" t="str">
        <f>IF(ISBLANK(CONTROLE!$B$3),"","P"&amp;CONTROLE!$B$3&amp;"_0"&amp;A89)</f>
        <v>P18_087</v>
      </c>
      <c r="S89" s="56" t="str">
        <f>"CMMZ_P"&amp;CONTROLE!$B$3&amp;"_"&amp;TEXT(A90,"00")&amp;"_"&amp;TEXT(B89,"ddMMMyy")</f>
        <v>CMMZ_P18_88_30Dec99</v>
      </c>
      <c r="T89" s="71" t="str">
        <f t="array" ref="T89">IFERROR(VLOOKUP(M89,{Indices_iTru!B:C;Indices_NEBNext!C:D;Indices_QIAseq!B:C},1,FALSE),"")</f>
        <v/>
      </c>
      <c r="U89" s="71" t="str">
        <f t="array" ref="U89">IFERROR(VLOOKUP(M89,{Indices_iTru!B:C;Indices_NEBNext!C:D;Indices_QIAseq!B:C},2,FALSE),"")</f>
        <v/>
      </c>
      <c r="V89" s="71" t="str">
        <f t="array" ref="V89">IFERROR(VLOOKUP(O89,{Indices_iTru!B:C;Indices_NEBNext!E:F;Indices_QIAseq!D:E},1,FALSE),"")</f>
        <v/>
      </c>
      <c r="W89" s="71" t="str">
        <f t="array" ref="W89">IFERROR(VLOOKUP(O89,{Indices_iTru!B:C;Indices_NEBNext!E:F;Indices_QIAseq!D:E},2,FALSE),"")</f>
        <v/>
      </c>
      <c r="X89" s="56" t="str">
        <f t="shared" si="5"/>
        <v>__+_R1.fastq.gz</v>
      </c>
      <c r="Y89" s="56" t="str">
        <f t="shared" si="6"/>
        <v>__+_R2.fastq.gz</v>
      </c>
    </row>
    <row r="90" ht="15.75" customHeight="1">
      <c r="A90" s="36">
        <v>88.0</v>
      </c>
      <c r="B90" s="97"/>
      <c r="C90" s="39"/>
      <c r="D90" s="43"/>
      <c r="E90" s="43"/>
      <c r="F90" s="43"/>
      <c r="G90" s="45">
        <f t="shared" si="1"/>
        <v>0</v>
      </c>
      <c r="H90" s="45">
        <f t="shared" si="2"/>
        <v>100</v>
      </c>
      <c r="I90" s="45">
        <f t="shared" si="3"/>
        <v>0</v>
      </c>
      <c r="J90" s="45"/>
      <c r="K90" s="45">
        <f t="shared" si="4"/>
        <v>0</v>
      </c>
      <c r="L90" s="51" t="s">
        <v>384</v>
      </c>
      <c r="M90" s="144"/>
      <c r="N90" s="51" t="s">
        <v>384</v>
      </c>
      <c r="O90" s="246"/>
      <c r="P90" s="223"/>
      <c r="Q90" s="247" t="str">
        <f>IF(ISBLANK(CONTROLE!$B$3),"","CMMZ_P"&amp;CONTROLE!$B$3&amp;"_0"&amp;A90)</f>
        <v>CMMZ_P18_088</v>
      </c>
      <c r="R90" s="56" t="str">
        <f>IF(ISBLANK(CONTROLE!$B$3),"","P"&amp;CONTROLE!$B$3&amp;"_0"&amp;A90)</f>
        <v>P18_088</v>
      </c>
      <c r="S90" s="56" t="str">
        <f>"CMMZ_P"&amp;CONTROLE!$B$3&amp;"_"&amp;TEXT(A91,"00")&amp;"_"&amp;TEXT(B90,"ddMMMyy")</f>
        <v>CMMZ_P18_89_30Dec99</v>
      </c>
      <c r="T90" s="71" t="str">
        <f t="array" ref="T90">IFERROR(VLOOKUP(M90,{Indices_iTru!B:C;Indices_NEBNext!C:D;Indices_QIAseq!B:C},1,FALSE),"")</f>
        <v/>
      </c>
      <c r="U90" s="71" t="str">
        <f t="array" ref="U90">IFERROR(VLOOKUP(M90,{Indices_iTru!B:C;Indices_NEBNext!C:D;Indices_QIAseq!B:C},2,FALSE),"")</f>
        <v/>
      </c>
      <c r="V90" s="71" t="str">
        <f t="array" ref="V90">IFERROR(VLOOKUP(O90,{Indices_iTru!B:C;Indices_NEBNext!E:F;Indices_QIAseq!D:E},1,FALSE),"")</f>
        <v/>
      </c>
      <c r="W90" s="71" t="str">
        <f t="array" ref="W90">IFERROR(VLOOKUP(O90,{Indices_iTru!B:C;Indices_NEBNext!E:F;Indices_QIAseq!D:E},2,FALSE),"")</f>
        <v/>
      </c>
      <c r="X90" s="56" t="str">
        <f t="shared" si="5"/>
        <v>__+_R1.fastq.gz</v>
      </c>
      <c r="Y90" s="56" t="str">
        <f t="shared" si="6"/>
        <v>__+_R2.fastq.gz</v>
      </c>
    </row>
    <row r="91" ht="15.75" customHeight="1">
      <c r="A91" s="36">
        <v>89.0</v>
      </c>
      <c r="B91" s="97"/>
      <c r="C91" s="39"/>
      <c r="D91" s="43"/>
      <c r="E91" s="43"/>
      <c r="F91" s="43"/>
      <c r="G91" s="45">
        <f t="shared" si="1"/>
        <v>0</v>
      </c>
      <c r="H91" s="45">
        <f t="shared" si="2"/>
        <v>100</v>
      </c>
      <c r="I91" s="45">
        <f t="shared" si="3"/>
        <v>0</v>
      </c>
      <c r="J91" s="45"/>
      <c r="K91" s="45">
        <f t="shared" si="4"/>
        <v>0</v>
      </c>
      <c r="L91" s="51" t="s">
        <v>385</v>
      </c>
      <c r="M91" s="144"/>
      <c r="N91" s="51" t="s">
        <v>385</v>
      </c>
      <c r="O91" s="246"/>
      <c r="P91" s="223"/>
      <c r="Q91" s="247" t="str">
        <f>IF(ISBLANK(CONTROLE!$B$3),"","CMMZ_P"&amp;CONTROLE!$B$3&amp;"_0"&amp;A91)</f>
        <v>CMMZ_P18_089</v>
      </c>
      <c r="R91" s="56" t="str">
        <f>IF(ISBLANK(CONTROLE!$B$3),"","P"&amp;CONTROLE!$B$3&amp;"_0"&amp;A91)</f>
        <v>P18_089</v>
      </c>
      <c r="S91" s="56" t="str">
        <f>"CMMZ_P"&amp;CONTROLE!$B$3&amp;"_"&amp;TEXT(A92,"00")&amp;"_"&amp;TEXT(B91,"ddMMMyy")</f>
        <v>CMMZ_P18_90_30Dec99</v>
      </c>
      <c r="T91" s="71" t="str">
        <f t="array" ref="T91">IFERROR(VLOOKUP(M91,{Indices_iTru!B:C;Indices_NEBNext!C:D;Indices_QIAseq!B:C},1,FALSE),"")</f>
        <v/>
      </c>
      <c r="U91" s="71" t="str">
        <f t="array" ref="U91">IFERROR(VLOOKUP(M91,{Indices_iTru!B:C;Indices_NEBNext!C:D;Indices_QIAseq!B:C},2,FALSE),"")</f>
        <v/>
      </c>
      <c r="V91" s="71" t="str">
        <f t="array" ref="V91">IFERROR(VLOOKUP(O91,{Indices_iTru!B:C;Indices_NEBNext!E:F;Indices_QIAseq!D:E},1,FALSE),"")</f>
        <v/>
      </c>
      <c r="W91" s="71" t="str">
        <f t="array" ref="W91">IFERROR(VLOOKUP(O91,{Indices_iTru!B:C;Indices_NEBNext!E:F;Indices_QIAseq!D:E},2,FALSE),"")</f>
        <v/>
      </c>
      <c r="X91" s="56" t="str">
        <f t="shared" si="5"/>
        <v>__+_R1.fastq.gz</v>
      </c>
      <c r="Y91" s="56" t="str">
        <f t="shared" si="6"/>
        <v>__+_R2.fastq.gz</v>
      </c>
    </row>
    <row r="92" ht="15.75" customHeight="1">
      <c r="A92" s="36">
        <v>90.0</v>
      </c>
      <c r="B92" s="97"/>
      <c r="C92" s="39"/>
      <c r="D92" s="43"/>
      <c r="E92" s="43"/>
      <c r="F92" s="43"/>
      <c r="G92" s="45">
        <f t="shared" si="1"/>
        <v>0</v>
      </c>
      <c r="H92" s="45">
        <f t="shared" si="2"/>
        <v>100</v>
      </c>
      <c r="I92" s="45">
        <f t="shared" si="3"/>
        <v>0</v>
      </c>
      <c r="J92" s="45"/>
      <c r="K92" s="45">
        <f t="shared" si="4"/>
        <v>0</v>
      </c>
      <c r="L92" s="51" t="s">
        <v>386</v>
      </c>
      <c r="M92" s="144"/>
      <c r="N92" s="51" t="s">
        <v>386</v>
      </c>
      <c r="O92" s="246"/>
      <c r="P92" s="223"/>
      <c r="Q92" s="247" t="str">
        <f>IF(ISBLANK(CONTROLE!$B$3),"","CMMZ_P"&amp;CONTROLE!$B$3&amp;"_0"&amp;A92)</f>
        <v>CMMZ_P18_090</v>
      </c>
      <c r="R92" s="56" t="str">
        <f>IF(ISBLANK(CONTROLE!$B$3),"","P"&amp;CONTROLE!$B$3&amp;"_0"&amp;A92)</f>
        <v>P18_090</v>
      </c>
      <c r="S92" s="56" t="str">
        <f>"CMMZ_P"&amp;CONTROLE!$B$3&amp;"_"&amp;TEXT(A93,"00")&amp;"_"&amp;TEXT(B92,"ddMMMyy")</f>
        <v>CMMZ_P18_91_30Dec99</v>
      </c>
      <c r="T92" s="71" t="str">
        <f t="array" ref="T92">IFERROR(VLOOKUP(M92,{Indices_iTru!B:C;Indices_NEBNext!C:D;Indices_QIAseq!B:C},1,FALSE),"")</f>
        <v/>
      </c>
      <c r="U92" s="71" t="str">
        <f t="array" ref="U92">IFERROR(VLOOKUP(M92,{Indices_iTru!B:C;Indices_NEBNext!C:D;Indices_QIAseq!B:C},2,FALSE),"")</f>
        <v/>
      </c>
      <c r="V92" s="71" t="str">
        <f t="array" ref="V92">IFERROR(VLOOKUP(O92,{Indices_iTru!B:C;Indices_NEBNext!E:F;Indices_QIAseq!D:E},1,FALSE),"")</f>
        <v/>
      </c>
      <c r="W92" s="71" t="str">
        <f t="array" ref="W92">IFERROR(VLOOKUP(O92,{Indices_iTru!B:C;Indices_NEBNext!E:F;Indices_QIAseq!D:E},2,FALSE),"")</f>
        <v/>
      </c>
      <c r="X92" s="56" t="str">
        <f t="shared" si="5"/>
        <v>__+_R1.fastq.gz</v>
      </c>
      <c r="Y92" s="56" t="str">
        <f t="shared" si="6"/>
        <v>__+_R2.fastq.gz</v>
      </c>
    </row>
    <row r="93" ht="15.75" customHeight="1">
      <c r="A93" s="36">
        <v>91.0</v>
      </c>
      <c r="B93" s="97"/>
      <c r="C93" s="39"/>
      <c r="D93" s="43"/>
      <c r="E93" s="43"/>
      <c r="F93" s="43"/>
      <c r="G93" s="45">
        <f t="shared" si="1"/>
        <v>0</v>
      </c>
      <c r="H93" s="45">
        <f t="shared" si="2"/>
        <v>100</v>
      </c>
      <c r="I93" s="45">
        <f t="shared" si="3"/>
        <v>0</v>
      </c>
      <c r="J93" s="45"/>
      <c r="K93" s="45">
        <f t="shared" si="4"/>
        <v>0</v>
      </c>
      <c r="L93" s="51" t="s">
        <v>387</v>
      </c>
      <c r="M93" s="144"/>
      <c r="N93" s="51" t="s">
        <v>387</v>
      </c>
      <c r="O93" s="246"/>
      <c r="P93" s="223"/>
      <c r="Q93" s="247" t="str">
        <f>IF(ISBLANK(CONTROLE!$B$3),"","CMMZ_P"&amp;CONTROLE!$B$3&amp;"_0"&amp;A93)</f>
        <v>CMMZ_P18_091</v>
      </c>
      <c r="R93" s="56" t="str">
        <f>IF(ISBLANK(CONTROLE!$B$3),"","P"&amp;CONTROLE!$B$3&amp;"_0"&amp;A93)</f>
        <v>P18_091</v>
      </c>
      <c r="S93" s="56" t="str">
        <f>"CMMZ_P"&amp;CONTROLE!$B$3&amp;"_"&amp;TEXT(A94,"00")&amp;"_"&amp;TEXT(B93,"ddMMMyy")</f>
        <v>CMMZ_P18_92_30Dec99</v>
      </c>
      <c r="T93" s="71" t="str">
        <f t="array" ref="T93">IFERROR(VLOOKUP(M93,{Indices_iTru!B:C;Indices_NEBNext!C:D;Indices_QIAseq!B:C},1,FALSE),"")</f>
        <v/>
      </c>
      <c r="U93" s="71" t="str">
        <f t="array" ref="U93">IFERROR(VLOOKUP(M93,{Indices_iTru!B:C;Indices_NEBNext!C:D;Indices_QIAseq!B:C},2,FALSE),"")</f>
        <v/>
      </c>
      <c r="V93" s="71" t="str">
        <f t="array" ref="V93">IFERROR(VLOOKUP(O93,{Indices_iTru!B:C;Indices_NEBNext!E:F;Indices_QIAseq!D:E},1,FALSE),"")</f>
        <v/>
      </c>
      <c r="W93" s="71" t="str">
        <f t="array" ref="W93">IFERROR(VLOOKUP(O93,{Indices_iTru!B:C;Indices_NEBNext!E:F;Indices_QIAseq!D:E},2,FALSE),"")</f>
        <v/>
      </c>
      <c r="X93" s="56" t="str">
        <f t="shared" si="5"/>
        <v>__+_R1.fastq.gz</v>
      </c>
      <c r="Y93" s="56" t="str">
        <f t="shared" si="6"/>
        <v>__+_R2.fastq.gz</v>
      </c>
    </row>
    <row r="94" ht="15.75" customHeight="1">
      <c r="A94" s="36">
        <v>92.0</v>
      </c>
      <c r="B94" s="97"/>
      <c r="C94" s="39"/>
      <c r="D94" s="43"/>
      <c r="E94" s="43"/>
      <c r="F94" s="43"/>
      <c r="G94" s="45">
        <f t="shared" si="1"/>
        <v>0</v>
      </c>
      <c r="H94" s="45">
        <f t="shared" si="2"/>
        <v>100</v>
      </c>
      <c r="I94" s="45">
        <f t="shared" si="3"/>
        <v>0</v>
      </c>
      <c r="J94" s="45"/>
      <c r="K94" s="45">
        <f t="shared" si="4"/>
        <v>0</v>
      </c>
      <c r="L94" s="51" t="s">
        <v>388</v>
      </c>
      <c r="M94" s="144"/>
      <c r="N94" s="51" t="s">
        <v>388</v>
      </c>
      <c r="O94" s="246"/>
      <c r="P94" s="223"/>
      <c r="Q94" s="247" t="str">
        <f>IF(ISBLANK(CONTROLE!$B$3),"","CMMZ_P"&amp;CONTROLE!$B$3&amp;"_0"&amp;A94)</f>
        <v>CMMZ_P18_092</v>
      </c>
      <c r="R94" s="56" t="str">
        <f>IF(ISBLANK(CONTROLE!$B$3),"","P"&amp;CONTROLE!$B$3&amp;"_0"&amp;A94)</f>
        <v>P18_092</v>
      </c>
      <c r="S94" s="56" t="str">
        <f>"CMMZ_P"&amp;CONTROLE!$B$3&amp;"_"&amp;TEXT(A95,"00")&amp;"_"&amp;TEXT(B94,"ddMMMyy")</f>
        <v>CMMZ_P18_93_30Dec99</v>
      </c>
      <c r="T94" s="71" t="str">
        <f t="array" ref="T94">IFERROR(VLOOKUP(M94,{Indices_iTru!B:C;Indices_NEBNext!C:D;Indices_QIAseq!B:C},1,FALSE),"")</f>
        <v/>
      </c>
      <c r="U94" s="71" t="str">
        <f t="array" ref="U94">IFERROR(VLOOKUP(M94,{Indices_iTru!B:C;Indices_NEBNext!C:D;Indices_QIAseq!B:C},2,FALSE),"")</f>
        <v/>
      </c>
      <c r="V94" s="71" t="str">
        <f t="array" ref="V94">IFERROR(VLOOKUP(O94,{Indices_iTru!B:C;Indices_NEBNext!E:F;Indices_QIAseq!D:E},1,FALSE),"")</f>
        <v/>
      </c>
      <c r="W94" s="71" t="str">
        <f t="array" ref="W94">IFERROR(VLOOKUP(O94,{Indices_iTru!B:C;Indices_NEBNext!E:F;Indices_QIAseq!D:E},2,FALSE),"")</f>
        <v/>
      </c>
      <c r="X94" s="56" t="str">
        <f t="shared" si="5"/>
        <v>__+_R1.fastq.gz</v>
      </c>
      <c r="Y94" s="56" t="str">
        <f t="shared" si="6"/>
        <v>__+_R2.fastq.gz</v>
      </c>
    </row>
    <row r="95" ht="15.75" customHeight="1">
      <c r="A95" s="36">
        <v>93.0</v>
      </c>
      <c r="B95" s="97"/>
      <c r="C95" s="39"/>
      <c r="D95" s="43"/>
      <c r="E95" s="43"/>
      <c r="F95" s="43"/>
      <c r="G95" s="45">
        <f t="shared" si="1"/>
        <v>0</v>
      </c>
      <c r="H95" s="45">
        <f t="shared" si="2"/>
        <v>100</v>
      </c>
      <c r="I95" s="45">
        <f t="shared" si="3"/>
        <v>0</v>
      </c>
      <c r="J95" s="45"/>
      <c r="K95" s="45">
        <f t="shared" si="4"/>
        <v>0</v>
      </c>
      <c r="L95" s="51" t="s">
        <v>389</v>
      </c>
      <c r="M95" s="144"/>
      <c r="N95" s="51" t="s">
        <v>389</v>
      </c>
      <c r="O95" s="246"/>
      <c r="P95" s="184"/>
      <c r="Q95" s="247" t="str">
        <f>IF(ISBLANK(CONTROLE!$B$3),"","CMMZ_P"&amp;CONTROLE!$B$3&amp;"_0"&amp;A95)</f>
        <v>CMMZ_P18_093</v>
      </c>
      <c r="R95" s="56" t="str">
        <f>IF(ISBLANK(CONTROLE!$B$3),"","P"&amp;CONTROLE!$B$3&amp;"_0"&amp;A95)</f>
        <v>P18_093</v>
      </c>
      <c r="S95" s="56" t="str">
        <f>"CMMZ_P"&amp;CONTROLE!$B$3&amp;"_"&amp;TEXT(A96,"00")&amp;"_"&amp;TEXT(B95,"ddMMMyy")</f>
        <v>CMMZ_P18_94_30Dec99</v>
      </c>
      <c r="T95" s="71" t="str">
        <f t="array" ref="T95">IFERROR(VLOOKUP(M95,{Indices_iTru!B:C;Indices_NEBNext!C:D;Indices_QIAseq!B:C},1,FALSE),"")</f>
        <v/>
      </c>
      <c r="U95" s="71" t="str">
        <f t="array" ref="U95">IFERROR(VLOOKUP(M95,{Indices_iTru!B:C;Indices_NEBNext!C:D;Indices_QIAseq!B:C},2,FALSE),"")</f>
        <v/>
      </c>
      <c r="V95" s="71" t="str">
        <f t="array" ref="V95">IFERROR(VLOOKUP(O95,{Indices_iTru!B:C;Indices_NEBNext!E:F;Indices_QIAseq!D:E},1,FALSE),"")</f>
        <v/>
      </c>
      <c r="W95" s="71" t="str">
        <f t="array" ref="W95">IFERROR(VLOOKUP(O95,{Indices_iTru!B:C;Indices_NEBNext!E:F;Indices_QIAseq!D:E},2,FALSE),"")</f>
        <v/>
      </c>
      <c r="X95" s="56" t="str">
        <f t="shared" si="5"/>
        <v>__+_R1.fastq.gz</v>
      </c>
      <c r="Y95" s="56" t="str">
        <f t="shared" si="6"/>
        <v>__+_R2.fastq.gz</v>
      </c>
    </row>
    <row r="96" ht="15.75" customHeight="1">
      <c r="A96" s="36">
        <v>94.0</v>
      </c>
      <c r="B96" s="97"/>
      <c r="C96" s="39"/>
      <c r="D96" s="43"/>
      <c r="E96" s="43"/>
      <c r="F96" s="43"/>
      <c r="G96" s="45">
        <f t="shared" si="1"/>
        <v>0</v>
      </c>
      <c r="H96" s="45">
        <f t="shared" si="2"/>
        <v>100</v>
      </c>
      <c r="I96" s="45">
        <f t="shared" si="3"/>
        <v>0</v>
      </c>
      <c r="J96" s="45"/>
      <c r="K96" s="45">
        <f t="shared" si="4"/>
        <v>0</v>
      </c>
      <c r="L96" s="51" t="s">
        <v>390</v>
      </c>
      <c r="M96" s="144"/>
      <c r="N96" s="51" t="s">
        <v>390</v>
      </c>
      <c r="O96" s="246"/>
      <c r="P96" s="223"/>
      <c r="Q96" s="247" t="str">
        <f>IF(ISBLANK(CONTROLE!$B$3),"","CMMZ_P"&amp;CONTROLE!$B$3&amp;"_0"&amp;A96)</f>
        <v>CMMZ_P18_094</v>
      </c>
      <c r="R96" s="56" t="str">
        <f>IF(ISBLANK(CONTROLE!$B$3),"","P"&amp;CONTROLE!$B$3&amp;"_0"&amp;A96)</f>
        <v>P18_094</v>
      </c>
      <c r="S96" s="56" t="str">
        <f>"CMMZ_P"&amp;CONTROLE!$B$3&amp;"_"&amp;TEXT(A97,"00")&amp;"_"&amp;TEXT(B96,"ddMMMyy")</f>
        <v>CMMZ_P18_95_30Dec99</v>
      </c>
      <c r="T96" s="71" t="str">
        <f t="array" ref="T96">IFERROR(VLOOKUP(M96,{Indices_iTru!B:C;Indices_NEBNext!C:D;Indices_QIAseq!B:C},1,FALSE),"")</f>
        <v/>
      </c>
      <c r="U96" s="71" t="str">
        <f t="array" ref="U96">IFERROR(VLOOKUP(M96,{Indices_iTru!B:C;Indices_NEBNext!C:D;Indices_QIAseq!B:C},2,FALSE),"")</f>
        <v/>
      </c>
      <c r="V96" s="71" t="str">
        <f t="array" ref="V96">IFERROR(VLOOKUP(O96,{Indices_iTru!B:C;Indices_NEBNext!E:F;Indices_QIAseq!D:E},1,FALSE),"")</f>
        <v/>
      </c>
      <c r="W96" s="71" t="str">
        <f t="array" ref="W96">IFERROR(VLOOKUP(O96,{Indices_iTru!B:C;Indices_NEBNext!E:F;Indices_QIAseq!D:E},2,FALSE),"")</f>
        <v/>
      </c>
      <c r="X96" s="56" t="str">
        <f t="shared" si="5"/>
        <v>__+_R1.fastq.gz</v>
      </c>
      <c r="Y96" s="56" t="str">
        <f t="shared" si="6"/>
        <v>__+_R2.fastq.gz</v>
      </c>
    </row>
    <row r="97" ht="15.75" customHeight="1">
      <c r="A97" s="36">
        <v>95.0</v>
      </c>
      <c r="B97" s="97"/>
      <c r="C97" s="39"/>
      <c r="D97" s="43"/>
      <c r="E97" s="43"/>
      <c r="F97" s="43"/>
      <c r="G97" s="45">
        <f t="shared" si="1"/>
        <v>0</v>
      </c>
      <c r="H97" s="45">
        <f t="shared" si="2"/>
        <v>100</v>
      </c>
      <c r="I97" s="45">
        <f t="shared" si="3"/>
        <v>0</v>
      </c>
      <c r="J97" s="45"/>
      <c r="K97" s="45">
        <f t="shared" si="4"/>
        <v>0</v>
      </c>
      <c r="L97" s="51" t="s">
        <v>391</v>
      </c>
      <c r="M97" s="144"/>
      <c r="N97" s="51" t="s">
        <v>391</v>
      </c>
      <c r="O97" s="144"/>
      <c r="P97" s="223"/>
      <c r="Q97" s="56" t="str">
        <f>IF(ISBLANK(CONTROLE!$B$3),"","CMMZ_P"&amp;CONTROLE!$B$3&amp;"_0"&amp;A97)</f>
        <v>CMMZ_P18_095</v>
      </c>
      <c r="R97" s="56" t="str">
        <f>IF(ISBLANK(CONTROLE!$B$3),"","P"&amp;CONTROLE!$B$3&amp;"_0"&amp;A97)</f>
        <v>P18_095</v>
      </c>
      <c r="S97" s="56" t="str">
        <f>"CMMZ_P"&amp;CONTROLE!$B$3&amp;"_"&amp;TEXT(A98,"00")&amp;"_"&amp;TEXT(B97,"ddMMMyy")</f>
        <v>CMMZ_P18_96_30Dec99</v>
      </c>
      <c r="T97" s="71" t="str">
        <f t="array" ref="T97">IFERROR(VLOOKUP(M97,{Indices_iTru!B:C;Indices_NEBNext!C:D;Indices_QIAseq!B:C},1,FALSE),"")</f>
        <v/>
      </c>
      <c r="U97" s="71" t="str">
        <f t="array" ref="U97">IFERROR(VLOOKUP(M97,{Indices_iTru!B:C;Indices_NEBNext!C:D;Indices_QIAseq!B:C},2,FALSE),"")</f>
        <v/>
      </c>
      <c r="V97" s="71" t="str">
        <f t="array" ref="V97">IFERROR(VLOOKUP(O97,{Indices_iTru!B:C;Indices_NEBNext!E:F;Indices_QIAseq!D:E},1,FALSE),"")</f>
        <v/>
      </c>
      <c r="W97" s="71" t="str">
        <f t="array" ref="W97">IFERROR(VLOOKUP(O97,{Indices_iTru!B:C;Indices_NEBNext!E:F;Indices_QIAseq!D:E},2,FALSE),"")</f>
        <v/>
      </c>
      <c r="X97" s="56" t="str">
        <f t="shared" si="5"/>
        <v>__+_R1.fastq.gz</v>
      </c>
      <c r="Y97" s="56" t="str">
        <f t="shared" si="6"/>
        <v>__+_R2.fastq.gz</v>
      </c>
    </row>
    <row r="98" ht="15.75" customHeight="1">
      <c r="A98" s="266">
        <v>96.0</v>
      </c>
      <c r="B98" s="267"/>
      <c r="C98" s="268"/>
      <c r="D98" s="269"/>
      <c r="E98" s="43"/>
      <c r="F98" s="43"/>
      <c r="G98" s="45">
        <f t="shared" si="1"/>
        <v>0</v>
      </c>
      <c r="H98" s="45">
        <f t="shared" si="2"/>
        <v>100</v>
      </c>
      <c r="I98" s="45">
        <f t="shared" si="3"/>
        <v>0</v>
      </c>
      <c r="J98" s="45"/>
      <c r="K98" s="45">
        <f t="shared" si="4"/>
        <v>0</v>
      </c>
      <c r="L98" s="270" t="s">
        <v>392</v>
      </c>
      <c r="M98" s="271"/>
      <c r="N98" s="270" t="s">
        <v>392</v>
      </c>
      <c r="O98" s="271"/>
      <c r="P98" s="223"/>
      <c r="Q98" s="56" t="str">
        <f>IF(ISBLANK(CONTROLE!$B$3),"","CMMZ_P"&amp;CONTROLE!$B$3&amp;"_0"&amp;A98)</f>
        <v>CMMZ_P18_096</v>
      </c>
      <c r="R98" s="56" t="str">
        <f>IF(ISBLANK(CONTROLE!$B$3),"","P"&amp;CONTROLE!$B$3&amp;"_0"&amp;A98)</f>
        <v>P18_096</v>
      </c>
      <c r="S98" s="56" t="str">
        <f>"CMMZ_P"&amp;CONTROLE!$B$3&amp;"_"&amp;TEXT(A99,"00")&amp;"_"&amp;TEXT(B98,"ddMMMyy")</f>
        <v>CMMZ_P18_00_30Dec99</v>
      </c>
      <c r="T98" s="71" t="str">
        <f t="array" ref="T98">IFERROR(VLOOKUP(M98,{Indices_iTru!B:C;Indices_NEBNext!C:D;Indices_QIAseq!B:C},1,FALSE),"")</f>
        <v/>
      </c>
      <c r="U98" s="71" t="str">
        <f t="array" ref="U98">IFERROR(VLOOKUP(M98,{Indices_iTru!B:C;Indices_NEBNext!C:D;Indices_QIAseq!B:C},2,FALSE),"")</f>
        <v/>
      </c>
      <c r="V98" s="71" t="str">
        <f t="array" ref="V98">IFERROR(VLOOKUP(O98,{Indices_iTru!B:C;Indices_NEBNext!E:F;Indices_QIAseq!D:E},1,FALSE),"")</f>
        <v/>
      </c>
      <c r="W98" s="71" t="str">
        <f t="array" ref="W98">IFERROR(VLOOKUP(O98,{Indices_iTru!B:C;Indices_NEBNext!E:F;Indices_QIAseq!D:E},2,FALSE),"")</f>
        <v/>
      </c>
      <c r="X98" s="56" t="str">
        <f t="shared" si="5"/>
        <v>__+_R1.fastq.gz</v>
      </c>
      <c r="Y98" s="56" t="str">
        <f t="shared" si="6"/>
        <v>__+_R2.fastq.gz</v>
      </c>
    </row>
    <row r="99">
      <c r="F99" s="272"/>
      <c r="G99" s="272"/>
      <c r="H99" s="272"/>
      <c r="I99" s="272"/>
      <c r="J99" s="272"/>
      <c r="K99" s="273"/>
      <c r="L99" s="273"/>
      <c r="M99" s="273"/>
      <c r="N99" s="273"/>
      <c r="O99" s="273"/>
    </row>
    <row r="100">
      <c r="F100" s="181"/>
      <c r="G100" s="181"/>
      <c r="H100" s="181"/>
      <c r="I100" s="181"/>
      <c r="J100" s="181"/>
      <c r="K100" s="75"/>
      <c r="L100" s="75"/>
      <c r="M100" s="75"/>
      <c r="N100" s="75"/>
      <c r="O100" s="75"/>
    </row>
    <row r="101">
      <c r="F101" s="181"/>
      <c r="G101" s="181"/>
      <c r="H101" s="181"/>
      <c r="I101" s="181"/>
      <c r="J101" s="181"/>
      <c r="K101" s="75"/>
      <c r="L101" s="75"/>
      <c r="M101" s="75"/>
      <c r="N101" s="75"/>
      <c r="O101" s="75"/>
    </row>
    <row r="102">
      <c r="F102" s="181"/>
      <c r="G102" s="181"/>
      <c r="H102" s="181"/>
      <c r="I102" s="181"/>
      <c r="J102" s="181"/>
      <c r="K102" s="75"/>
      <c r="L102" s="75"/>
      <c r="M102" s="75"/>
      <c r="N102" s="75"/>
      <c r="O102" s="75"/>
    </row>
    <row r="103">
      <c r="F103" s="181"/>
      <c r="G103" s="181"/>
      <c r="H103" s="181"/>
      <c r="I103" s="181"/>
      <c r="J103" s="181"/>
      <c r="K103" s="75"/>
      <c r="L103" s="75"/>
      <c r="M103" s="75"/>
      <c r="N103" s="75"/>
      <c r="O103" s="75"/>
    </row>
    <row r="104">
      <c r="F104" s="181"/>
      <c r="G104" s="181"/>
      <c r="H104" s="181"/>
      <c r="I104" s="181"/>
      <c r="J104" s="181"/>
      <c r="K104" s="75"/>
      <c r="L104" s="75"/>
      <c r="M104" s="75"/>
      <c r="N104" s="75"/>
      <c r="O104" s="75"/>
    </row>
    <row r="105">
      <c r="F105" s="181"/>
      <c r="G105" s="181"/>
      <c r="H105" s="181"/>
      <c r="I105" s="181"/>
      <c r="J105" s="181"/>
      <c r="K105" s="75"/>
      <c r="L105" s="75"/>
      <c r="M105" s="75"/>
      <c r="N105" s="75"/>
      <c r="O105" s="75"/>
    </row>
    <row r="106">
      <c r="F106" s="181"/>
      <c r="G106" s="181"/>
      <c r="H106" s="181"/>
      <c r="I106" s="181"/>
      <c r="J106" s="181"/>
      <c r="K106" s="75"/>
      <c r="L106" s="75"/>
      <c r="M106" s="75"/>
      <c r="N106" s="75"/>
      <c r="O106" s="75"/>
    </row>
    <row r="107">
      <c r="F107" s="181"/>
      <c r="G107" s="181"/>
      <c r="H107" s="181"/>
      <c r="I107" s="181"/>
      <c r="J107" s="181"/>
      <c r="K107" s="75"/>
      <c r="L107" s="75"/>
      <c r="M107" s="75"/>
      <c r="N107" s="75"/>
      <c r="O107" s="75"/>
    </row>
    <row r="108">
      <c r="F108" s="181"/>
      <c r="G108" s="181"/>
      <c r="H108" s="181"/>
      <c r="I108" s="181"/>
      <c r="J108" s="181"/>
      <c r="K108" s="75"/>
      <c r="L108" s="75"/>
      <c r="M108" s="75"/>
      <c r="N108" s="75"/>
      <c r="O108" s="75"/>
    </row>
    <row r="109">
      <c r="F109" s="181"/>
      <c r="G109" s="181"/>
      <c r="H109" s="181"/>
      <c r="I109" s="181"/>
      <c r="J109" s="181"/>
      <c r="K109" s="75"/>
      <c r="L109" s="75"/>
      <c r="M109" s="75"/>
      <c r="N109" s="75"/>
      <c r="O109" s="75"/>
    </row>
    <row r="110">
      <c r="F110" s="181"/>
      <c r="G110" s="181"/>
      <c r="H110" s="181"/>
      <c r="I110" s="181"/>
      <c r="J110" s="181"/>
      <c r="K110" s="75"/>
      <c r="L110" s="75"/>
      <c r="M110" s="75"/>
      <c r="N110" s="75"/>
      <c r="O110" s="75"/>
    </row>
    <row r="111">
      <c r="F111" s="181"/>
      <c r="G111" s="181"/>
      <c r="H111" s="181"/>
      <c r="I111" s="181"/>
      <c r="J111" s="181"/>
      <c r="K111" s="75"/>
      <c r="L111" s="75"/>
      <c r="M111" s="75"/>
      <c r="N111" s="75"/>
      <c r="O111" s="75"/>
    </row>
    <row r="112">
      <c r="F112" s="181"/>
      <c r="G112" s="181"/>
      <c r="H112" s="181"/>
      <c r="I112" s="75"/>
      <c r="J112" s="75"/>
      <c r="K112" s="75"/>
      <c r="L112" s="75"/>
      <c r="M112" s="75"/>
      <c r="N112" s="75"/>
      <c r="O112" s="75"/>
    </row>
    <row r="113">
      <c r="F113" s="181"/>
      <c r="G113" s="181"/>
      <c r="H113" s="181"/>
      <c r="I113" s="75"/>
      <c r="J113" s="75"/>
      <c r="K113" s="75"/>
      <c r="L113" s="75"/>
      <c r="M113" s="75"/>
      <c r="N113" s="75"/>
      <c r="O113" s="75"/>
    </row>
    <row r="114">
      <c r="F114" s="181"/>
      <c r="G114" s="181"/>
      <c r="H114" s="181"/>
      <c r="I114" s="75"/>
      <c r="J114" s="75"/>
      <c r="K114" s="75"/>
      <c r="L114" s="75"/>
      <c r="M114" s="75"/>
      <c r="N114" s="75"/>
      <c r="O114" s="75"/>
    </row>
    <row r="115">
      <c r="F115" s="181"/>
      <c r="G115" s="181"/>
      <c r="H115" s="181"/>
      <c r="I115" s="75"/>
      <c r="J115" s="75"/>
      <c r="K115" s="75"/>
      <c r="L115" s="75"/>
      <c r="M115" s="75"/>
      <c r="N115" s="75"/>
      <c r="O115" s="75"/>
    </row>
    <row r="116">
      <c r="F116" s="181"/>
      <c r="G116" s="181"/>
      <c r="H116" s="181"/>
      <c r="I116" s="75"/>
      <c r="J116" s="75"/>
      <c r="K116" s="75"/>
      <c r="L116" s="75"/>
      <c r="M116" s="75"/>
      <c r="N116" s="75"/>
      <c r="O116" s="75"/>
    </row>
    <row r="117">
      <c r="F117" s="181"/>
      <c r="G117" s="181"/>
      <c r="H117" s="181"/>
      <c r="I117" s="75"/>
      <c r="J117" s="75"/>
      <c r="K117" s="75"/>
      <c r="L117" s="75"/>
      <c r="M117" s="75"/>
      <c r="N117" s="75"/>
      <c r="O117" s="75"/>
    </row>
    <row r="118">
      <c r="F118" s="181"/>
      <c r="G118" s="181"/>
      <c r="H118" s="181"/>
      <c r="I118" s="75"/>
      <c r="J118" s="75"/>
      <c r="K118" s="75"/>
      <c r="L118" s="75"/>
      <c r="M118" s="75"/>
      <c r="N118" s="75"/>
      <c r="O118" s="75"/>
    </row>
    <row r="119">
      <c r="F119" s="181"/>
      <c r="G119" s="181"/>
      <c r="H119" s="181"/>
      <c r="I119" s="75"/>
      <c r="J119" s="75"/>
      <c r="K119" s="75"/>
      <c r="L119" s="75"/>
      <c r="M119" s="75"/>
      <c r="N119" s="75"/>
      <c r="O119" s="75"/>
    </row>
    <row r="120">
      <c r="F120" s="181"/>
      <c r="G120" s="181"/>
      <c r="H120" s="181"/>
      <c r="I120" s="75"/>
      <c r="J120" s="75"/>
      <c r="K120" s="75"/>
      <c r="L120" s="75"/>
      <c r="M120" s="75"/>
      <c r="N120" s="75"/>
      <c r="O120" s="75"/>
    </row>
    <row r="121">
      <c r="F121" s="181"/>
      <c r="G121" s="181"/>
      <c r="H121" s="181"/>
      <c r="I121" s="75"/>
      <c r="J121" s="75"/>
      <c r="K121" s="75"/>
      <c r="L121" s="75"/>
      <c r="M121" s="75"/>
      <c r="N121" s="75"/>
      <c r="O121" s="75"/>
    </row>
    <row r="122">
      <c r="F122" s="181"/>
      <c r="G122" s="181"/>
      <c r="H122" s="181"/>
      <c r="I122" s="75"/>
      <c r="J122" s="75"/>
      <c r="K122" s="75"/>
      <c r="L122" s="75"/>
      <c r="M122" s="75"/>
      <c r="N122" s="75"/>
      <c r="O122" s="75"/>
    </row>
    <row r="123">
      <c r="F123" s="181"/>
      <c r="G123" s="181"/>
      <c r="H123" s="181"/>
      <c r="I123" s="75"/>
      <c r="J123" s="75"/>
      <c r="K123" s="75"/>
      <c r="L123" s="75"/>
      <c r="M123" s="75"/>
      <c r="N123" s="75"/>
      <c r="O123" s="75"/>
    </row>
    <row r="124">
      <c r="F124" s="181"/>
      <c r="G124" s="181"/>
      <c r="H124" s="181"/>
      <c r="I124" s="75"/>
      <c r="J124" s="75"/>
      <c r="K124" s="75"/>
      <c r="L124" s="75"/>
      <c r="M124" s="75"/>
      <c r="N124" s="75"/>
      <c r="O124" s="75"/>
    </row>
    <row r="125">
      <c r="F125" s="181"/>
      <c r="G125" s="181"/>
      <c r="H125" s="181"/>
      <c r="I125" s="75"/>
      <c r="J125" s="75"/>
      <c r="K125" s="75"/>
      <c r="L125" s="75"/>
      <c r="M125" s="75"/>
      <c r="N125" s="75"/>
      <c r="O125" s="75"/>
    </row>
    <row r="126">
      <c r="F126" s="181"/>
      <c r="G126" s="181"/>
      <c r="H126" s="181"/>
      <c r="I126" s="75"/>
      <c r="J126" s="75"/>
      <c r="K126" s="75"/>
      <c r="L126" s="75"/>
      <c r="M126" s="75"/>
      <c r="N126" s="75"/>
      <c r="O126" s="75"/>
    </row>
    <row r="127">
      <c r="F127" s="181"/>
      <c r="G127" s="181"/>
      <c r="H127" s="181"/>
      <c r="I127" s="75"/>
      <c r="J127" s="75"/>
      <c r="K127" s="75"/>
      <c r="L127" s="75"/>
      <c r="M127" s="75"/>
      <c r="N127" s="75"/>
      <c r="O127" s="75"/>
    </row>
    <row r="128">
      <c r="F128" s="181"/>
      <c r="G128" s="181"/>
      <c r="H128" s="181"/>
      <c r="I128" s="75"/>
      <c r="J128" s="75"/>
      <c r="K128" s="75"/>
      <c r="L128" s="75"/>
      <c r="M128" s="75"/>
      <c r="N128" s="75"/>
      <c r="O128" s="75"/>
    </row>
    <row r="129">
      <c r="F129" s="181"/>
      <c r="G129" s="181"/>
      <c r="H129" s="181"/>
      <c r="I129" s="75"/>
      <c r="J129" s="75"/>
      <c r="K129" s="75"/>
      <c r="L129" s="75"/>
      <c r="M129" s="75"/>
      <c r="N129" s="75"/>
      <c r="O129" s="75"/>
    </row>
    <row r="130">
      <c r="F130" s="181"/>
      <c r="G130" s="181"/>
      <c r="H130" s="181"/>
      <c r="I130" s="75"/>
      <c r="J130" s="75"/>
      <c r="K130" s="75"/>
      <c r="L130" s="75"/>
      <c r="M130" s="75"/>
      <c r="N130" s="75"/>
      <c r="O130" s="75"/>
    </row>
    <row r="131">
      <c r="F131" s="181"/>
      <c r="G131" s="181"/>
      <c r="H131" s="181"/>
      <c r="I131" s="75"/>
      <c r="J131" s="75"/>
      <c r="K131" s="75"/>
      <c r="L131" s="75"/>
      <c r="M131" s="75"/>
      <c r="N131" s="75"/>
      <c r="O131" s="75"/>
    </row>
    <row r="132">
      <c r="F132" s="181"/>
      <c r="G132" s="181"/>
      <c r="H132" s="181"/>
      <c r="I132" s="75"/>
      <c r="J132" s="75"/>
      <c r="K132" s="75"/>
      <c r="L132" s="75"/>
      <c r="M132" s="75"/>
      <c r="N132" s="75"/>
      <c r="O132" s="75"/>
    </row>
    <row r="133">
      <c r="F133" s="181"/>
      <c r="G133" s="181"/>
      <c r="H133" s="181"/>
      <c r="I133" s="75"/>
      <c r="J133" s="75"/>
      <c r="K133" s="75"/>
      <c r="L133" s="75"/>
      <c r="M133" s="75"/>
      <c r="N133" s="75"/>
      <c r="O133" s="75"/>
    </row>
    <row r="134">
      <c r="F134" s="181"/>
      <c r="G134" s="181"/>
      <c r="H134" s="181"/>
      <c r="I134" s="75"/>
      <c r="J134" s="75"/>
      <c r="K134" s="75"/>
      <c r="L134" s="75"/>
      <c r="M134" s="75"/>
      <c r="N134" s="75"/>
      <c r="O134" s="75"/>
    </row>
    <row r="135">
      <c r="F135" s="181"/>
      <c r="G135" s="181"/>
      <c r="H135" s="181"/>
      <c r="I135" s="75"/>
      <c r="J135" s="75"/>
      <c r="K135" s="75"/>
      <c r="L135" s="75"/>
      <c r="M135" s="75"/>
      <c r="N135" s="75"/>
      <c r="O135" s="75"/>
    </row>
    <row r="136">
      <c r="F136" s="181"/>
      <c r="G136" s="181"/>
      <c r="H136" s="181"/>
      <c r="I136" s="75"/>
      <c r="J136" s="75"/>
      <c r="K136" s="75"/>
      <c r="L136" s="75"/>
      <c r="M136" s="75"/>
      <c r="N136" s="75"/>
      <c r="O136" s="75"/>
    </row>
    <row r="137">
      <c r="F137" s="181"/>
      <c r="G137" s="181"/>
      <c r="H137" s="181"/>
      <c r="I137" s="75"/>
      <c r="J137" s="75"/>
      <c r="K137" s="75"/>
      <c r="L137" s="75"/>
      <c r="M137" s="75"/>
      <c r="N137" s="75"/>
      <c r="O137" s="75"/>
    </row>
    <row r="138">
      <c r="F138" s="181"/>
      <c r="G138" s="181"/>
      <c r="H138" s="181"/>
      <c r="I138" s="75"/>
      <c r="J138" s="75"/>
      <c r="K138" s="75"/>
      <c r="L138" s="75"/>
      <c r="M138" s="75"/>
      <c r="N138" s="75"/>
      <c r="O138" s="75"/>
    </row>
    <row r="139">
      <c r="F139" s="181"/>
      <c r="G139" s="181"/>
      <c r="H139" s="181"/>
      <c r="I139" s="75"/>
      <c r="J139" s="75"/>
      <c r="K139" s="75"/>
      <c r="L139" s="75"/>
      <c r="M139" s="75"/>
      <c r="N139" s="75"/>
      <c r="O139" s="75"/>
    </row>
    <row r="140">
      <c r="F140" s="181"/>
      <c r="G140" s="181"/>
      <c r="H140" s="181"/>
      <c r="I140" s="75"/>
      <c r="J140" s="75"/>
      <c r="K140" s="75"/>
      <c r="L140" s="75"/>
      <c r="M140" s="75"/>
      <c r="N140" s="75"/>
      <c r="O140" s="75"/>
    </row>
    <row r="141">
      <c r="F141" s="181"/>
      <c r="G141" s="181"/>
      <c r="H141" s="181"/>
      <c r="I141" s="75"/>
      <c r="J141" s="75"/>
      <c r="K141" s="75"/>
      <c r="L141" s="75"/>
      <c r="M141" s="75"/>
      <c r="N141" s="75"/>
      <c r="O141" s="75"/>
    </row>
    <row r="142">
      <c r="F142" s="181"/>
      <c r="G142" s="181"/>
      <c r="H142" s="181"/>
      <c r="I142" s="75"/>
      <c r="J142" s="75"/>
      <c r="K142" s="75"/>
      <c r="L142" s="75"/>
      <c r="M142" s="75"/>
      <c r="N142" s="75"/>
      <c r="O142" s="75"/>
    </row>
    <row r="143">
      <c r="F143" s="181"/>
      <c r="G143" s="181"/>
      <c r="H143" s="181"/>
      <c r="I143" s="75"/>
      <c r="J143" s="75"/>
      <c r="K143" s="75"/>
      <c r="L143" s="75"/>
      <c r="M143" s="75"/>
      <c r="N143" s="75"/>
      <c r="O143" s="75"/>
    </row>
    <row r="144">
      <c r="F144" s="181"/>
      <c r="G144" s="181"/>
      <c r="H144" s="181"/>
      <c r="I144" s="75"/>
      <c r="J144" s="75"/>
      <c r="K144" s="75"/>
      <c r="L144" s="75"/>
      <c r="M144" s="75"/>
      <c r="N144" s="75"/>
      <c r="O144" s="75"/>
    </row>
    <row r="145">
      <c r="F145" s="181"/>
      <c r="G145" s="181"/>
      <c r="H145" s="181"/>
      <c r="I145" s="75"/>
      <c r="J145" s="75"/>
      <c r="K145" s="75"/>
      <c r="L145" s="75"/>
      <c r="M145" s="75"/>
      <c r="N145" s="75"/>
      <c r="O145" s="75"/>
    </row>
    <row r="146">
      <c r="F146" s="181"/>
      <c r="G146" s="181"/>
      <c r="H146" s="181"/>
      <c r="I146" s="75"/>
      <c r="J146" s="75"/>
      <c r="K146" s="75"/>
      <c r="L146" s="75"/>
      <c r="M146" s="75"/>
      <c r="N146" s="75"/>
      <c r="O146" s="75"/>
    </row>
    <row r="147">
      <c r="F147" s="181"/>
      <c r="G147" s="181"/>
      <c r="H147" s="181"/>
      <c r="I147" s="75"/>
      <c r="J147" s="75"/>
      <c r="K147" s="75"/>
      <c r="L147" s="75"/>
      <c r="M147" s="75"/>
      <c r="N147" s="75"/>
      <c r="O147" s="75"/>
    </row>
    <row r="148">
      <c r="F148" s="181"/>
      <c r="G148" s="181"/>
      <c r="H148" s="181"/>
      <c r="I148" s="75"/>
      <c r="J148" s="75"/>
      <c r="K148" s="75"/>
      <c r="L148" s="75"/>
      <c r="M148" s="75"/>
      <c r="N148" s="75"/>
      <c r="O148" s="75"/>
    </row>
    <row r="149">
      <c r="F149" s="181"/>
      <c r="G149" s="181"/>
      <c r="H149" s="181"/>
      <c r="I149" s="75"/>
      <c r="J149" s="75"/>
      <c r="K149" s="75"/>
      <c r="L149" s="75"/>
      <c r="M149" s="75"/>
      <c r="N149" s="75"/>
      <c r="O149" s="75"/>
    </row>
    <row r="150">
      <c r="F150" s="181"/>
      <c r="G150" s="181"/>
      <c r="H150" s="181"/>
      <c r="I150" s="75"/>
      <c r="J150" s="75"/>
      <c r="K150" s="75"/>
      <c r="L150" s="75"/>
      <c r="M150" s="75"/>
      <c r="N150" s="75"/>
      <c r="O150" s="75"/>
    </row>
    <row r="151">
      <c r="F151" s="181"/>
      <c r="G151" s="181"/>
      <c r="H151" s="181"/>
      <c r="I151" s="75"/>
      <c r="J151" s="75"/>
      <c r="K151" s="75"/>
      <c r="L151" s="75"/>
      <c r="M151" s="75"/>
      <c r="N151" s="75"/>
      <c r="O151" s="75"/>
    </row>
    <row r="152">
      <c r="F152" s="181"/>
      <c r="G152" s="181"/>
      <c r="H152" s="181"/>
      <c r="I152" s="75"/>
      <c r="J152" s="75"/>
      <c r="K152" s="75"/>
      <c r="L152" s="75"/>
      <c r="M152" s="75"/>
      <c r="N152" s="75"/>
      <c r="O152" s="75"/>
    </row>
    <row r="153">
      <c r="F153" s="181"/>
      <c r="G153" s="181"/>
      <c r="H153" s="181"/>
      <c r="I153" s="75"/>
      <c r="J153" s="75"/>
      <c r="K153" s="75"/>
      <c r="L153" s="75"/>
      <c r="M153" s="75"/>
      <c r="N153" s="75"/>
      <c r="O153" s="75"/>
    </row>
    <row r="154">
      <c r="F154" s="181"/>
      <c r="G154" s="181"/>
      <c r="H154" s="181"/>
      <c r="I154" s="75"/>
      <c r="J154" s="75"/>
      <c r="K154" s="75"/>
      <c r="L154" s="75"/>
      <c r="M154" s="75"/>
      <c r="N154" s="75"/>
      <c r="O154" s="75"/>
    </row>
    <row r="155">
      <c r="F155" s="181"/>
      <c r="G155" s="181"/>
      <c r="H155" s="181"/>
      <c r="I155" s="75"/>
      <c r="J155" s="75"/>
      <c r="K155" s="75"/>
      <c r="L155" s="75"/>
      <c r="M155" s="75"/>
      <c r="N155" s="75"/>
      <c r="O155" s="75"/>
    </row>
    <row r="156">
      <c r="F156" s="181"/>
      <c r="G156" s="181"/>
      <c r="H156" s="181"/>
      <c r="I156" s="75"/>
      <c r="J156" s="75"/>
      <c r="K156" s="75"/>
      <c r="L156" s="75"/>
      <c r="M156" s="75"/>
      <c r="N156" s="75"/>
      <c r="O156" s="75"/>
    </row>
    <row r="157">
      <c r="F157" s="181"/>
      <c r="G157" s="181"/>
      <c r="H157" s="181"/>
      <c r="I157" s="75"/>
      <c r="J157" s="75"/>
      <c r="K157" s="75"/>
      <c r="L157" s="75"/>
      <c r="M157" s="75"/>
      <c r="N157" s="75"/>
      <c r="O157" s="75"/>
    </row>
    <row r="158">
      <c r="F158" s="181"/>
      <c r="G158" s="181"/>
      <c r="H158" s="181"/>
      <c r="I158" s="75"/>
      <c r="J158" s="75"/>
      <c r="K158" s="75"/>
      <c r="L158" s="75"/>
      <c r="M158" s="75"/>
      <c r="N158" s="75"/>
      <c r="O158" s="75"/>
    </row>
    <row r="159">
      <c r="F159" s="181"/>
      <c r="G159" s="181"/>
      <c r="H159" s="181"/>
      <c r="I159" s="75"/>
      <c r="J159" s="75"/>
      <c r="K159" s="75"/>
      <c r="L159" s="75"/>
      <c r="M159" s="75"/>
      <c r="N159" s="75"/>
      <c r="O159" s="75"/>
    </row>
    <row r="160">
      <c r="F160" s="181"/>
      <c r="G160" s="181"/>
      <c r="H160" s="181"/>
      <c r="I160" s="75"/>
      <c r="J160" s="75"/>
      <c r="K160" s="75"/>
      <c r="L160" s="75"/>
      <c r="M160" s="75"/>
      <c r="N160" s="75"/>
      <c r="O160" s="75"/>
    </row>
    <row r="161">
      <c r="F161" s="181"/>
      <c r="G161" s="181"/>
      <c r="H161" s="181"/>
      <c r="I161" s="75"/>
      <c r="J161" s="75"/>
      <c r="K161" s="75"/>
      <c r="L161" s="75"/>
      <c r="M161" s="75"/>
      <c r="N161" s="75"/>
      <c r="O161" s="75"/>
    </row>
    <row r="162">
      <c r="F162" s="181"/>
      <c r="G162" s="181"/>
      <c r="H162" s="181"/>
      <c r="I162" s="75"/>
      <c r="J162" s="75"/>
      <c r="K162" s="75"/>
      <c r="L162" s="75"/>
      <c r="M162" s="75"/>
      <c r="N162" s="75"/>
      <c r="O162" s="75"/>
    </row>
    <row r="163">
      <c r="F163" s="181"/>
      <c r="G163" s="181"/>
      <c r="H163" s="181"/>
      <c r="I163" s="75"/>
      <c r="J163" s="75"/>
      <c r="K163" s="75"/>
      <c r="L163" s="75"/>
      <c r="M163" s="75"/>
      <c r="N163" s="75"/>
      <c r="O163" s="75"/>
    </row>
    <row r="164">
      <c r="F164" s="181"/>
      <c r="G164" s="181"/>
      <c r="H164" s="181"/>
      <c r="I164" s="75"/>
      <c r="J164" s="75"/>
      <c r="K164" s="75"/>
      <c r="L164" s="75"/>
      <c r="M164" s="75"/>
      <c r="N164" s="75"/>
      <c r="O164" s="75"/>
    </row>
    <row r="165">
      <c r="F165" s="181"/>
      <c r="G165" s="181"/>
      <c r="H165" s="181"/>
      <c r="I165" s="75"/>
      <c r="J165" s="75"/>
      <c r="K165" s="75"/>
      <c r="L165" s="75"/>
      <c r="M165" s="75"/>
      <c r="N165" s="75"/>
      <c r="O165" s="75"/>
    </row>
    <row r="166">
      <c r="F166" s="181"/>
      <c r="G166" s="181"/>
      <c r="H166" s="181"/>
      <c r="I166" s="75"/>
      <c r="J166" s="75"/>
      <c r="K166" s="75"/>
      <c r="L166" s="75"/>
      <c r="M166" s="75"/>
      <c r="N166" s="75"/>
      <c r="O166" s="75"/>
    </row>
    <row r="167">
      <c r="F167" s="181"/>
      <c r="G167" s="181"/>
      <c r="H167" s="181"/>
      <c r="I167" s="75"/>
      <c r="J167" s="75"/>
      <c r="K167" s="75"/>
      <c r="L167" s="75"/>
      <c r="M167" s="75"/>
      <c r="N167" s="75"/>
      <c r="O167" s="75"/>
    </row>
    <row r="168">
      <c r="F168" s="181"/>
      <c r="G168" s="181"/>
      <c r="H168" s="181"/>
      <c r="I168" s="75"/>
      <c r="J168" s="75"/>
      <c r="K168" s="75"/>
      <c r="L168" s="75"/>
      <c r="M168" s="75"/>
      <c r="N168" s="75"/>
      <c r="O168" s="75"/>
    </row>
    <row r="169">
      <c r="F169" s="181"/>
      <c r="G169" s="181"/>
      <c r="H169" s="181"/>
      <c r="I169" s="75"/>
      <c r="J169" s="75"/>
      <c r="K169" s="75"/>
      <c r="L169" s="75"/>
      <c r="M169" s="75"/>
      <c r="N169" s="75"/>
      <c r="O169" s="75"/>
    </row>
    <row r="170">
      <c r="F170" s="181"/>
      <c r="G170" s="181"/>
      <c r="H170" s="181"/>
      <c r="I170" s="75"/>
      <c r="J170" s="75"/>
      <c r="K170" s="75"/>
      <c r="L170" s="75"/>
      <c r="M170" s="75"/>
      <c r="N170" s="75"/>
      <c r="O170" s="75"/>
    </row>
    <row r="171">
      <c r="F171" s="181"/>
      <c r="G171" s="181"/>
      <c r="H171" s="181"/>
      <c r="I171" s="75"/>
      <c r="J171" s="75"/>
      <c r="K171" s="75"/>
      <c r="L171" s="75"/>
      <c r="M171" s="75"/>
      <c r="N171" s="75"/>
      <c r="O171" s="75"/>
    </row>
    <row r="172">
      <c r="F172" s="181"/>
      <c r="G172" s="181"/>
      <c r="H172" s="181"/>
      <c r="I172" s="75"/>
      <c r="J172" s="75"/>
      <c r="K172" s="75"/>
      <c r="L172" s="75"/>
      <c r="M172" s="75"/>
      <c r="N172" s="75"/>
      <c r="O172" s="75"/>
    </row>
    <row r="173">
      <c r="F173" s="181"/>
      <c r="G173" s="181"/>
      <c r="H173" s="181"/>
      <c r="I173" s="75"/>
      <c r="J173" s="75"/>
      <c r="K173" s="75"/>
      <c r="L173" s="75"/>
      <c r="M173" s="75"/>
      <c r="N173" s="75"/>
      <c r="O173" s="75"/>
    </row>
    <row r="174">
      <c r="F174" s="181"/>
      <c r="G174" s="181"/>
      <c r="H174" s="181"/>
      <c r="I174" s="75"/>
      <c r="J174" s="75"/>
      <c r="K174" s="75"/>
      <c r="L174" s="75"/>
      <c r="M174" s="75"/>
      <c r="N174" s="75"/>
      <c r="O174" s="75"/>
    </row>
    <row r="175">
      <c r="F175" s="181"/>
      <c r="G175" s="181"/>
      <c r="H175" s="181"/>
      <c r="I175" s="75"/>
      <c r="J175" s="75"/>
      <c r="K175" s="75"/>
      <c r="L175" s="75"/>
      <c r="M175" s="75"/>
      <c r="N175" s="75"/>
      <c r="O175" s="75"/>
    </row>
    <row r="176">
      <c r="F176" s="181"/>
      <c r="G176" s="181"/>
      <c r="H176" s="181"/>
      <c r="I176" s="75"/>
      <c r="J176" s="75"/>
      <c r="K176" s="75"/>
      <c r="L176" s="75"/>
      <c r="M176" s="75"/>
      <c r="N176" s="75"/>
      <c r="O176" s="75"/>
    </row>
    <row r="177">
      <c r="F177" s="181"/>
      <c r="G177" s="181"/>
      <c r="H177" s="181"/>
      <c r="I177" s="75"/>
      <c r="J177" s="75"/>
      <c r="K177" s="75"/>
      <c r="L177" s="75"/>
      <c r="M177" s="75"/>
      <c r="N177" s="75"/>
      <c r="O177" s="75"/>
    </row>
    <row r="178">
      <c r="F178" s="181"/>
      <c r="G178" s="181"/>
      <c r="H178" s="181"/>
      <c r="I178" s="75"/>
      <c r="J178" s="75"/>
      <c r="K178" s="75"/>
      <c r="L178" s="75"/>
      <c r="M178" s="75"/>
      <c r="N178" s="75"/>
      <c r="O178" s="75"/>
    </row>
    <row r="179">
      <c r="F179" s="181"/>
      <c r="G179" s="181"/>
      <c r="H179" s="181"/>
      <c r="I179" s="75"/>
      <c r="J179" s="75"/>
      <c r="K179" s="75"/>
      <c r="L179" s="75"/>
      <c r="M179" s="75"/>
      <c r="N179" s="75"/>
      <c r="O179" s="75"/>
    </row>
    <row r="180">
      <c r="F180" s="181"/>
      <c r="G180" s="181"/>
      <c r="H180" s="181"/>
      <c r="I180" s="75"/>
      <c r="J180" s="75"/>
      <c r="K180" s="75"/>
      <c r="L180" s="75"/>
      <c r="M180" s="75"/>
      <c r="N180" s="75"/>
      <c r="O180" s="75"/>
    </row>
    <row r="181">
      <c r="F181" s="181"/>
      <c r="G181" s="181"/>
      <c r="H181" s="181"/>
      <c r="I181" s="75"/>
      <c r="J181" s="75"/>
      <c r="K181" s="75"/>
      <c r="L181" s="75"/>
      <c r="M181" s="75"/>
      <c r="N181" s="75"/>
      <c r="O181" s="75"/>
    </row>
    <row r="182">
      <c r="F182" s="181"/>
      <c r="G182" s="181"/>
      <c r="H182" s="181"/>
      <c r="I182" s="75"/>
      <c r="J182" s="75"/>
      <c r="K182" s="75"/>
      <c r="L182" s="75"/>
      <c r="M182" s="75"/>
      <c r="N182" s="75"/>
      <c r="O182" s="75"/>
    </row>
    <row r="183">
      <c r="F183" s="181"/>
      <c r="G183" s="181"/>
      <c r="H183" s="181"/>
      <c r="I183" s="75"/>
      <c r="J183" s="75"/>
      <c r="K183" s="75"/>
      <c r="L183" s="75"/>
      <c r="M183" s="75"/>
      <c r="N183" s="75"/>
      <c r="O183" s="75"/>
    </row>
    <row r="184">
      <c r="F184" s="181"/>
      <c r="G184" s="181"/>
      <c r="H184" s="181"/>
      <c r="I184" s="75"/>
      <c r="J184" s="75"/>
      <c r="K184" s="75"/>
      <c r="L184" s="75"/>
      <c r="M184" s="75"/>
      <c r="N184" s="75"/>
      <c r="O184" s="75"/>
    </row>
    <row r="185">
      <c r="F185" s="181"/>
      <c r="G185" s="181"/>
      <c r="H185" s="181"/>
      <c r="I185" s="75"/>
      <c r="J185" s="75"/>
      <c r="K185" s="75"/>
      <c r="L185" s="75"/>
      <c r="M185" s="75"/>
      <c r="N185" s="75"/>
      <c r="O185" s="75"/>
    </row>
    <row r="186">
      <c r="F186" s="181"/>
      <c r="G186" s="181"/>
      <c r="H186" s="181"/>
      <c r="I186" s="75"/>
      <c r="J186" s="75"/>
      <c r="K186" s="75"/>
      <c r="L186" s="75"/>
      <c r="M186" s="75"/>
      <c r="N186" s="75"/>
      <c r="O186" s="75"/>
    </row>
    <row r="187">
      <c r="F187" s="181"/>
      <c r="G187" s="181"/>
      <c r="H187" s="181"/>
      <c r="I187" s="75"/>
      <c r="J187" s="75"/>
      <c r="K187" s="75"/>
      <c r="L187" s="75"/>
      <c r="M187" s="75"/>
      <c r="N187" s="75"/>
      <c r="O187" s="75"/>
    </row>
    <row r="188">
      <c r="F188" s="181"/>
      <c r="G188" s="181"/>
      <c r="H188" s="181"/>
      <c r="I188" s="75"/>
      <c r="J188" s="75"/>
      <c r="K188" s="75"/>
      <c r="L188" s="75"/>
      <c r="M188" s="75"/>
      <c r="N188" s="75"/>
      <c r="O188" s="75"/>
    </row>
    <row r="189">
      <c r="F189" s="181"/>
      <c r="G189" s="181"/>
      <c r="H189" s="181"/>
      <c r="I189" s="75"/>
      <c r="J189" s="75"/>
      <c r="K189" s="75"/>
      <c r="L189" s="75"/>
      <c r="M189" s="75"/>
      <c r="N189" s="75"/>
      <c r="O189" s="75"/>
    </row>
    <row r="190">
      <c r="F190" s="181"/>
      <c r="G190" s="181"/>
      <c r="H190" s="181"/>
      <c r="I190" s="75"/>
      <c r="J190" s="75"/>
      <c r="K190" s="75"/>
      <c r="L190" s="75"/>
      <c r="M190" s="75"/>
      <c r="N190" s="75"/>
      <c r="O190" s="75"/>
    </row>
    <row r="191">
      <c r="F191" s="181"/>
      <c r="G191" s="181"/>
      <c r="H191" s="181"/>
      <c r="I191" s="75"/>
      <c r="J191" s="75"/>
      <c r="K191" s="75"/>
      <c r="L191" s="75"/>
      <c r="M191" s="75"/>
      <c r="N191" s="75"/>
      <c r="O191" s="75"/>
    </row>
    <row r="192">
      <c r="F192" s="181"/>
      <c r="G192" s="181"/>
      <c r="H192" s="181"/>
      <c r="I192" s="75"/>
      <c r="J192" s="75"/>
      <c r="K192" s="75"/>
      <c r="L192" s="75"/>
      <c r="M192" s="75"/>
      <c r="N192" s="75"/>
      <c r="O192" s="75"/>
    </row>
    <row r="193">
      <c r="F193" s="181"/>
      <c r="G193" s="181"/>
      <c r="H193" s="181"/>
      <c r="I193" s="75"/>
      <c r="J193" s="75"/>
      <c r="K193" s="75"/>
      <c r="L193" s="75"/>
      <c r="M193" s="75"/>
      <c r="N193" s="75"/>
      <c r="O193" s="75"/>
    </row>
    <row r="194">
      <c r="F194" s="181"/>
      <c r="G194" s="181"/>
      <c r="H194" s="181"/>
      <c r="I194" s="75"/>
      <c r="J194" s="75"/>
      <c r="K194" s="75"/>
      <c r="L194" s="75"/>
      <c r="M194" s="75"/>
      <c r="N194" s="75"/>
      <c r="O194" s="75"/>
    </row>
    <row r="195">
      <c r="F195" s="181"/>
      <c r="G195" s="181"/>
      <c r="H195" s="181"/>
      <c r="I195" s="75"/>
      <c r="J195" s="75"/>
      <c r="K195" s="75"/>
      <c r="L195" s="75"/>
      <c r="M195" s="75"/>
      <c r="N195" s="75"/>
      <c r="O195" s="75"/>
    </row>
    <row r="196">
      <c r="F196" s="181"/>
      <c r="G196" s="181"/>
      <c r="H196" s="181"/>
      <c r="I196" s="75"/>
      <c r="J196" s="75"/>
      <c r="K196" s="75"/>
      <c r="L196" s="75"/>
      <c r="M196" s="75"/>
      <c r="N196" s="75"/>
      <c r="O196" s="75"/>
    </row>
    <row r="197">
      <c r="F197" s="181"/>
      <c r="G197" s="181"/>
      <c r="H197" s="181"/>
      <c r="I197" s="75"/>
      <c r="J197" s="75"/>
      <c r="K197" s="75"/>
      <c r="L197" s="75"/>
      <c r="M197" s="75"/>
      <c r="N197" s="75"/>
      <c r="O197" s="75"/>
    </row>
    <row r="198">
      <c r="F198" s="181"/>
      <c r="G198" s="181"/>
      <c r="H198" s="181"/>
      <c r="I198" s="75"/>
      <c r="J198" s="75"/>
      <c r="K198" s="75"/>
      <c r="L198" s="75"/>
      <c r="M198" s="75"/>
      <c r="N198" s="75"/>
      <c r="O198" s="75"/>
    </row>
    <row r="199">
      <c r="F199" s="181"/>
      <c r="G199" s="181"/>
      <c r="H199" s="181"/>
      <c r="I199" s="75"/>
      <c r="J199" s="75"/>
      <c r="K199" s="75"/>
      <c r="L199" s="75"/>
      <c r="M199" s="75"/>
      <c r="N199" s="75"/>
      <c r="O199" s="75"/>
    </row>
    <row r="200">
      <c r="F200" s="181"/>
      <c r="G200" s="181"/>
      <c r="H200" s="181"/>
      <c r="I200" s="75"/>
      <c r="J200" s="75"/>
      <c r="K200" s="75"/>
      <c r="L200" s="75"/>
      <c r="M200" s="75"/>
      <c r="N200" s="75"/>
      <c r="O200" s="75"/>
    </row>
    <row r="201">
      <c r="F201" s="181"/>
      <c r="G201" s="181"/>
      <c r="H201" s="181"/>
      <c r="I201" s="75"/>
      <c r="J201" s="75"/>
      <c r="K201" s="75"/>
      <c r="L201" s="75"/>
      <c r="M201" s="75"/>
      <c r="N201" s="75"/>
      <c r="O201" s="75"/>
    </row>
    <row r="202">
      <c r="F202" s="181"/>
      <c r="G202" s="181"/>
      <c r="H202" s="181"/>
      <c r="I202" s="75"/>
      <c r="J202" s="75"/>
      <c r="K202" s="75"/>
      <c r="L202" s="75"/>
      <c r="M202" s="75"/>
      <c r="N202" s="75"/>
      <c r="O202" s="75"/>
    </row>
    <row r="203">
      <c r="F203" s="181"/>
      <c r="G203" s="181"/>
      <c r="H203" s="181"/>
      <c r="I203" s="75"/>
      <c r="J203" s="75"/>
      <c r="K203" s="75"/>
      <c r="L203" s="75"/>
      <c r="M203" s="75"/>
      <c r="N203" s="75"/>
      <c r="O203" s="75"/>
    </row>
    <row r="204">
      <c r="F204" s="181"/>
      <c r="G204" s="181"/>
      <c r="H204" s="181"/>
      <c r="I204" s="75"/>
      <c r="J204" s="75"/>
      <c r="K204" s="75"/>
      <c r="L204" s="75"/>
      <c r="M204" s="75"/>
      <c r="N204" s="75"/>
      <c r="O204" s="75"/>
    </row>
    <row r="205">
      <c r="F205" s="181"/>
      <c r="G205" s="181"/>
      <c r="H205" s="181"/>
      <c r="I205" s="75"/>
      <c r="J205" s="75"/>
      <c r="K205" s="75"/>
      <c r="L205" s="75"/>
      <c r="M205" s="75"/>
      <c r="N205" s="75"/>
      <c r="O205" s="75"/>
    </row>
    <row r="206">
      <c r="F206" s="181"/>
      <c r="G206" s="181"/>
      <c r="H206" s="181"/>
      <c r="I206" s="75"/>
      <c r="J206" s="75"/>
      <c r="K206" s="75"/>
      <c r="L206" s="75"/>
      <c r="M206" s="75"/>
      <c r="N206" s="75"/>
      <c r="O206" s="75"/>
    </row>
    <row r="207">
      <c r="F207" s="181"/>
      <c r="G207" s="181"/>
      <c r="H207" s="181"/>
      <c r="I207" s="75"/>
      <c r="J207" s="75"/>
      <c r="K207" s="75"/>
      <c r="L207" s="75"/>
      <c r="M207" s="75"/>
      <c r="N207" s="75"/>
      <c r="O207" s="75"/>
    </row>
    <row r="208">
      <c r="F208" s="181"/>
      <c r="G208" s="181"/>
      <c r="H208" s="181"/>
      <c r="I208" s="75"/>
      <c r="J208" s="75"/>
      <c r="K208" s="75"/>
      <c r="L208" s="75"/>
      <c r="M208" s="75"/>
      <c r="N208" s="75"/>
      <c r="O208" s="75"/>
    </row>
    <row r="209">
      <c r="F209" s="181"/>
      <c r="G209" s="181"/>
      <c r="H209" s="181"/>
      <c r="I209" s="75"/>
      <c r="J209" s="75"/>
      <c r="K209" s="75"/>
      <c r="L209" s="75"/>
      <c r="M209" s="75"/>
      <c r="N209" s="75"/>
      <c r="O209" s="75"/>
    </row>
    <row r="210">
      <c r="F210" s="181"/>
      <c r="G210" s="181"/>
      <c r="H210" s="181"/>
      <c r="I210" s="75"/>
      <c r="J210" s="75"/>
      <c r="K210" s="75"/>
      <c r="L210" s="75"/>
      <c r="M210" s="75"/>
      <c r="N210" s="75"/>
      <c r="O210" s="75"/>
    </row>
    <row r="211">
      <c r="F211" s="181"/>
      <c r="G211" s="181"/>
      <c r="H211" s="181"/>
      <c r="I211" s="75"/>
      <c r="J211" s="75"/>
      <c r="K211" s="75"/>
      <c r="L211" s="75"/>
      <c r="M211" s="75"/>
      <c r="N211" s="75"/>
      <c r="O211" s="75"/>
    </row>
    <row r="212">
      <c r="F212" s="181"/>
      <c r="G212" s="181"/>
      <c r="H212" s="181"/>
      <c r="I212" s="75"/>
      <c r="J212" s="75"/>
      <c r="K212" s="75"/>
      <c r="L212" s="75"/>
      <c r="M212" s="75"/>
      <c r="N212" s="75"/>
      <c r="O212" s="75"/>
    </row>
    <row r="213">
      <c r="F213" s="181"/>
      <c r="G213" s="181"/>
      <c r="H213" s="181"/>
      <c r="I213" s="75"/>
      <c r="J213" s="75"/>
      <c r="K213" s="75"/>
      <c r="L213" s="75"/>
      <c r="M213" s="75"/>
      <c r="N213" s="75"/>
      <c r="O213" s="75"/>
    </row>
    <row r="214">
      <c r="F214" s="181"/>
      <c r="G214" s="181"/>
      <c r="H214" s="181"/>
      <c r="I214" s="75"/>
      <c r="J214" s="75"/>
      <c r="K214" s="75"/>
      <c r="L214" s="75"/>
      <c r="M214" s="75"/>
      <c r="N214" s="75"/>
      <c r="O214" s="75"/>
    </row>
    <row r="215">
      <c r="F215" s="181"/>
      <c r="G215" s="181"/>
      <c r="H215" s="181"/>
      <c r="I215" s="75"/>
      <c r="J215" s="75"/>
      <c r="K215" s="75"/>
      <c r="L215" s="75"/>
      <c r="M215" s="75"/>
      <c r="N215" s="75"/>
      <c r="O215" s="75"/>
    </row>
    <row r="216">
      <c r="F216" s="181"/>
      <c r="G216" s="181"/>
      <c r="H216" s="181"/>
      <c r="I216" s="75"/>
      <c r="J216" s="75"/>
      <c r="K216" s="75"/>
      <c r="L216" s="75"/>
      <c r="M216" s="75"/>
      <c r="N216" s="75"/>
      <c r="O216" s="75"/>
    </row>
    <row r="217">
      <c r="F217" s="181"/>
      <c r="G217" s="181"/>
      <c r="H217" s="181"/>
      <c r="I217" s="75"/>
      <c r="J217" s="75"/>
      <c r="K217" s="75"/>
      <c r="L217" s="75"/>
      <c r="M217" s="75"/>
      <c r="N217" s="75"/>
      <c r="O217" s="75"/>
    </row>
    <row r="218">
      <c r="F218" s="181"/>
      <c r="G218" s="181"/>
      <c r="H218" s="181"/>
      <c r="I218" s="75"/>
      <c r="J218" s="75"/>
      <c r="K218" s="75"/>
      <c r="L218" s="75"/>
      <c r="M218" s="75"/>
      <c r="N218" s="75"/>
      <c r="O218" s="75"/>
    </row>
    <row r="219">
      <c r="F219" s="181"/>
      <c r="G219" s="181"/>
      <c r="H219" s="181"/>
      <c r="I219" s="75"/>
      <c r="J219" s="75"/>
      <c r="K219" s="75"/>
      <c r="L219" s="75"/>
      <c r="M219" s="75"/>
      <c r="N219" s="75"/>
      <c r="O219" s="75"/>
    </row>
    <row r="220">
      <c r="F220" s="181"/>
      <c r="G220" s="181"/>
      <c r="H220" s="181"/>
      <c r="I220" s="75"/>
      <c r="J220" s="75"/>
      <c r="K220" s="75"/>
      <c r="L220" s="75"/>
      <c r="M220" s="75"/>
      <c r="N220" s="75"/>
      <c r="O220" s="75"/>
    </row>
    <row r="221">
      <c r="F221" s="181"/>
      <c r="G221" s="181"/>
      <c r="H221" s="181"/>
      <c r="I221" s="75"/>
      <c r="J221" s="75"/>
      <c r="K221" s="75"/>
      <c r="L221" s="75"/>
      <c r="M221" s="75"/>
      <c r="N221" s="75"/>
      <c r="O221" s="75"/>
    </row>
    <row r="222">
      <c r="F222" s="181"/>
      <c r="G222" s="181"/>
      <c r="H222" s="181"/>
      <c r="I222" s="75"/>
      <c r="J222" s="75"/>
      <c r="K222" s="75"/>
      <c r="L222" s="75"/>
      <c r="M222" s="75"/>
      <c r="N222" s="75"/>
      <c r="O222" s="75"/>
    </row>
    <row r="223">
      <c r="F223" s="181"/>
      <c r="G223" s="181"/>
      <c r="H223" s="181"/>
      <c r="I223" s="75"/>
      <c r="J223" s="75"/>
      <c r="K223" s="75"/>
      <c r="L223" s="75"/>
      <c r="M223" s="75"/>
      <c r="N223" s="75"/>
      <c r="O223" s="75"/>
    </row>
    <row r="224">
      <c r="F224" s="181"/>
      <c r="G224" s="181"/>
      <c r="H224" s="181"/>
      <c r="I224" s="75"/>
      <c r="J224" s="75"/>
      <c r="K224" s="75"/>
      <c r="L224" s="75"/>
      <c r="M224" s="75"/>
      <c r="N224" s="75"/>
      <c r="O224" s="75"/>
    </row>
    <row r="225">
      <c r="F225" s="181"/>
      <c r="G225" s="181"/>
      <c r="H225" s="181"/>
      <c r="I225" s="75"/>
      <c r="J225" s="75"/>
      <c r="K225" s="75"/>
      <c r="L225" s="75"/>
      <c r="M225" s="75"/>
      <c r="N225" s="75"/>
      <c r="O225" s="75"/>
    </row>
    <row r="226">
      <c r="F226" s="181"/>
      <c r="G226" s="181"/>
      <c r="H226" s="181"/>
      <c r="I226" s="75"/>
      <c r="J226" s="75"/>
      <c r="K226" s="75"/>
      <c r="L226" s="75"/>
      <c r="M226" s="75"/>
      <c r="N226" s="75"/>
      <c r="O226" s="75"/>
    </row>
    <row r="227">
      <c r="F227" s="181"/>
      <c r="G227" s="181"/>
      <c r="H227" s="181"/>
      <c r="I227" s="75"/>
      <c r="J227" s="75"/>
      <c r="K227" s="75"/>
      <c r="L227" s="75"/>
      <c r="M227" s="75"/>
      <c r="N227" s="75"/>
      <c r="O227" s="75"/>
    </row>
    <row r="228">
      <c r="F228" s="181"/>
      <c r="G228" s="181"/>
      <c r="H228" s="181"/>
      <c r="I228" s="75"/>
      <c r="J228" s="75"/>
      <c r="K228" s="75"/>
      <c r="L228" s="75"/>
      <c r="M228" s="75"/>
      <c r="N228" s="75"/>
      <c r="O228" s="75"/>
    </row>
    <row r="229">
      <c r="F229" s="181"/>
      <c r="G229" s="181"/>
      <c r="H229" s="181"/>
      <c r="I229" s="75"/>
      <c r="J229" s="75"/>
      <c r="K229" s="75"/>
      <c r="L229" s="75"/>
      <c r="M229" s="75"/>
      <c r="N229" s="75"/>
      <c r="O229" s="75"/>
    </row>
    <row r="230">
      <c r="F230" s="181"/>
      <c r="G230" s="181"/>
      <c r="H230" s="181"/>
      <c r="I230" s="75"/>
      <c r="J230" s="75"/>
      <c r="K230" s="75"/>
      <c r="L230" s="75"/>
      <c r="M230" s="75"/>
      <c r="N230" s="75"/>
      <c r="O230" s="75"/>
    </row>
    <row r="231">
      <c r="F231" s="181"/>
      <c r="G231" s="181"/>
      <c r="H231" s="181"/>
      <c r="I231" s="75"/>
      <c r="J231" s="75"/>
      <c r="K231" s="75"/>
      <c r="L231" s="75"/>
      <c r="M231" s="75"/>
      <c r="N231" s="75"/>
      <c r="O231" s="75"/>
    </row>
    <row r="232">
      <c r="F232" s="181"/>
      <c r="G232" s="181"/>
      <c r="H232" s="181"/>
      <c r="I232" s="75"/>
      <c r="J232" s="75"/>
      <c r="K232" s="75"/>
      <c r="L232" s="75"/>
      <c r="M232" s="75"/>
      <c r="N232" s="75"/>
      <c r="O232" s="75"/>
    </row>
    <row r="233">
      <c r="F233" s="181"/>
      <c r="G233" s="181"/>
      <c r="H233" s="181"/>
      <c r="I233" s="75"/>
      <c r="J233" s="75"/>
      <c r="K233" s="75"/>
      <c r="L233" s="75"/>
      <c r="M233" s="75"/>
      <c r="N233" s="75"/>
      <c r="O233" s="75"/>
    </row>
    <row r="234">
      <c r="F234" s="181"/>
      <c r="G234" s="181"/>
      <c r="H234" s="181"/>
      <c r="I234" s="75"/>
      <c r="J234" s="75"/>
      <c r="K234" s="75"/>
      <c r="L234" s="75"/>
      <c r="M234" s="75"/>
      <c r="N234" s="75"/>
      <c r="O234" s="75"/>
    </row>
    <row r="235">
      <c r="F235" s="181"/>
      <c r="G235" s="181"/>
      <c r="H235" s="181"/>
      <c r="I235" s="75"/>
      <c r="J235" s="75"/>
      <c r="K235" s="75"/>
      <c r="L235" s="75"/>
      <c r="M235" s="75"/>
      <c r="N235" s="75"/>
      <c r="O235" s="75"/>
    </row>
    <row r="236">
      <c r="F236" s="181"/>
      <c r="G236" s="181"/>
      <c r="H236" s="181"/>
      <c r="I236" s="75"/>
      <c r="J236" s="75"/>
      <c r="K236" s="75"/>
      <c r="L236" s="75"/>
      <c r="M236" s="75"/>
      <c r="N236" s="75"/>
      <c r="O236" s="75"/>
    </row>
    <row r="237">
      <c r="F237" s="181"/>
      <c r="G237" s="181"/>
      <c r="H237" s="181"/>
      <c r="I237" s="75"/>
      <c r="J237" s="75"/>
      <c r="K237" s="75"/>
      <c r="L237" s="75"/>
      <c r="M237" s="75"/>
      <c r="N237" s="75"/>
      <c r="O237" s="75"/>
    </row>
    <row r="238">
      <c r="F238" s="181"/>
      <c r="G238" s="181"/>
      <c r="H238" s="181"/>
      <c r="I238" s="75"/>
      <c r="J238" s="75"/>
      <c r="K238" s="75"/>
      <c r="L238" s="75"/>
      <c r="M238" s="75"/>
      <c r="N238" s="75"/>
      <c r="O238" s="75"/>
    </row>
    <row r="239">
      <c r="F239" s="181"/>
      <c r="G239" s="181"/>
      <c r="H239" s="181"/>
      <c r="I239" s="75"/>
      <c r="J239" s="75"/>
      <c r="K239" s="75"/>
      <c r="L239" s="75"/>
      <c r="M239" s="75"/>
      <c r="N239" s="75"/>
      <c r="O239" s="75"/>
    </row>
    <row r="240">
      <c r="F240" s="181"/>
      <c r="G240" s="181"/>
      <c r="H240" s="181"/>
      <c r="I240" s="75"/>
      <c r="J240" s="75"/>
      <c r="K240" s="75"/>
      <c r="L240" s="75"/>
      <c r="M240" s="75"/>
      <c r="N240" s="75"/>
      <c r="O240" s="75"/>
    </row>
    <row r="241">
      <c r="F241" s="181"/>
      <c r="G241" s="181"/>
      <c r="H241" s="181"/>
      <c r="I241" s="75"/>
      <c r="J241" s="75"/>
      <c r="K241" s="75"/>
      <c r="L241" s="75"/>
      <c r="M241" s="75"/>
      <c r="N241" s="75"/>
      <c r="O241" s="75"/>
    </row>
    <row r="242">
      <c r="F242" s="181"/>
      <c r="G242" s="181"/>
      <c r="H242" s="181"/>
      <c r="I242" s="75"/>
      <c r="J242" s="75"/>
      <c r="K242" s="75"/>
      <c r="L242" s="75"/>
      <c r="M242" s="75"/>
      <c r="N242" s="75"/>
      <c r="O242" s="75"/>
    </row>
    <row r="243">
      <c r="F243" s="181"/>
      <c r="G243" s="181"/>
      <c r="H243" s="181"/>
      <c r="I243" s="75"/>
      <c r="J243" s="75"/>
      <c r="K243" s="75"/>
      <c r="L243" s="75"/>
      <c r="M243" s="75"/>
      <c r="N243" s="75"/>
      <c r="O243" s="75"/>
    </row>
    <row r="244">
      <c r="F244" s="181"/>
      <c r="G244" s="181"/>
      <c r="H244" s="181"/>
      <c r="I244" s="75"/>
      <c r="J244" s="75"/>
      <c r="K244" s="75"/>
      <c r="L244" s="75"/>
      <c r="M244" s="75"/>
      <c r="N244" s="75"/>
      <c r="O244" s="75"/>
    </row>
    <row r="245">
      <c r="F245" s="181"/>
      <c r="G245" s="181"/>
      <c r="H245" s="181"/>
      <c r="I245" s="75"/>
      <c r="J245" s="75"/>
      <c r="K245" s="75"/>
      <c r="L245" s="75"/>
      <c r="M245" s="75"/>
      <c r="N245" s="75"/>
      <c r="O245" s="75"/>
    </row>
    <row r="246">
      <c r="F246" s="181"/>
      <c r="G246" s="181"/>
      <c r="H246" s="181"/>
      <c r="I246" s="75"/>
      <c r="J246" s="75"/>
      <c r="K246" s="75"/>
      <c r="L246" s="75"/>
      <c r="M246" s="75"/>
      <c r="N246" s="75"/>
      <c r="O246" s="75"/>
    </row>
    <row r="247">
      <c r="F247" s="181"/>
      <c r="G247" s="181"/>
      <c r="H247" s="181"/>
      <c r="I247" s="75"/>
      <c r="J247" s="75"/>
      <c r="K247" s="75"/>
      <c r="L247" s="75"/>
      <c r="M247" s="75"/>
      <c r="N247" s="75"/>
      <c r="O247" s="75"/>
    </row>
    <row r="248">
      <c r="F248" s="181"/>
      <c r="G248" s="181"/>
      <c r="H248" s="181"/>
      <c r="I248" s="75"/>
      <c r="J248" s="75"/>
      <c r="K248" s="75"/>
      <c r="L248" s="75"/>
      <c r="M248" s="75"/>
      <c r="N248" s="75"/>
      <c r="O248" s="75"/>
    </row>
    <row r="249">
      <c r="F249" s="181"/>
      <c r="G249" s="181"/>
      <c r="H249" s="181"/>
      <c r="I249" s="75"/>
      <c r="J249" s="75"/>
      <c r="K249" s="75"/>
      <c r="L249" s="75"/>
      <c r="M249" s="75"/>
      <c r="N249" s="75"/>
      <c r="O249" s="75"/>
    </row>
    <row r="250">
      <c r="F250" s="181"/>
      <c r="G250" s="181"/>
      <c r="H250" s="181"/>
      <c r="I250" s="75"/>
      <c r="J250" s="75"/>
      <c r="K250" s="75"/>
      <c r="L250" s="75"/>
      <c r="M250" s="75"/>
      <c r="N250" s="75"/>
      <c r="O250" s="75"/>
    </row>
    <row r="251">
      <c r="F251" s="181"/>
      <c r="G251" s="181"/>
      <c r="H251" s="181"/>
      <c r="I251" s="75"/>
      <c r="J251" s="75"/>
      <c r="K251" s="75"/>
      <c r="L251" s="75"/>
      <c r="M251" s="75"/>
      <c r="N251" s="75"/>
      <c r="O251" s="75"/>
    </row>
    <row r="252">
      <c r="F252" s="181"/>
      <c r="G252" s="181"/>
      <c r="H252" s="181"/>
      <c r="I252" s="75"/>
      <c r="J252" s="75"/>
      <c r="K252" s="75"/>
      <c r="L252" s="75"/>
      <c r="M252" s="75"/>
      <c r="N252" s="75"/>
      <c r="O252" s="75"/>
    </row>
    <row r="253">
      <c r="F253" s="181"/>
      <c r="G253" s="181"/>
      <c r="H253" s="181"/>
      <c r="I253" s="75"/>
      <c r="J253" s="75"/>
      <c r="K253" s="75"/>
      <c r="L253" s="75"/>
      <c r="M253" s="75"/>
      <c r="N253" s="75"/>
      <c r="O253" s="75"/>
    </row>
    <row r="254">
      <c r="F254" s="181"/>
      <c r="G254" s="181"/>
      <c r="H254" s="181"/>
      <c r="I254" s="75"/>
      <c r="J254" s="75"/>
      <c r="K254" s="75"/>
      <c r="L254" s="75"/>
      <c r="M254" s="75"/>
      <c r="N254" s="75"/>
      <c r="O254" s="75"/>
    </row>
    <row r="255">
      <c r="F255" s="181"/>
      <c r="G255" s="181"/>
      <c r="H255" s="181"/>
      <c r="I255" s="75"/>
      <c r="J255" s="75"/>
      <c r="K255" s="75"/>
      <c r="L255" s="75"/>
      <c r="M255" s="75"/>
      <c r="N255" s="75"/>
      <c r="O255" s="75"/>
    </row>
    <row r="256">
      <c r="F256" s="181"/>
      <c r="G256" s="181"/>
      <c r="H256" s="181"/>
      <c r="I256" s="75"/>
      <c r="J256" s="75"/>
      <c r="K256" s="75"/>
      <c r="L256" s="75"/>
      <c r="M256" s="75"/>
      <c r="N256" s="75"/>
      <c r="O256" s="75"/>
    </row>
    <row r="257">
      <c r="F257" s="181"/>
      <c r="G257" s="181"/>
      <c r="H257" s="181"/>
      <c r="I257" s="75"/>
      <c r="J257" s="75"/>
      <c r="K257" s="75"/>
      <c r="L257" s="75"/>
      <c r="M257" s="75"/>
      <c r="N257" s="75"/>
      <c r="O257" s="75"/>
    </row>
    <row r="258">
      <c r="F258" s="181"/>
      <c r="G258" s="181"/>
      <c r="H258" s="181"/>
      <c r="I258" s="75"/>
      <c r="J258" s="75"/>
      <c r="K258" s="75"/>
      <c r="L258" s="75"/>
      <c r="M258" s="75"/>
      <c r="N258" s="75"/>
      <c r="O258" s="75"/>
    </row>
    <row r="259">
      <c r="F259" s="181"/>
      <c r="G259" s="181"/>
      <c r="H259" s="181"/>
      <c r="I259" s="75"/>
      <c r="J259" s="75"/>
      <c r="K259" s="75"/>
      <c r="L259" s="75"/>
      <c r="M259" s="75"/>
      <c r="N259" s="75"/>
      <c r="O259" s="75"/>
    </row>
    <row r="260">
      <c r="F260" s="181"/>
      <c r="G260" s="181"/>
      <c r="H260" s="181"/>
      <c r="I260" s="75"/>
      <c r="J260" s="75"/>
      <c r="K260" s="75"/>
      <c r="L260" s="75"/>
      <c r="M260" s="75"/>
      <c r="N260" s="75"/>
      <c r="O260" s="75"/>
    </row>
    <row r="261">
      <c r="F261" s="181"/>
      <c r="G261" s="181"/>
      <c r="H261" s="181"/>
      <c r="I261" s="75"/>
      <c r="J261" s="75"/>
      <c r="K261" s="75"/>
      <c r="L261" s="75"/>
      <c r="M261" s="75"/>
      <c r="N261" s="75"/>
      <c r="O261" s="75"/>
    </row>
    <row r="262">
      <c r="F262" s="181"/>
      <c r="G262" s="181"/>
      <c r="H262" s="181"/>
      <c r="I262" s="75"/>
      <c r="J262" s="75"/>
      <c r="K262" s="75"/>
      <c r="L262" s="75"/>
      <c r="M262" s="75"/>
      <c r="N262" s="75"/>
      <c r="O262" s="75"/>
    </row>
    <row r="263">
      <c r="F263" s="181"/>
      <c r="G263" s="181"/>
      <c r="H263" s="181"/>
      <c r="I263" s="75"/>
      <c r="J263" s="75"/>
      <c r="K263" s="75"/>
      <c r="L263" s="75"/>
      <c r="M263" s="75"/>
      <c r="N263" s="75"/>
      <c r="O263" s="75"/>
    </row>
    <row r="264">
      <c r="F264" s="181"/>
      <c r="G264" s="181"/>
      <c r="H264" s="181"/>
      <c r="I264" s="75"/>
      <c r="J264" s="75"/>
      <c r="K264" s="75"/>
      <c r="L264" s="75"/>
      <c r="M264" s="75"/>
      <c r="N264" s="75"/>
      <c r="O264" s="75"/>
    </row>
    <row r="265">
      <c r="F265" s="181"/>
      <c r="G265" s="181"/>
      <c r="H265" s="181"/>
      <c r="I265" s="75"/>
      <c r="J265" s="75"/>
      <c r="K265" s="75"/>
      <c r="L265" s="75"/>
      <c r="M265" s="75"/>
      <c r="N265" s="75"/>
      <c r="O265" s="75"/>
    </row>
    <row r="266">
      <c r="F266" s="181"/>
      <c r="G266" s="181"/>
      <c r="H266" s="181"/>
      <c r="I266" s="75"/>
      <c r="J266" s="75"/>
      <c r="K266" s="75"/>
      <c r="L266" s="75"/>
      <c r="M266" s="75"/>
      <c r="N266" s="75"/>
      <c r="O266" s="75"/>
    </row>
    <row r="267">
      <c r="F267" s="181"/>
      <c r="G267" s="181"/>
      <c r="H267" s="181"/>
      <c r="I267" s="75"/>
      <c r="J267" s="75"/>
      <c r="K267" s="75"/>
      <c r="L267" s="75"/>
      <c r="M267" s="75"/>
      <c r="N267" s="75"/>
      <c r="O267" s="75"/>
    </row>
    <row r="268">
      <c r="F268" s="181"/>
      <c r="G268" s="181"/>
      <c r="H268" s="181"/>
      <c r="I268" s="75"/>
      <c r="J268" s="75"/>
      <c r="K268" s="75"/>
      <c r="L268" s="75"/>
      <c r="M268" s="75"/>
      <c r="N268" s="75"/>
      <c r="O268" s="75"/>
    </row>
    <row r="269">
      <c r="F269" s="181"/>
      <c r="G269" s="181"/>
      <c r="H269" s="181"/>
      <c r="I269" s="75"/>
      <c r="J269" s="75"/>
      <c r="K269" s="75"/>
      <c r="L269" s="75"/>
      <c r="M269" s="75"/>
      <c r="N269" s="75"/>
      <c r="O269" s="75"/>
    </row>
    <row r="270">
      <c r="F270" s="181"/>
      <c r="G270" s="181"/>
      <c r="H270" s="181"/>
      <c r="I270" s="75"/>
      <c r="J270" s="75"/>
      <c r="K270" s="75"/>
      <c r="L270" s="75"/>
      <c r="M270" s="75"/>
      <c r="N270" s="75"/>
      <c r="O270" s="75"/>
    </row>
    <row r="271">
      <c r="F271" s="181"/>
      <c r="G271" s="181"/>
      <c r="H271" s="181"/>
      <c r="I271" s="75"/>
      <c r="J271" s="75"/>
      <c r="K271" s="75"/>
      <c r="L271" s="75"/>
      <c r="M271" s="75"/>
      <c r="N271" s="75"/>
      <c r="O271" s="75"/>
    </row>
    <row r="272">
      <c r="F272" s="181"/>
      <c r="G272" s="181"/>
      <c r="H272" s="181"/>
      <c r="I272" s="75"/>
      <c r="J272" s="75"/>
      <c r="K272" s="75"/>
      <c r="L272" s="75"/>
      <c r="M272" s="75"/>
      <c r="N272" s="75"/>
      <c r="O272" s="75"/>
    </row>
    <row r="273">
      <c r="F273" s="181"/>
      <c r="G273" s="181"/>
      <c r="H273" s="181"/>
      <c r="I273" s="75"/>
      <c r="J273" s="75"/>
      <c r="K273" s="75"/>
      <c r="L273" s="75"/>
      <c r="M273" s="75"/>
      <c r="N273" s="75"/>
      <c r="O273" s="75"/>
    </row>
    <row r="274">
      <c r="F274" s="181"/>
      <c r="G274" s="181"/>
      <c r="H274" s="181"/>
      <c r="I274" s="75"/>
      <c r="J274" s="75"/>
      <c r="K274" s="75"/>
      <c r="L274" s="75"/>
      <c r="M274" s="75"/>
      <c r="N274" s="75"/>
      <c r="O274" s="75"/>
    </row>
    <row r="275">
      <c r="F275" s="181"/>
      <c r="G275" s="181"/>
      <c r="H275" s="181"/>
      <c r="I275" s="75"/>
      <c r="J275" s="75"/>
      <c r="K275" s="75"/>
      <c r="L275" s="75"/>
      <c r="M275" s="75"/>
      <c r="N275" s="75"/>
      <c r="O275" s="75"/>
    </row>
    <row r="276">
      <c r="F276" s="181"/>
      <c r="G276" s="181"/>
      <c r="H276" s="181"/>
      <c r="I276" s="75"/>
      <c r="J276" s="75"/>
      <c r="K276" s="75"/>
      <c r="L276" s="75"/>
      <c r="M276" s="75"/>
      <c r="N276" s="75"/>
      <c r="O276" s="75"/>
    </row>
    <row r="277">
      <c r="F277" s="181"/>
      <c r="G277" s="181"/>
      <c r="H277" s="181"/>
      <c r="I277" s="75"/>
      <c r="J277" s="75"/>
      <c r="K277" s="75"/>
      <c r="L277" s="75"/>
      <c r="M277" s="75"/>
      <c r="N277" s="75"/>
      <c r="O277" s="75"/>
    </row>
    <row r="278">
      <c r="F278" s="181"/>
      <c r="G278" s="181"/>
      <c r="H278" s="181"/>
      <c r="I278" s="75"/>
      <c r="J278" s="75"/>
      <c r="K278" s="75"/>
      <c r="L278" s="75"/>
      <c r="M278" s="75"/>
      <c r="N278" s="75"/>
      <c r="O278" s="75"/>
    </row>
    <row r="279">
      <c r="F279" s="181"/>
      <c r="G279" s="181"/>
      <c r="H279" s="181"/>
      <c r="I279" s="75"/>
      <c r="J279" s="75"/>
      <c r="K279" s="75"/>
      <c r="L279" s="75"/>
      <c r="M279" s="75"/>
      <c r="N279" s="75"/>
      <c r="O279" s="75"/>
    </row>
    <row r="280">
      <c r="F280" s="181"/>
      <c r="G280" s="181"/>
      <c r="H280" s="181"/>
      <c r="I280" s="75"/>
      <c r="J280" s="75"/>
      <c r="K280" s="75"/>
      <c r="L280" s="75"/>
      <c r="M280" s="75"/>
      <c r="N280" s="75"/>
      <c r="O280" s="75"/>
    </row>
    <row r="281">
      <c r="F281" s="181"/>
      <c r="G281" s="181"/>
      <c r="H281" s="181"/>
      <c r="I281" s="75"/>
      <c r="J281" s="75"/>
      <c r="K281" s="75"/>
      <c r="L281" s="75"/>
      <c r="M281" s="75"/>
      <c r="N281" s="75"/>
      <c r="O281" s="75"/>
    </row>
    <row r="282">
      <c r="F282" s="181"/>
      <c r="G282" s="181"/>
      <c r="H282" s="181"/>
      <c r="I282" s="75"/>
      <c r="J282" s="75"/>
      <c r="K282" s="75"/>
      <c r="L282" s="75"/>
      <c r="M282" s="75"/>
      <c r="N282" s="75"/>
      <c r="O282" s="75"/>
    </row>
    <row r="283">
      <c r="F283" s="181"/>
      <c r="G283" s="181"/>
      <c r="H283" s="181"/>
      <c r="I283" s="75"/>
      <c r="J283" s="75"/>
      <c r="K283" s="75"/>
      <c r="L283" s="75"/>
      <c r="M283" s="75"/>
      <c r="N283" s="75"/>
      <c r="O283" s="75"/>
    </row>
    <row r="284">
      <c r="F284" s="181"/>
      <c r="G284" s="181"/>
      <c r="H284" s="181"/>
      <c r="I284" s="75"/>
      <c r="J284" s="75"/>
      <c r="K284" s="75"/>
      <c r="L284" s="75"/>
      <c r="M284" s="75"/>
      <c r="N284" s="75"/>
      <c r="O284" s="75"/>
    </row>
    <row r="285">
      <c r="F285" s="181"/>
      <c r="G285" s="181"/>
      <c r="H285" s="181"/>
      <c r="I285" s="75"/>
      <c r="J285" s="75"/>
      <c r="K285" s="75"/>
      <c r="L285" s="75"/>
      <c r="M285" s="75"/>
      <c r="N285" s="75"/>
      <c r="O285" s="75"/>
    </row>
    <row r="286">
      <c r="F286" s="181"/>
      <c r="G286" s="181"/>
      <c r="H286" s="181"/>
      <c r="I286" s="75"/>
      <c r="J286" s="75"/>
      <c r="K286" s="75"/>
      <c r="L286" s="75"/>
      <c r="M286" s="75"/>
      <c r="N286" s="75"/>
      <c r="O286" s="75"/>
    </row>
    <row r="287">
      <c r="F287" s="181"/>
      <c r="G287" s="181"/>
      <c r="H287" s="181"/>
      <c r="I287" s="75"/>
      <c r="J287" s="75"/>
      <c r="K287" s="75"/>
      <c r="L287" s="75"/>
      <c r="M287" s="75"/>
      <c r="N287" s="75"/>
      <c r="O287" s="75"/>
    </row>
    <row r="288">
      <c r="F288" s="181"/>
      <c r="G288" s="181"/>
      <c r="H288" s="181"/>
      <c r="I288" s="75"/>
      <c r="J288" s="75"/>
      <c r="K288" s="75"/>
      <c r="L288" s="75"/>
      <c r="M288" s="75"/>
      <c r="N288" s="75"/>
      <c r="O288" s="75"/>
    </row>
    <row r="289">
      <c r="F289" s="181"/>
      <c r="G289" s="181"/>
      <c r="H289" s="181"/>
      <c r="I289" s="75"/>
      <c r="J289" s="75"/>
      <c r="K289" s="75"/>
      <c r="L289" s="75"/>
      <c r="M289" s="75"/>
      <c r="N289" s="75"/>
      <c r="O289" s="75"/>
    </row>
    <row r="290">
      <c r="F290" s="181"/>
      <c r="G290" s="181"/>
      <c r="H290" s="181"/>
      <c r="I290" s="75"/>
      <c r="J290" s="75"/>
      <c r="K290" s="75"/>
      <c r="L290" s="75"/>
      <c r="M290" s="75"/>
      <c r="N290" s="75"/>
      <c r="O290" s="75"/>
    </row>
    <row r="291">
      <c r="F291" s="181"/>
      <c r="G291" s="181"/>
      <c r="H291" s="181"/>
      <c r="I291" s="75"/>
      <c r="J291" s="75"/>
      <c r="K291" s="75"/>
      <c r="L291" s="75"/>
      <c r="M291" s="75"/>
      <c r="N291" s="75"/>
      <c r="O291" s="75"/>
    </row>
    <row r="292">
      <c r="F292" s="181"/>
      <c r="G292" s="181"/>
      <c r="H292" s="181"/>
      <c r="I292" s="75"/>
      <c r="J292" s="75"/>
      <c r="K292" s="75"/>
      <c r="L292" s="75"/>
      <c r="M292" s="75"/>
      <c r="N292" s="75"/>
      <c r="O292" s="75"/>
    </row>
    <row r="293">
      <c r="F293" s="181"/>
      <c r="G293" s="181"/>
      <c r="H293" s="181"/>
      <c r="I293" s="75"/>
      <c r="J293" s="75"/>
      <c r="K293" s="75"/>
      <c r="L293" s="75"/>
      <c r="M293" s="75"/>
      <c r="N293" s="75"/>
      <c r="O293" s="75"/>
    </row>
    <row r="294">
      <c r="F294" s="181"/>
      <c r="G294" s="181"/>
      <c r="H294" s="181"/>
      <c r="I294" s="75"/>
      <c r="J294" s="75"/>
      <c r="K294" s="75"/>
      <c r="L294" s="75"/>
      <c r="M294" s="75"/>
      <c r="N294" s="75"/>
      <c r="O294" s="75"/>
    </row>
    <row r="295">
      <c r="F295" s="181"/>
      <c r="G295" s="181"/>
      <c r="H295" s="181"/>
      <c r="I295" s="75"/>
      <c r="J295" s="75"/>
      <c r="K295" s="75"/>
      <c r="L295" s="75"/>
      <c r="M295" s="75"/>
      <c r="N295" s="75"/>
      <c r="O295" s="75"/>
    </row>
    <row r="296">
      <c r="F296" s="181"/>
      <c r="G296" s="181"/>
      <c r="H296" s="181"/>
      <c r="I296" s="75"/>
      <c r="J296" s="75"/>
      <c r="K296" s="75"/>
      <c r="L296" s="75"/>
      <c r="M296" s="75"/>
      <c r="N296" s="75"/>
      <c r="O296" s="75"/>
    </row>
    <row r="297">
      <c r="F297" s="181"/>
      <c r="G297" s="181"/>
      <c r="H297" s="181"/>
      <c r="I297" s="75"/>
      <c r="J297" s="75"/>
      <c r="K297" s="75"/>
      <c r="L297" s="75"/>
      <c r="M297" s="75"/>
      <c r="N297" s="75"/>
      <c r="O297" s="75"/>
    </row>
    <row r="298">
      <c r="F298" s="181"/>
      <c r="G298" s="181"/>
      <c r="H298" s="181"/>
      <c r="I298" s="75"/>
      <c r="J298" s="75"/>
      <c r="K298" s="75"/>
      <c r="L298" s="75"/>
      <c r="M298" s="75"/>
      <c r="N298" s="75"/>
      <c r="O298" s="75"/>
    </row>
    <row r="299">
      <c r="F299" s="181"/>
      <c r="G299" s="181"/>
      <c r="H299" s="181"/>
      <c r="I299" s="75"/>
      <c r="J299" s="75"/>
      <c r="K299" s="75"/>
      <c r="L299" s="75"/>
      <c r="M299" s="75"/>
      <c r="N299" s="75"/>
      <c r="O299" s="75"/>
    </row>
    <row r="300">
      <c r="F300" s="181"/>
      <c r="G300" s="181"/>
      <c r="H300" s="181"/>
      <c r="I300" s="75"/>
      <c r="J300" s="75"/>
      <c r="K300" s="75"/>
      <c r="L300" s="75"/>
      <c r="M300" s="75"/>
      <c r="N300" s="75"/>
      <c r="O300" s="75"/>
    </row>
    <row r="301">
      <c r="F301" s="181"/>
      <c r="G301" s="181"/>
      <c r="H301" s="181"/>
      <c r="I301" s="75"/>
      <c r="J301" s="75"/>
      <c r="K301" s="75"/>
      <c r="L301" s="75"/>
      <c r="M301" s="75"/>
      <c r="N301" s="75"/>
      <c r="O301" s="75"/>
    </row>
    <row r="302">
      <c r="F302" s="181"/>
      <c r="G302" s="181"/>
      <c r="H302" s="181"/>
      <c r="I302" s="75"/>
      <c r="J302" s="75"/>
      <c r="K302" s="75"/>
      <c r="L302" s="75"/>
      <c r="M302" s="75"/>
      <c r="N302" s="75"/>
      <c r="O302" s="75"/>
    </row>
    <row r="303">
      <c r="F303" s="181"/>
      <c r="G303" s="181"/>
      <c r="H303" s="181"/>
      <c r="I303" s="75"/>
      <c r="J303" s="75"/>
      <c r="K303" s="75"/>
      <c r="L303" s="75"/>
      <c r="M303" s="75"/>
      <c r="N303" s="75"/>
      <c r="O303" s="75"/>
    </row>
    <row r="304">
      <c r="F304" s="181"/>
      <c r="G304" s="181"/>
      <c r="H304" s="181"/>
      <c r="I304" s="75"/>
      <c r="J304" s="75"/>
      <c r="K304" s="75"/>
      <c r="L304" s="75"/>
      <c r="M304" s="75"/>
      <c r="N304" s="75"/>
      <c r="O304" s="75"/>
    </row>
    <row r="305">
      <c r="F305" s="181"/>
      <c r="G305" s="181"/>
      <c r="H305" s="181"/>
      <c r="I305" s="75"/>
      <c r="J305" s="75"/>
      <c r="K305" s="75"/>
      <c r="L305" s="75"/>
      <c r="M305" s="75"/>
      <c r="N305" s="75"/>
      <c r="O305" s="75"/>
    </row>
    <row r="306">
      <c r="F306" s="181"/>
      <c r="G306" s="181"/>
      <c r="H306" s="181"/>
      <c r="I306" s="75"/>
      <c r="J306" s="75"/>
      <c r="K306" s="75"/>
      <c r="L306" s="75"/>
      <c r="M306" s="75"/>
      <c r="N306" s="75"/>
      <c r="O306" s="75"/>
    </row>
    <row r="307">
      <c r="F307" s="181"/>
      <c r="G307" s="181"/>
      <c r="H307" s="181"/>
      <c r="I307" s="75"/>
      <c r="J307" s="75"/>
      <c r="K307" s="75"/>
      <c r="L307" s="75"/>
      <c r="M307" s="75"/>
      <c r="N307" s="75"/>
      <c r="O307" s="75"/>
    </row>
    <row r="308">
      <c r="F308" s="181"/>
      <c r="G308" s="181"/>
      <c r="H308" s="181"/>
      <c r="I308" s="75"/>
      <c r="J308" s="75"/>
      <c r="K308" s="75"/>
      <c r="L308" s="75"/>
      <c r="M308" s="75"/>
      <c r="N308" s="75"/>
      <c r="O308" s="75"/>
    </row>
    <row r="309">
      <c r="F309" s="181"/>
      <c r="G309" s="181"/>
      <c r="H309" s="181"/>
      <c r="I309" s="75"/>
      <c r="J309" s="75"/>
      <c r="K309" s="75"/>
      <c r="L309" s="75"/>
      <c r="M309" s="75"/>
      <c r="N309" s="75"/>
      <c r="O309" s="75"/>
    </row>
    <row r="310">
      <c r="F310" s="181"/>
      <c r="G310" s="181"/>
      <c r="H310" s="181"/>
      <c r="I310" s="75"/>
      <c r="J310" s="75"/>
      <c r="K310" s="75"/>
      <c r="L310" s="75"/>
      <c r="M310" s="75"/>
      <c r="N310" s="75"/>
      <c r="O310" s="75"/>
    </row>
    <row r="311">
      <c r="F311" s="181"/>
      <c r="G311" s="181"/>
      <c r="H311" s="181"/>
      <c r="I311" s="75"/>
      <c r="J311" s="75"/>
      <c r="K311" s="75"/>
      <c r="L311" s="75"/>
      <c r="M311" s="75"/>
      <c r="N311" s="75"/>
      <c r="O311" s="75"/>
    </row>
    <row r="312">
      <c r="F312" s="181"/>
      <c r="G312" s="181"/>
      <c r="H312" s="181"/>
      <c r="I312" s="75"/>
      <c r="J312" s="75"/>
      <c r="K312" s="75"/>
      <c r="L312" s="75"/>
      <c r="M312" s="75"/>
      <c r="N312" s="75"/>
      <c r="O312" s="75"/>
    </row>
    <row r="313">
      <c r="F313" s="181"/>
      <c r="G313" s="181"/>
      <c r="H313" s="181"/>
      <c r="I313" s="75"/>
      <c r="J313" s="75"/>
      <c r="K313" s="75"/>
      <c r="L313" s="75"/>
      <c r="M313" s="75"/>
      <c r="N313" s="75"/>
      <c r="O313" s="75"/>
    </row>
    <row r="314">
      <c r="F314" s="181"/>
      <c r="G314" s="181"/>
      <c r="H314" s="181"/>
      <c r="I314" s="75"/>
      <c r="J314" s="75"/>
      <c r="K314" s="75"/>
      <c r="L314" s="75"/>
      <c r="M314" s="75"/>
      <c r="N314" s="75"/>
      <c r="O314" s="75"/>
    </row>
    <row r="315">
      <c r="F315" s="181"/>
      <c r="G315" s="181"/>
      <c r="H315" s="181"/>
      <c r="I315" s="75"/>
      <c r="J315" s="75"/>
      <c r="K315" s="75"/>
      <c r="L315" s="75"/>
      <c r="M315" s="75"/>
      <c r="N315" s="75"/>
      <c r="O315" s="75"/>
    </row>
    <row r="316">
      <c r="F316" s="181"/>
      <c r="G316" s="181"/>
      <c r="H316" s="181"/>
      <c r="I316" s="75"/>
      <c r="J316" s="75"/>
      <c r="K316" s="75"/>
      <c r="L316" s="75"/>
      <c r="M316" s="75"/>
      <c r="N316" s="75"/>
      <c r="O316" s="75"/>
    </row>
    <row r="317">
      <c r="F317" s="181"/>
      <c r="G317" s="181"/>
      <c r="H317" s="181"/>
      <c r="I317" s="75"/>
      <c r="J317" s="75"/>
      <c r="K317" s="75"/>
      <c r="L317" s="75"/>
      <c r="M317" s="75"/>
      <c r="N317" s="75"/>
      <c r="O317" s="75"/>
    </row>
    <row r="318">
      <c r="F318" s="181"/>
      <c r="G318" s="181"/>
      <c r="H318" s="181"/>
      <c r="I318" s="75"/>
      <c r="J318" s="75"/>
      <c r="K318" s="75"/>
      <c r="L318" s="75"/>
      <c r="M318" s="75"/>
      <c r="N318" s="75"/>
      <c r="O318" s="75"/>
    </row>
    <row r="319">
      <c r="F319" s="181"/>
      <c r="G319" s="181"/>
      <c r="H319" s="181"/>
      <c r="I319" s="75"/>
      <c r="J319" s="75"/>
      <c r="K319" s="75"/>
      <c r="L319" s="75"/>
      <c r="M319" s="75"/>
      <c r="N319" s="75"/>
      <c r="O319" s="75"/>
    </row>
    <row r="320">
      <c r="F320" s="181"/>
      <c r="G320" s="181"/>
      <c r="H320" s="181"/>
      <c r="I320" s="75"/>
      <c r="J320" s="75"/>
      <c r="K320" s="75"/>
      <c r="L320" s="75"/>
      <c r="M320" s="75"/>
      <c r="N320" s="75"/>
      <c r="O320" s="75"/>
    </row>
    <row r="321">
      <c r="F321" s="181"/>
      <c r="G321" s="181"/>
      <c r="H321" s="181"/>
      <c r="I321" s="75"/>
      <c r="J321" s="75"/>
      <c r="K321" s="75"/>
      <c r="L321" s="75"/>
      <c r="M321" s="75"/>
      <c r="N321" s="75"/>
      <c r="O321" s="75"/>
    </row>
    <row r="322">
      <c r="F322" s="181"/>
      <c r="G322" s="181"/>
      <c r="H322" s="181"/>
      <c r="I322" s="75"/>
      <c r="J322" s="75"/>
      <c r="K322" s="75"/>
      <c r="L322" s="75"/>
      <c r="M322" s="75"/>
      <c r="N322" s="75"/>
      <c r="O322" s="75"/>
    </row>
    <row r="323">
      <c r="F323" s="181"/>
      <c r="G323" s="181"/>
      <c r="H323" s="181"/>
      <c r="I323" s="75"/>
      <c r="J323" s="75"/>
      <c r="K323" s="75"/>
      <c r="L323" s="75"/>
      <c r="M323" s="75"/>
      <c r="N323" s="75"/>
      <c r="O323" s="75"/>
    </row>
    <row r="324">
      <c r="F324" s="181"/>
      <c r="G324" s="181"/>
      <c r="H324" s="181"/>
      <c r="I324" s="75"/>
      <c r="J324" s="75"/>
      <c r="K324" s="75"/>
      <c r="L324" s="75"/>
      <c r="M324" s="75"/>
      <c r="N324" s="75"/>
      <c r="O324" s="75"/>
    </row>
    <row r="325">
      <c r="F325" s="181"/>
      <c r="G325" s="181"/>
      <c r="H325" s="181"/>
      <c r="I325" s="75"/>
      <c r="J325" s="75"/>
      <c r="K325" s="75"/>
      <c r="L325" s="75"/>
      <c r="M325" s="75"/>
      <c r="N325" s="75"/>
      <c r="O325" s="75"/>
    </row>
    <row r="326">
      <c r="F326" s="181"/>
      <c r="G326" s="181"/>
      <c r="H326" s="181"/>
      <c r="I326" s="75"/>
      <c r="J326" s="75"/>
      <c r="K326" s="75"/>
      <c r="L326" s="75"/>
      <c r="M326" s="75"/>
      <c r="N326" s="75"/>
      <c r="O326" s="75"/>
    </row>
    <row r="327">
      <c r="F327" s="181"/>
      <c r="G327" s="181"/>
      <c r="H327" s="181"/>
      <c r="I327" s="75"/>
      <c r="J327" s="75"/>
      <c r="K327" s="75"/>
      <c r="L327" s="75"/>
      <c r="M327" s="75"/>
      <c r="N327" s="75"/>
      <c r="O327" s="75"/>
    </row>
    <row r="328">
      <c r="F328" s="181"/>
      <c r="G328" s="181"/>
      <c r="H328" s="181"/>
      <c r="I328" s="75"/>
      <c r="J328" s="75"/>
      <c r="K328" s="75"/>
      <c r="L328" s="75"/>
      <c r="M328" s="75"/>
      <c r="N328" s="75"/>
      <c r="O328" s="75"/>
    </row>
    <row r="329">
      <c r="F329" s="181"/>
      <c r="G329" s="181"/>
      <c r="H329" s="181"/>
      <c r="I329" s="75"/>
      <c r="J329" s="75"/>
      <c r="K329" s="75"/>
      <c r="L329" s="75"/>
      <c r="M329" s="75"/>
      <c r="N329" s="75"/>
      <c r="O329" s="75"/>
    </row>
    <row r="330">
      <c r="F330" s="181"/>
      <c r="G330" s="181"/>
      <c r="H330" s="181"/>
      <c r="I330" s="75"/>
      <c r="J330" s="75"/>
      <c r="K330" s="75"/>
      <c r="L330" s="75"/>
      <c r="M330" s="75"/>
      <c r="N330" s="75"/>
      <c r="O330" s="75"/>
    </row>
    <row r="331">
      <c r="F331" s="181"/>
      <c r="G331" s="181"/>
      <c r="H331" s="181"/>
      <c r="I331" s="75"/>
      <c r="J331" s="75"/>
      <c r="K331" s="75"/>
      <c r="L331" s="75"/>
      <c r="M331" s="75"/>
      <c r="N331" s="75"/>
      <c r="O331" s="75"/>
    </row>
    <row r="332">
      <c r="F332" s="181"/>
      <c r="G332" s="181"/>
      <c r="H332" s="181"/>
      <c r="I332" s="75"/>
      <c r="J332" s="75"/>
      <c r="K332" s="75"/>
      <c r="L332" s="75"/>
      <c r="M332" s="75"/>
      <c r="N332" s="75"/>
      <c r="O332" s="75"/>
    </row>
    <row r="333">
      <c r="F333" s="181"/>
      <c r="G333" s="181"/>
      <c r="H333" s="181"/>
      <c r="I333" s="75"/>
      <c r="J333" s="75"/>
      <c r="K333" s="75"/>
      <c r="L333" s="75"/>
      <c r="M333" s="75"/>
      <c r="N333" s="75"/>
      <c r="O333" s="75"/>
    </row>
    <row r="334">
      <c r="F334" s="181"/>
      <c r="G334" s="181"/>
      <c r="H334" s="181"/>
      <c r="I334" s="75"/>
      <c r="J334" s="75"/>
      <c r="K334" s="75"/>
      <c r="L334" s="75"/>
      <c r="M334" s="75"/>
      <c r="N334" s="75"/>
      <c r="O334" s="75"/>
    </row>
    <row r="335">
      <c r="F335" s="181"/>
      <c r="G335" s="181"/>
      <c r="H335" s="181"/>
      <c r="I335" s="75"/>
      <c r="J335" s="75"/>
      <c r="K335" s="75"/>
      <c r="L335" s="75"/>
      <c r="M335" s="75"/>
      <c r="N335" s="75"/>
      <c r="O335" s="75"/>
    </row>
    <row r="336">
      <c r="F336" s="181"/>
      <c r="G336" s="181"/>
      <c r="H336" s="181"/>
      <c r="I336" s="75"/>
      <c r="J336" s="75"/>
      <c r="K336" s="75"/>
      <c r="L336" s="75"/>
      <c r="M336" s="75"/>
      <c r="N336" s="75"/>
      <c r="O336" s="75"/>
    </row>
    <row r="337">
      <c r="F337" s="181"/>
      <c r="G337" s="181"/>
      <c r="H337" s="181"/>
      <c r="I337" s="75"/>
      <c r="J337" s="75"/>
      <c r="K337" s="75"/>
      <c r="L337" s="75"/>
      <c r="M337" s="75"/>
      <c r="N337" s="75"/>
      <c r="O337" s="75"/>
    </row>
    <row r="338">
      <c r="F338" s="181"/>
      <c r="G338" s="181"/>
      <c r="H338" s="181"/>
      <c r="I338" s="75"/>
      <c r="J338" s="75"/>
      <c r="K338" s="75"/>
      <c r="L338" s="75"/>
      <c r="M338" s="75"/>
      <c r="N338" s="75"/>
      <c r="O338" s="75"/>
    </row>
    <row r="339">
      <c r="F339" s="181"/>
      <c r="G339" s="181"/>
      <c r="H339" s="181"/>
      <c r="I339" s="75"/>
      <c r="J339" s="75"/>
      <c r="K339" s="75"/>
      <c r="L339" s="75"/>
      <c r="M339" s="75"/>
      <c r="N339" s="75"/>
      <c r="O339" s="75"/>
    </row>
    <row r="340">
      <c r="F340" s="181"/>
      <c r="G340" s="181"/>
      <c r="H340" s="181"/>
      <c r="I340" s="75"/>
      <c r="J340" s="75"/>
      <c r="K340" s="75"/>
      <c r="L340" s="75"/>
      <c r="M340" s="75"/>
      <c r="N340" s="75"/>
      <c r="O340" s="75"/>
    </row>
    <row r="341">
      <c r="F341" s="181"/>
      <c r="G341" s="181"/>
      <c r="H341" s="181"/>
      <c r="I341" s="75"/>
      <c r="J341" s="75"/>
      <c r="K341" s="75"/>
      <c r="L341" s="75"/>
      <c r="M341" s="75"/>
      <c r="N341" s="75"/>
      <c r="O341" s="75"/>
    </row>
    <row r="342">
      <c r="F342" s="181"/>
      <c r="G342" s="181"/>
      <c r="H342" s="181"/>
      <c r="I342" s="75"/>
      <c r="J342" s="75"/>
      <c r="K342" s="75"/>
      <c r="L342" s="75"/>
      <c r="M342" s="75"/>
      <c r="N342" s="75"/>
      <c r="O342" s="75"/>
    </row>
    <row r="343">
      <c r="F343" s="181"/>
      <c r="G343" s="181"/>
      <c r="H343" s="181"/>
      <c r="I343" s="75"/>
      <c r="J343" s="75"/>
      <c r="K343" s="75"/>
      <c r="L343" s="75"/>
      <c r="M343" s="75"/>
      <c r="N343" s="75"/>
      <c r="O343" s="75"/>
    </row>
    <row r="344">
      <c r="F344" s="181"/>
      <c r="G344" s="181"/>
      <c r="H344" s="181"/>
      <c r="I344" s="75"/>
      <c r="J344" s="75"/>
      <c r="K344" s="75"/>
      <c r="L344" s="75"/>
      <c r="M344" s="75"/>
      <c r="N344" s="75"/>
      <c r="O344" s="75"/>
    </row>
    <row r="345">
      <c r="F345" s="181"/>
      <c r="G345" s="181"/>
      <c r="H345" s="181"/>
      <c r="I345" s="75"/>
      <c r="J345" s="75"/>
      <c r="K345" s="75"/>
      <c r="L345" s="75"/>
      <c r="M345" s="75"/>
      <c r="N345" s="75"/>
      <c r="O345" s="75"/>
    </row>
    <row r="346">
      <c r="F346" s="181"/>
      <c r="G346" s="181"/>
      <c r="H346" s="181"/>
      <c r="I346" s="75"/>
      <c r="J346" s="75"/>
      <c r="K346" s="75"/>
      <c r="L346" s="75"/>
      <c r="M346" s="75"/>
      <c r="N346" s="75"/>
      <c r="O346" s="75"/>
    </row>
    <row r="347">
      <c r="F347" s="181"/>
      <c r="G347" s="181"/>
      <c r="H347" s="181"/>
      <c r="I347" s="75"/>
      <c r="J347" s="75"/>
      <c r="K347" s="75"/>
      <c r="L347" s="75"/>
      <c r="M347" s="75"/>
      <c r="N347" s="75"/>
      <c r="O347" s="75"/>
    </row>
    <row r="348">
      <c r="F348" s="181"/>
      <c r="G348" s="181"/>
      <c r="H348" s="181"/>
      <c r="I348" s="75"/>
      <c r="J348" s="75"/>
      <c r="K348" s="75"/>
      <c r="L348" s="75"/>
      <c r="M348" s="75"/>
      <c r="N348" s="75"/>
      <c r="O348" s="75"/>
    </row>
    <row r="349">
      <c r="F349" s="181"/>
      <c r="G349" s="181"/>
      <c r="H349" s="181"/>
      <c r="I349" s="75"/>
      <c r="J349" s="75"/>
      <c r="K349" s="75"/>
      <c r="L349" s="75"/>
      <c r="M349" s="75"/>
      <c r="N349" s="75"/>
      <c r="O349" s="75"/>
    </row>
    <row r="350">
      <c r="F350" s="181"/>
      <c r="G350" s="181"/>
      <c r="H350" s="181"/>
      <c r="I350" s="75"/>
      <c r="J350" s="75"/>
      <c r="K350" s="75"/>
      <c r="L350" s="75"/>
      <c r="M350" s="75"/>
      <c r="N350" s="75"/>
      <c r="O350" s="75"/>
    </row>
    <row r="351">
      <c r="F351" s="181"/>
      <c r="G351" s="181"/>
      <c r="H351" s="181"/>
      <c r="I351" s="75"/>
      <c r="J351" s="75"/>
      <c r="K351" s="75"/>
      <c r="L351" s="75"/>
      <c r="M351" s="75"/>
      <c r="N351" s="75"/>
      <c r="O351" s="75"/>
    </row>
    <row r="352">
      <c r="F352" s="181"/>
      <c r="G352" s="181"/>
      <c r="H352" s="181"/>
      <c r="I352" s="75"/>
      <c r="J352" s="75"/>
      <c r="K352" s="75"/>
      <c r="L352" s="75"/>
      <c r="M352" s="75"/>
      <c r="N352" s="75"/>
      <c r="O352" s="75"/>
    </row>
    <row r="353">
      <c r="F353" s="181"/>
      <c r="G353" s="181"/>
      <c r="H353" s="181"/>
      <c r="I353" s="75"/>
      <c r="J353" s="75"/>
      <c r="K353" s="75"/>
      <c r="L353" s="75"/>
      <c r="M353" s="75"/>
      <c r="N353" s="75"/>
      <c r="O353" s="75"/>
    </row>
    <row r="354">
      <c r="F354" s="181"/>
      <c r="G354" s="181"/>
      <c r="H354" s="181"/>
      <c r="I354" s="75"/>
      <c r="J354" s="75"/>
      <c r="K354" s="75"/>
      <c r="L354" s="75"/>
      <c r="M354" s="75"/>
      <c r="N354" s="75"/>
      <c r="O354" s="75"/>
    </row>
    <row r="355">
      <c r="F355" s="181"/>
      <c r="G355" s="181"/>
      <c r="H355" s="181"/>
      <c r="I355" s="75"/>
      <c r="J355" s="75"/>
      <c r="K355" s="75"/>
      <c r="L355" s="75"/>
      <c r="M355" s="75"/>
      <c r="N355" s="75"/>
      <c r="O355" s="75"/>
    </row>
    <row r="356">
      <c r="F356" s="181"/>
      <c r="G356" s="181"/>
      <c r="H356" s="181"/>
      <c r="I356" s="75"/>
      <c r="J356" s="75"/>
      <c r="K356" s="75"/>
      <c r="L356" s="75"/>
      <c r="M356" s="75"/>
      <c r="N356" s="75"/>
      <c r="O356" s="75"/>
    </row>
    <row r="357">
      <c r="F357" s="181"/>
      <c r="G357" s="181"/>
      <c r="H357" s="181"/>
      <c r="I357" s="75"/>
      <c r="J357" s="75"/>
      <c r="K357" s="75"/>
      <c r="L357" s="75"/>
      <c r="M357" s="75"/>
      <c r="N357" s="75"/>
      <c r="O357" s="75"/>
    </row>
    <row r="358">
      <c r="F358" s="181"/>
      <c r="G358" s="181"/>
      <c r="H358" s="181"/>
      <c r="I358" s="75"/>
      <c r="J358" s="75"/>
      <c r="K358" s="75"/>
      <c r="L358" s="75"/>
      <c r="M358" s="75"/>
      <c r="N358" s="75"/>
      <c r="O358" s="75"/>
    </row>
    <row r="359">
      <c r="F359" s="181"/>
      <c r="G359" s="181"/>
      <c r="H359" s="181"/>
      <c r="I359" s="75"/>
      <c r="J359" s="75"/>
      <c r="K359" s="75"/>
      <c r="L359" s="75"/>
      <c r="M359" s="75"/>
      <c r="N359" s="75"/>
      <c r="O359" s="75"/>
    </row>
    <row r="360">
      <c r="F360" s="181"/>
      <c r="G360" s="181"/>
      <c r="H360" s="181"/>
      <c r="I360" s="75"/>
      <c r="J360" s="75"/>
      <c r="K360" s="75"/>
      <c r="L360" s="75"/>
      <c r="M360" s="75"/>
      <c r="N360" s="75"/>
      <c r="O360" s="75"/>
    </row>
    <row r="361">
      <c r="F361" s="181"/>
      <c r="G361" s="181"/>
      <c r="H361" s="181"/>
      <c r="I361" s="75"/>
      <c r="J361" s="75"/>
      <c r="K361" s="75"/>
      <c r="L361" s="75"/>
      <c r="M361" s="75"/>
      <c r="N361" s="75"/>
      <c r="O361" s="75"/>
    </row>
    <row r="362">
      <c r="F362" s="181"/>
      <c r="G362" s="181"/>
      <c r="H362" s="181"/>
      <c r="I362" s="75"/>
      <c r="J362" s="75"/>
      <c r="K362" s="75"/>
      <c r="L362" s="75"/>
      <c r="M362" s="75"/>
      <c r="N362" s="75"/>
      <c r="O362" s="75"/>
    </row>
    <row r="363">
      <c r="F363" s="181"/>
      <c r="G363" s="181"/>
      <c r="H363" s="181"/>
      <c r="I363" s="75"/>
      <c r="J363" s="75"/>
      <c r="K363" s="75"/>
      <c r="L363" s="75"/>
      <c r="M363" s="75"/>
      <c r="N363" s="75"/>
      <c r="O363" s="75"/>
    </row>
    <row r="364">
      <c r="F364" s="181"/>
      <c r="G364" s="181"/>
      <c r="H364" s="181"/>
      <c r="I364" s="75"/>
      <c r="J364" s="75"/>
      <c r="K364" s="75"/>
      <c r="L364" s="75"/>
      <c r="M364" s="75"/>
      <c r="N364" s="75"/>
      <c r="O364" s="75"/>
    </row>
    <row r="365">
      <c r="F365" s="181"/>
      <c r="G365" s="181"/>
      <c r="H365" s="181"/>
      <c r="I365" s="75"/>
      <c r="J365" s="75"/>
      <c r="K365" s="75"/>
      <c r="L365" s="75"/>
      <c r="M365" s="75"/>
      <c r="N365" s="75"/>
      <c r="O365" s="75"/>
    </row>
    <row r="366">
      <c r="F366" s="181"/>
      <c r="G366" s="181"/>
      <c r="H366" s="181"/>
      <c r="I366" s="75"/>
      <c r="J366" s="75"/>
      <c r="K366" s="75"/>
      <c r="L366" s="75"/>
      <c r="M366" s="75"/>
      <c r="N366" s="75"/>
      <c r="O366" s="75"/>
    </row>
    <row r="367">
      <c r="F367" s="181"/>
      <c r="G367" s="181"/>
      <c r="H367" s="181"/>
      <c r="I367" s="75"/>
      <c r="J367" s="75"/>
      <c r="K367" s="75"/>
      <c r="L367" s="75"/>
      <c r="M367" s="75"/>
      <c r="N367" s="75"/>
      <c r="O367" s="75"/>
    </row>
    <row r="368">
      <c r="F368" s="181"/>
      <c r="G368" s="181"/>
      <c r="H368" s="181"/>
      <c r="I368" s="75"/>
      <c r="J368" s="75"/>
      <c r="K368" s="75"/>
      <c r="L368" s="75"/>
      <c r="M368" s="75"/>
      <c r="N368" s="75"/>
      <c r="O368" s="75"/>
    </row>
    <row r="369">
      <c r="F369" s="181"/>
      <c r="G369" s="181"/>
      <c r="H369" s="181"/>
      <c r="I369" s="75"/>
      <c r="J369" s="75"/>
      <c r="K369" s="75"/>
      <c r="L369" s="75"/>
      <c r="M369" s="75"/>
      <c r="N369" s="75"/>
      <c r="O369" s="75"/>
    </row>
    <row r="370">
      <c r="F370" s="181"/>
      <c r="G370" s="181"/>
      <c r="H370" s="181"/>
      <c r="I370" s="75"/>
      <c r="J370" s="75"/>
      <c r="K370" s="75"/>
      <c r="L370" s="75"/>
      <c r="M370" s="75"/>
      <c r="N370" s="75"/>
      <c r="O370" s="75"/>
    </row>
    <row r="371">
      <c r="F371" s="181"/>
      <c r="G371" s="181"/>
      <c r="H371" s="181"/>
      <c r="I371" s="75"/>
      <c r="J371" s="75"/>
      <c r="K371" s="75"/>
      <c r="L371" s="75"/>
      <c r="M371" s="75"/>
      <c r="N371" s="75"/>
      <c r="O371" s="75"/>
    </row>
    <row r="372">
      <c r="F372" s="181"/>
      <c r="G372" s="181"/>
      <c r="H372" s="181"/>
      <c r="I372" s="75"/>
      <c r="J372" s="75"/>
      <c r="K372" s="75"/>
      <c r="L372" s="75"/>
      <c r="M372" s="75"/>
      <c r="N372" s="75"/>
      <c r="O372" s="75"/>
    </row>
    <row r="373">
      <c r="F373" s="181"/>
      <c r="G373" s="181"/>
      <c r="H373" s="181"/>
      <c r="I373" s="75"/>
      <c r="J373" s="75"/>
      <c r="K373" s="75"/>
      <c r="L373" s="75"/>
      <c r="M373" s="75"/>
      <c r="N373" s="75"/>
      <c r="O373" s="75"/>
    </row>
    <row r="374">
      <c r="F374" s="181"/>
      <c r="G374" s="181"/>
      <c r="H374" s="181"/>
      <c r="I374" s="75"/>
      <c r="J374" s="75"/>
      <c r="K374" s="75"/>
      <c r="L374" s="75"/>
      <c r="M374" s="75"/>
      <c r="N374" s="75"/>
      <c r="O374" s="75"/>
    </row>
    <row r="375">
      <c r="F375" s="181"/>
      <c r="G375" s="181"/>
      <c r="H375" s="181"/>
      <c r="I375" s="75"/>
      <c r="J375" s="75"/>
      <c r="K375" s="75"/>
      <c r="L375" s="75"/>
      <c r="M375" s="75"/>
      <c r="N375" s="75"/>
      <c r="O375" s="75"/>
    </row>
    <row r="376">
      <c r="F376" s="181"/>
      <c r="G376" s="181"/>
      <c r="H376" s="181"/>
      <c r="I376" s="75"/>
      <c r="J376" s="75"/>
      <c r="K376" s="75"/>
      <c r="L376" s="75"/>
      <c r="M376" s="75"/>
      <c r="N376" s="75"/>
      <c r="O376" s="75"/>
    </row>
    <row r="377">
      <c r="F377" s="181"/>
      <c r="G377" s="181"/>
      <c r="H377" s="181"/>
      <c r="I377" s="75"/>
      <c r="J377" s="75"/>
      <c r="K377" s="75"/>
      <c r="L377" s="75"/>
      <c r="M377" s="75"/>
      <c r="N377" s="75"/>
      <c r="O377" s="75"/>
    </row>
    <row r="378">
      <c r="F378" s="181"/>
      <c r="G378" s="181"/>
      <c r="H378" s="181"/>
      <c r="I378" s="75"/>
      <c r="J378" s="75"/>
      <c r="K378" s="75"/>
      <c r="L378" s="75"/>
      <c r="M378" s="75"/>
      <c r="N378" s="75"/>
      <c r="O378" s="75"/>
    </row>
    <row r="379">
      <c r="F379" s="181"/>
      <c r="G379" s="181"/>
      <c r="H379" s="181"/>
      <c r="I379" s="75"/>
      <c r="J379" s="75"/>
      <c r="K379" s="75"/>
      <c r="L379" s="75"/>
      <c r="M379" s="75"/>
      <c r="N379" s="75"/>
      <c r="O379" s="75"/>
    </row>
    <row r="380">
      <c r="F380" s="181"/>
      <c r="G380" s="181"/>
      <c r="H380" s="181"/>
      <c r="I380" s="75"/>
      <c r="J380" s="75"/>
      <c r="K380" s="75"/>
      <c r="L380" s="75"/>
      <c r="M380" s="75"/>
      <c r="N380" s="75"/>
      <c r="O380" s="75"/>
    </row>
    <row r="381">
      <c r="F381" s="181"/>
      <c r="G381" s="181"/>
      <c r="H381" s="181"/>
      <c r="I381" s="75"/>
      <c r="J381" s="75"/>
      <c r="K381" s="75"/>
      <c r="L381" s="75"/>
      <c r="M381" s="75"/>
      <c r="N381" s="75"/>
      <c r="O381" s="75"/>
    </row>
    <row r="382">
      <c r="F382" s="181"/>
      <c r="G382" s="181"/>
      <c r="H382" s="181"/>
      <c r="I382" s="75"/>
      <c r="J382" s="75"/>
      <c r="K382" s="75"/>
      <c r="L382" s="75"/>
      <c r="M382" s="75"/>
      <c r="N382" s="75"/>
      <c r="O382" s="75"/>
    </row>
    <row r="383">
      <c r="F383" s="181"/>
      <c r="G383" s="181"/>
      <c r="H383" s="181"/>
      <c r="I383" s="75"/>
      <c r="J383" s="75"/>
      <c r="K383" s="75"/>
      <c r="L383" s="75"/>
      <c r="M383" s="75"/>
      <c r="N383" s="75"/>
      <c r="O383" s="75"/>
    </row>
    <row r="384">
      <c r="F384" s="181"/>
      <c r="G384" s="181"/>
      <c r="H384" s="181"/>
      <c r="I384" s="75"/>
      <c r="J384" s="75"/>
      <c r="K384" s="75"/>
      <c r="L384" s="75"/>
      <c r="M384" s="75"/>
      <c r="N384" s="75"/>
      <c r="O384" s="75"/>
    </row>
    <row r="385">
      <c r="F385" s="181"/>
      <c r="G385" s="181"/>
      <c r="H385" s="181"/>
      <c r="I385" s="75"/>
      <c r="J385" s="75"/>
      <c r="K385" s="75"/>
      <c r="L385" s="75"/>
      <c r="M385" s="75"/>
      <c r="N385" s="75"/>
      <c r="O385" s="75"/>
    </row>
    <row r="386">
      <c r="F386" s="181"/>
      <c r="G386" s="181"/>
      <c r="H386" s="181"/>
      <c r="I386" s="75"/>
      <c r="J386" s="75"/>
      <c r="K386" s="75"/>
      <c r="L386" s="75"/>
      <c r="M386" s="75"/>
      <c r="N386" s="75"/>
      <c r="O386" s="75"/>
    </row>
    <row r="387">
      <c r="F387" s="181"/>
      <c r="G387" s="181"/>
      <c r="H387" s="181"/>
      <c r="I387" s="75"/>
      <c r="J387" s="75"/>
      <c r="K387" s="75"/>
      <c r="L387" s="75"/>
      <c r="M387" s="75"/>
      <c r="N387" s="75"/>
      <c r="O387" s="75"/>
    </row>
    <row r="388">
      <c r="F388" s="181"/>
      <c r="G388" s="181"/>
      <c r="H388" s="181"/>
      <c r="I388" s="75"/>
      <c r="J388" s="75"/>
      <c r="K388" s="75"/>
      <c r="L388" s="75"/>
      <c r="M388" s="75"/>
      <c r="N388" s="75"/>
      <c r="O388" s="75"/>
    </row>
    <row r="389">
      <c r="F389" s="181"/>
      <c r="G389" s="181"/>
      <c r="H389" s="181"/>
      <c r="I389" s="75"/>
      <c r="J389" s="75"/>
      <c r="K389" s="75"/>
      <c r="L389" s="75"/>
      <c r="M389" s="75"/>
      <c r="N389" s="75"/>
      <c r="O389" s="75"/>
    </row>
    <row r="390">
      <c r="F390" s="181"/>
      <c r="G390" s="181"/>
      <c r="H390" s="181"/>
      <c r="I390" s="75"/>
      <c r="J390" s="75"/>
      <c r="K390" s="75"/>
      <c r="L390" s="75"/>
      <c r="M390" s="75"/>
      <c r="N390" s="75"/>
      <c r="O390" s="75"/>
    </row>
    <row r="391">
      <c r="F391" s="181"/>
      <c r="G391" s="181"/>
      <c r="H391" s="181"/>
      <c r="I391" s="75"/>
      <c r="J391" s="75"/>
      <c r="K391" s="75"/>
      <c r="L391" s="75"/>
      <c r="M391" s="75"/>
      <c r="N391" s="75"/>
      <c r="O391" s="75"/>
    </row>
    <row r="392">
      <c r="F392" s="181"/>
      <c r="G392" s="181"/>
      <c r="H392" s="181"/>
      <c r="I392" s="75"/>
      <c r="J392" s="75"/>
      <c r="K392" s="75"/>
      <c r="L392" s="75"/>
      <c r="M392" s="75"/>
      <c r="N392" s="75"/>
      <c r="O392" s="75"/>
    </row>
    <row r="393">
      <c r="F393" s="181"/>
      <c r="G393" s="181"/>
      <c r="H393" s="181"/>
      <c r="I393" s="75"/>
      <c r="J393" s="75"/>
      <c r="K393" s="75"/>
      <c r="L393" s="75"/>
      <c r="M393" s="75"/>
      <c r="N393" s="75"/>
      <c r="O393" s="75"/>
    </row>
    <row r="394">
      <c r="F394" s="181"/>
      <c r="G394" s="181"/>
      <c r="H394" s="181"/>
      <c r="I394" s="75"/>
      <c r="J394" s="75"/>
      <c r="K394" s="75"/>
      <c r="L394" s="75"/>
      <c r="M394" s="75"/>
      <c r="N394" s="75"/>
      <c r="O394" s="75"/>
    </row>
    <row r="395">
      <c r="F395" s="181"/>
      <c r="G395" s="181"/>
      <c r="H395" s="181"/>
      <c r="I395" s="75"/>
      <c r="J395" s="75"/>
      <c r="K395" s="75"/>
      <c r="L395" s="75"/>
      <c r="M395" s="75"/>
      <c r="N395" s="75"/>
      <c r="O395" s="75"/>
    </row>
    <row r="396">
      <c r="F396" s="181"/>
      <c r="G396" s="181"/>
      <c r="H396" s="181"/>
      <c r="I396" s="75"/>
      <c r="J396" s="75"/>
      <c r="K396" s="75"/>
      <c r="L396" s="75"/>
      <c r="M396" s="75"/>
      <c r="N396" s="75"/>
      <c r="O396" s="75"/>
    </row>
    <row r="397">
      <c r="F397" s="181"/>
      <c r="G397" s="181"/>
      <c r="H397" s="181"/>
      <c r="I397" s="75"/>
      <c r="J397" s="75"/>
      <c r="K397" s="75"/>
      <c r="L397" s="75"/>
      <c r="M397" s="75"/>
      <c r="N397" s="75"/>
      <c r="O397" s="75"/>
    </row>
    <row r="398">
      <c r="F398" s="181"/>
      <c r="G398" s="181"/>
      <c r="H398" s="181"/>
      <c r="I398" s="75"/>
      <c r="J398" s="75"/>
      <c r="K398" s="75"/>
      <c r="L398" s="75"/>
      <c r="M398" s="75"/>
      <c r="N398" s="75"/>
      <c r="O398" s="75"/>
    </row>
    <row r="399">
      <c r="F399" s="181"/>
      <c r="G399" s="181"/>
      <c r="H399" s="181"/>
      <c r="I399" s="75"/>
      <c r="J399" s="75"/>
      <c r="K399" s="75"/>
      <c r="L399" s="75"/>
      <c r="M399" s="75"/>
      <c r="N399" s="75"/>
      <c r="O399" s="75"/>
    </row>
    <row r="400">
      <c r="F400" s="181"/>
      <c r="G400" s="181"/>
      <c r="H400" s="181"/>
      <c r="I400" s="75"/>
      <c r="J400" s="75"/>
      <c r="K400" s="75"/>
      <c r="L400" s="75"/>
      <c r="M400" s="75"/>
      <c r="N400" s="75"/>
      <c r="O400" s="75"/>
    </row>
    <row r="401">
      <c r="F401" s="181"/>
      <c r="G401" s="181"/>
      <c r="H401" s="181"/>
      <c r="I401" s="75"/>
      <c r="J401" s="75"/>
      <c r="K401" s="75"/>
      <c r="L401" s="75"/>
      <c r="M401" s="75"/>
      <c r="N401" s="75"/>
      <c r="O401" s="75"/>
    </row>
    <row r="402">
      <c r="F402" s="181"/>
      <c r="G402" s="181"/>
      <c r="H402" s="181"/>
      <c r="I402" s="75"/>
      <c r="J402" s="75"/>
      <c r="K402" s="75"/>
      <c r="L402" s="75"/>
      <c r="M402" s="75"/>
      <c r="N402" s="75"/>
      <c r="O402" s="75"/>
    </row>
    <row r="403">
      <c r="F403" s="181"/>
      <c r="G403" s="181"/>
      <c r="H403" s="181"/>
      <c r="I403" s="75"/>
      <c r="J403" s="75"/>
      <c r="K403" s="75"/>
      <c r="L403" s="75"/>
      <c r="M403" s="75"/>
      <c r="N403" s="75"/>
      <c r="O403" s="75"/>
    </row>
    <row r="404">
      <c r="F404" s="181"/>
      <c r="G404" s="181"/>
      <c r="H404" s="181"/>
      <c r="I404" s="75"/>
      <c r="J404" s="75"/>
      <c r="K404" s="75"/>
      <c r="L404" s="75"/>
      <c r="M404" s="75"/>
      <c r="N404" s="75"/>
      <c r="O404" s="75"/>
    </row>
    <row r="405">
      <c r="F405" s="181"/>
      <c r="G405" s="181"/>
      <c r="H405" s="181"/>
      <c r="I405" s="75"/>
      <c r="J405" s="75"/>
      <c r="K405" s="75"/>
      <c r="L405" s="75"/>
      <c r="M405" s="75"/>
      <c r="N405" s="75"/>
      <c r="O405" s="75"/>
    </row>
    <row r="406">
      <c r="F406" s="181"/>
      <c r="G406" s="181"/>
      <c r="H406" s="181"/>
      <c r="I406" s="75"/>
      <c r="J406" s="75"/>
      <c r="K406" s="75"/>
      <c r="L406" s="75"/>
      <c r="M406" s="75"/>
      <c r="N406" s="75"/>
      <c r="O406" s="75"/>
    </row>
    <row r="407">
      <c r="F407" s="181"/>
      <c r="G407" s="181"/>
      <c r="H407" s="181"/>
      <c r="I407" s="75"/>
      <c r="J407" s="75"/>
      <c r="K407" s="75"/>
      <c r="L407" s="75"/>
      <c r="M407" s="75"/>
      <c r="N407" s="75"/>
      <c r="O407" s="75"/>
    </row>
    <row r="408">
      <c r="F408" s="181"/>
      <c r="G408" s="181"/>
      <c r="H408" s="181"/>
      <c r="I408" s="75"/>
      <c r="J408" s="75"/>
      <c r="K408" s="75"/>
      <c r="L408" s="75"/>
      <c r="M408" s="75"/>
      <c r="N408" s="75"/>
      <c r="O408" s="75"/>
    </row>
    <row r="409">
      <c r="F409" s="181"/>
      <c r="G409" s="181"/>
      <c r="H409" s="181"/>
      <c r="I409" s="75"/>
      <c r="J409" s="75"/>
      <c r="K409" s="75"/>
      <c r="L409" s="75"/>
      <c r="M409" s="75"/>
      <c r="N409" s="75"/>
      <c r="O409" s="75"/>
    </row>
    <row r="410">
      <c r="F410" s="181"/>
      <c r="G410" s="181"/>
      <c r="H410" s="181"/>
      <c r="I410" s="75"/>
      <c r="J410" s="75"/>
      <c r="K410" s="75"/>
      <c r="L410" s="75"/>
      <c r="M410" s="75"/>
      <c r="N410" s="75"/>
      <c r="O410" s="75"/>
    </row>
    <row r="411">
      <c r="F411" s="181"/>
      <c r="G411" s="181"/>
      <c r="H411" s="181"/>
      <c r="I411" s="75"/>
      <c r="J411" s="75"/>
      <c r="K411" s="75"/>
      <c r="L411" s="75"/>
      <c r="M411" s="75"/>
      <c r="N411" s="75"/>
      <c r="O411" s="75"/>
    </row>
    <row r="412">
      <c r="F412" s="181"/>
      <c r="G412" s="181"/>
      <c r="H412" s="181"/>
      <c r="I412" s="75"/>
      <c r="J412" s="75"/>
      <c r="K412" s="75"/>
      <c r="L412" s="75"/>
      <c r="M412" s="75"/>
      <c r="N412" s="75"/>
      <c r="O412" s="75"/>
    </row>
    <row r="413">
      <c r="F413" s="181"/>
      <c r="G413" s="181"/>
      <c r="H413" s="181"/>
      <c r="I413" s="75"/>
      <c r="J413" s="75"/>
      <c r="K413" s="75"/>
      <c r="L413" s="75"/>
      <c r="M413" s="75"/>
      <c r="N413" s="75"/>
      <c r="O413" s="75"/>
    </row>
    <row r="414">
      <c r="F414" s="181"/>
      <c r="G414" s="181"/>
      <c r="H414" s="181"/>
      <c r="I414" s="75"/>
      <c r="J414" s="75"/>
      <c r="K414" s="75"/>
      <c r="L414" s="75"/>
      <c r="M414" s="75"/>
      <c r="N414" s="75"/>
      <c r="O414" s="75"/>
    </row>
    <row r="415">
      <c r="F415" s="181"/>
      <c r="G415" s="181"/>
      <c r="H415" s="181"/>
      <c r="I415" s="75"/>
      <c r="J415" s="75"/>
      <c r="K415" s="75"/>
      <c r="L415" s="75"/>
      <c r="M415" s="75"/>
      <c r="N415" s="75"/>
      <c r="O415" s="75"/>
    </row>
    <row r="416">
      <c r="F416" s="181"/>
      <c r="G416" s="181"/>
      <c r="H416" s="181"/>
      <c r="I416" s="75"/>
      <c r="J416" s="75"/>
      <c r="K416" s="75"/>
      <c r="L416" s="75"/>
      <c r="M416" s="75"/>
      <c r="N416" s="75"/>
      <c r="O416" s="75"/>
    </row>
    <row r="417">
      <c r="F417" s="181"/>
      <c r="G417" s="181"/>
      <c r="H417" s="181"/>
      <c r="I417" s="75"/>
      <c r="J417" s="75"/>
      <c r="K417" s="75"/>
      <c r="L417" s="75"/>
      <c r="M417" s="75"/>
      <c r="N417" s="75"/>
      <c r="O417" s="75"/>
    </row>
    <row r="418">
      <c r="F418" s="181"/>
      <c r="G418" s="181"/>
      <c r="H418" s="181"/>
      <c r="I418" s="75"/>
      <c r="J418" s="75"/>
      <c r="K418" s="75"/>
      <c r="L418" s="75"/>
      <c r="M418" s="75"/>
      <c r="N418" s="75"/>
      <c r="O418" s="75"/>
    </row>
    <row r="419">
      <c r="F419" s="181"/>
      <c r="G419" s="181"/>
      <c r="H419" s="181"/>
      <c r="I419" s="75"/>
      <c r="J419" s="75"/>
      <c r="K419" s="75"/>
      <c r="L419" s="75"/>
      <c r="M419" s="75"/>
      <c r="N419" s="75"/>
      <c r="O419" s="75"/>
    </row>
    <row r="420">
      <c r="F420" s="181"/>
      <c r="G420" s="181"/>
      <c r="H420" s="181"/>
      <c r="I420" s="75"/>
      <c r="J420" s="75"/>
      <c r="K420" s="75"/>
      <c r="L420" s="75"/>
      <c r="M420" s="75"/>
      <c r="N420" s="75"/>
      <c r="O420" s="75"/>
    </row>
    <row r="421">
      <c r="F421" s="181"/>
      <c r="G421" s="181"/>
      <c r="H421" s="181"/>
      <c r="I421" s="75"/>
      <c r="J421" s="75"/>
      <c r="K421" s="75"/>
      <c r="L421" s="75"/>
      <c r="M421" s="75"/>
      <c r="N421" s="75"/>
      <c r="O421" s="75"/>
    </row>
    <row r="422">
      <c r="F422" s="181"/>
      <c r="G422" s="181"/>
      <c r="H422" s="181"/>
      <c r="I422" s="75"/>
      <c r="J422" s="75"/>
      <c r="K422" s="75"/>
      <c r="L422" s="75"/>
      <c r="M422" s="75"/>
      <c r="N422" s="75"/>
      <c r="O422" s="75"/>
    </row>
    <row r="423">
      <c r="F423" s="181"/>
      <c r="G423" s="181"/>
      <c r="H423" s="181"/>
      <c r="I423" s="75"/>
      <c r="J423" s="75"/>
      <c r="K423" s="75"/>
      <c r="L423" s="75"/>
      <c r="M423" s="75"/>
      <c r="N423" s="75"/>
      <c r="O423" s="75"/>
    </row>
    <row r="424">
      <c r="F424" s="181"/>
      <c r="G424" s="181"/>
      <c r="H424" s="181"/>
      <c r="I424" s="75"/>
      <c r="J424" s="75"/>
      <c r="K424" s="75"/>
      <c r="L424" s="75"/>
      <c r="M424" s="75"/>
      <c r="N424" s="75"/>
      <c r="O424" s="75"/>
    </row>
    <row r="425">
      <c r="F425" s="181"/>
      <c r="G425" s="181"/>
      <c r="H425" s="181"/>
      <c r="I425" s="75"/>
      <c r="J425" s="75"/>
      <c r="K425" s="75"/>
      <c r="L425" s="75"/>
      <c r="M425" s="75"/>
      <c r="N425" s="75"/>
      <c r="O425" s="75"/>
    </row>
    <row r="426">
      <c r="F426" s="181"/>
      <c r="G426" s="181"/>
      <c r="H426" s="181"/>
      <c r="I426" s="75"/>
      <c r="J426" s="75"/>
      <c r="K426" s="75"/>
      <c r="L426" s="75"/>
      <c r="M426" s="75"/>
      <c r="N426" s="75"/>
      <c r="O426" s="75"/>
    </row>
    <row r="427">
      <c r="F427" s="181"/>
      <c r="G427" s="181"/>
      <c r="H427" s="181"/>
      <c r="I427" s="75"/>
      <c r="J427" s="75"/>
      <c r="K427" s="75"/>
      <c r="L427" s="75"/>
      <c r="M427" s="75"/>
      <c r="N427" s="75"/>
      <c r="O427" s="75"/>
    </row>
    <row r="428">
      <c r="F428" s="181"/>
      <c r="G428" s="181"/>
      <c r="H428" s="181"/>
      <c r="I428" s="75"/>
      <c r="J428" s="75"/>
      <c r="K428" s="75"/>
      <c r="L428" s="75"/>
      <c r="M428" s="75"/>
      <c r="N428" s="75"/>
      <c r="O428" s="75"/>
    </row>
    <row r="429">
      <c r="F429" s="181"/>
      <c r="G429" s="181"/>
      <c r="H429" s="181"/>
      <c r="I429" s="75"/>
      <c r="J429" s="75"/>
      <c r="K429" s="75"/>
      <c r="L429" s="75"/>
      <c r="M429" s="75"/>
      <c r="N429" s="75"/>
      <c r="O429" s="75"/>
    </row>
    <row r="430">
      <c r="F430" s="181"/>
      <c r="G430" s="181"/>
      <c r="H430" s="181"/>
      <c r="I430" s="75"/>
      <c r="J430" s="75"/>
      <c r="K430" s="75"/>
      <c r="L430" s="75"/>
      <c r="M430" s="75"/>
      <c r="N430" s="75"/>
      <c r="O430" s="75"/>
    </row>
    <row r="431">
      <c r="F431" s="181"/>
      <c r="G431" s="181"/>
      <c r="H431" s="181"/>
      <c r="I431" s="75"/>
      <c r="J431" s="75"/>
      <c r="K431" s="75"/>
      <c r="L431" s="75"/>
      <c r="M431" s="75"/>
      <c r="N431" s="75"/>
      <c r="O431" s="75"/>
    </row>
    <row r="432">
      <c r="F432" s="181"/>
      <c r="G432" s="181"/>
      <c r="H432" s="181"/>
      <c r="I432" s="75"/>
      <c r="J432" s="75"/>
      <c r="K432" s="75"/>
      <c r="L432" s="75"/>
      <c r="M432" s="75"/>
      <c r="N432" s="75"/>
      <c r="O432" s="75"/>
    </row>
    <row r="433">
      <c r="F433" s="181"/>
      <c r="G433" s="181"/>
      <c r="H433" s="181"/>
      <c r="I433" s="75"/>
      <c r="J433" s="75"/>
      <c r="K433" s="75"/>
      <c r="L433" s="75"/>
      <c r="M433" s="75"/>
      <c r="N433" s="75"/>
      <c r="O433" s="75"/>
    </row>
    <row r="434">
      <c r="F434" s="181"/>
      <c r="G434" s="181"/>
      <c r="H434" s="181"/>
      <c r="I434" s="75"/>
      <c r="J434" s="75"/>
      <c r="K434" s="75"/>
      <c r="L434" s="75"/>
      <c r="M434" s="75"/>
      <c r="N434" s="75"/>
      <c r="O434" s="75"/>
    </row>
    <row r="435">
      <c r="F435" s="181"/>
      <c r="G435" s="181"/>
      <c r="H435" s="181"/>
      <c r="I435" s="75"/>
      <c r="J435" s="75"/>
      <c r="K435" s="75"/>
      <c r="L435" s="75"/>
      <c r="M435" s="75"/>
      <c r="N435" s="75"/>
      <c r="O435" s="75"/>
    </row>
    <row r="436">
      <c r="F436" s="181"/>
      <c r="G436" s="181"/>
      <c r="H436" s="181"/>
      <c r="I436" s="75"/>
      <c r="J436" s="75"/>
      <c r="K436" s="75"/>
      <c r="L436" s="75"/>
      <c r="M436" s="75"/>
      <c r="N436" s="75"/>
      <c r="O436" s="75"/>
    </row>
    <row r="437">
      <c r="F437" s="181"/>
      <c r="G437" s="181"/>
      <c r="H437" s="181"/>
      <c r="I437" s="75"/>
      <c r="J437" s="75"/>
      <c r="K437" s="75"/>
      <c r="L437" s="75"/>
      <c r="M437" s="75"/>
      <c r="N437" s="75"/>
      <c r="O437" s="75"/>
    </row>
    <row r="438">
      <c r="F438" s="181"/>
      <c r="G438" s="181"/>
      <c r="H438" s="181"/>
      <c r="I438" s="75"/>
      <c r="J438" s="75"/>
      <c r="K438" s="75"/>
      <c r="L438" s="75"/>
      <c r="M438" s="75"/>
      <c r="N438" s="75"/>
      <c r="O438" s="75"/>
    </row>
    <row r="439">
      <c r="F439" s="181"/>
      <c r="G439" s="181"/>
      <c r="H439" s="181"/>
      <c r="I439" s="75"/>
      <c r="J439" s="75"/>
      <c r="K439" s="75"/>
      <c r="L439" s="75"/>
      <c r="M439" s="75"/>
      <c r="N439" s="75"/>
      <c r="O439" s="75"/>
    </row>
    <row r="440">
      <c r="F440" s="181"/>
      <c r="G440" s="181"/>
      <c r="H440" s="181"/>
      <c r="I440" s="75"/>
      <c r="J440" s="75"/>
      <c r="K440" s="75"/>
      <c r="L440" s="75"/>
      <c r="M440" s="75"/>
      <c r="N440" s="75"/>
      <c r="O440" s="75"/>
    </row>
    <row r="441">
      <c r="F441" s="181"/>
      <c r="G441" s="181"/>
      <c r="H441" s="181"/>
      <c r="I441" s="75"/>
      <c r="J441" s="75"/>
      <c r="K441" s="75"/>
      <c r="L441" s="75"/>
      <c r="M441" s="75"/>
      <c r="N441" s="75"/>
      <c r="O441" s="75"/>
    </row>
    <row r="442">
      <c r="F442" s="181"/>
      <c r="G442" s="181"/>
      <c r="H442" s="181"/>
      <c r="I442" s="75"/>
      <c r="J442" s="75"/>
      <c r="K442" s="75"/>
      <c r="L442" s="75"/>
      <c r="M442" s="75"/>
      <c r="N442" s="75"/>
      <c r="O442" s="75"/>
    </row>
    <row r="443">
      <c r="F443" s="181"/>
      <c r="G443" s="181"/>
      <c r="H443" s="181"/>
      <c r="I443" s="75"/>
      <c r="J443" s="75"/>
      <c r="K443" s="75"/>
      <c r="L443" s="75"/>
      <c r="M443" s="75"/>
      <c r="N443" s="75"/>
      <c r="O443" s="75"/>
    </row>
    <row r="444">
      <c r="F444" s="181"/>
      <c r="G444" s="181"/>
      <c r="H444" s="181"/>
      <c r="I444" s="75"/>
      <c r="J444" s="75"/>
      <c r="K444" s="75"/>
      <c r="L444" s="75"/>
      <c r="M444" s="75"/>
      <c r="N444" s="75"/>
      <c r="O444" s="75"/>
    </row>
    <row r="445">
      <c r="F445" s="181"/>
      <c r="G445" s="181"/>
      <c r="H445" s="181"/>
      <c r="I445" s="75"/>
      <c r="J445" s="75"/>
      <c r="K445" s="75"/>
      <c r="L445" s="75"/>
      <c r="M445" s="75"/>
      <c r="N445" s="75"/>
      <c r="O445" s="75"/>
    </row>
    <row r="446">
      <c r="F446" s="181"/>
      <c r="G446" s="181"/>
      <c r="H446" s="181"/>
      <c r="I446" s="75"/>
      <c r="J446" s="75"/>
      <c r="K446" s="75"/>
      <c r="L446" s="75"/>
      <c r="M446" s="75"/>
      <c r="N446" s="75"/>
      <c r="O446" s="75"/>
    </row>
    <row r="447">
      <c r="F447" s="181"/>
      <c r="G447" s="181"/>
      <c r="H447" s="181"/>
      <c r="I447" s="75"/>
      <c r="J447" s="75"/>
      <c r="K447" s="75"/>
      <c r="L447" s="75"/>
      <c r="M447" s="75"/>
      <c r="N447" s="75"/>
      <c r="O447" s="75"/>
    </row>
    <row r="448">
      <c r="F448" s="181"/>
      <c r="G448" s="181"/>
      <c r="H448" s="181"/>
      <c r="I448" s="75"/>
      <c r="J448" s="75"/>
      <c r="K448" s="75"/>
      <c r="L448" s="75"/>
      <c r="M448" s="75"/>
      <c r="N448" s="75"/>
      <c r="O448" s="75"/>
    </row>
    <row r="449">
      <c r="F449" s="181"/>
      <c r="G449" s="181"/>
      <c r="H449" s="181"/>
      <c r="I449" s="75"/>
      <c r="J449" s="75"/>
      <c r="K449" s="75"/>
      <c r="L449" s="75"/>
      <c r="M449" s="75"/>
      <c r="N449" s="75"/>
      <c r="O449" s="75"/>
    </row>
    <row r="450">
      <c r="F450" s="181"/>
      <c r="G450" s="181"/>
      <c r="H450" s="181"/>
      <c r="I450" s="75"/>
      <c r="J450" s="75"/>
      <c r="K450" s="75"/>
      <c r="L450" s="75"/>
      <c r="M450" s="75"/>
      <c r="N450" s="75"/>
      <c r="O450" s="75"/>
    </row>
    <row r="451">
      <c r="F451" s="181"/>
      <c r="G451" s="181"/>
      <c r="H451" s="181"/>
      <c r="I451" s="75"/>
      <c r="J451" s="75"/>
      <c r="K451" s="75"/>
      <c r="L451" s="75"/>
      <c r="M451" s="75"/>
      <c r="N451" s="75"/>
      <c r="O451" s="75"/>
    </row>
    <row r="452">
      <c r="F452" s="181"/>
      <c r="G452" s="181"/>
      <c r="H452" s="181"/>
      <c r="I452" s="75"/>
      <c r="J452" s="75"/>
      <c r="K452" s="75"/>
      <c r="L452" s="75"/>
      <c r="M452" s="75"/>
      <c r="N452" s="75"/>
      <c r="O452" s="75"/>
    </row>
    <row r="453">
      <c r="F453" s="181"/>
      <c r="G453" s="181"/>
      <c r="H453" s="181"/>
      <c r="I453" s="75"/>
      <c r="J453" s="75"/>
      <c r="K453" s="75"/>
      <c r="L453" s="75"/>
      <c r="M453" s="75"/>
      <c r="N453" s="75"/>
      <c r="O453" s="75"/>
    </row>
    <row r="454">
      <c r="F454" s="181"/>
      <c r="G454" s="181"/>
      <c r="H454" s="181"/>
      <c r="I454" s="75"/>
      <c r="J454" s="75"/>
      <c r="K454" s="75"/>
      <c r="L454" s="75"/>
      <c r="M454" s="75"/>
      <c r="N454" s="75"/>
      <c r="O454" s="75"/>
    </row>
    <row r="455">
      <c r="F455" s="181"/>
      <c r="G455" s="181"/>
      <c r="H455" s="181"/>
      <c r="I455" s="75"/>
      <c r="J455" s="75"/>
      <c r="K455" s="75"/>
      <c r="L455" s="75"/>
      <c r="M455" s="75"/>
      <c r="N455" s="75"/>
      <c r="O455" s="75"/>
    </row>
    <row r="456">
      <c r="F456" s="181"/>
      <c r="G456" s="181"/>
      <c r="H456" s="181"/>
      <c r="I456" s="75"/>
      <c r="J456" s="75"/>
      <c r="K456" s="75"/>
      <c r="L456" s="75"/>
      <c r="M456" s="75"/>
      <c r="N456" s="75"/>
      <c r="O456" s="75"/>
    </row>
    <row r="457">
      <c r="F457" s="181"/>
      <c r="G457" s="181"/>
      <c r="H457" s="181"/>
      <c r="I457" s="75"/>
      <c r="J457" s="75"/>
      <c r="K457" s="75"/>
      <c r="L457" s="75"/>
      <c r="M457" s="75"/>
      <c r="N457" s="75"/>
      <c r="O457" s="75"/>
    </row>
    <row r="458">
      <c r="F458" s="181"/>
      <c r="G458" s="181"/>
      <c r="H458" s="181"/>
      <c r="I458" s="75"/>
      <c r="J458" s="75"/>
      <c r="K458" s="75"/>
      <c r="L458" s="75"/>
      <c r="M458" s="75"/>
      <c r="N458" s="75"/>
      <c r="O458" s="75"/>
    </row>
    <row r="459">
      <c r="F459" s="181"/>
      <c r="G459" s="181"/>
      <c r="H459" s="181"/>
      <c r="I459" s="75"/>
      <c r="J459" s="75"/>
      <c r="K459" s="75"/>
      <c r="L459" s="75"/>
      <c r="M459" s="75"/>
      <c r="N459" s="75"/>
      <c r="O459" s="75"/>
    </row>
    <row r="460">
      <c r="F460" s="181"/>
      <c r="G460" s="181"/>
      <c r="H460" s="181"/>
      <c r="I460" s="75"/>
      <c r="J460" s="75"/>
      <c r="K460" s="75"/>
      <c r="L460" s="75"/>
      <c r="M460" s="75"/>
      <c r="N460" s="75"/>
      <c r="O460" s="75"/>
    </row>
    <row r="461">
      <c r="F461" s="181"/>
      <c r="G461" s="181"/>
      <c r="H461" s="181"/>
      <c r="I461" s="75"/>
      <c r="J461" s="75"/>
      <c r="K461" s="75"/>
      <c r="L461" s="75"/>
      <c r="M461" s="75"/>
      <c r="N461" s="75"/>
      <c r="O461" s="75"/>
    </row>
    <row r="462">
      <c r="F462" s="181"/>
      <c r="G462" s="181"/>
      <c r="H462" s="181"/>
      <c r="I462" s="75"/>
      <c r="J462" s="75"/>
      <c r="K462" s="75"/>
      <c r="L462" s="75"/>
      <c r="M462" s="75"/>
      <c r="N462" s="75"/>
      <c r="O462" s="75"/>
    </row>
    <row r="463">
      <c r="F463" s="181"/>
      <c r="G463" s="181"/>
      <c r="H463" s="181"/>
      <c r="I463" s="75"/>
      <c r="J463" s="75"/>
      <c r="K463" s="75"/>
      <c r="L463" s="75"/>
      <c r="M463" s="75"/>
      <c r="N463" s="75"/>
      <c r="O463" s="75"/>
    </row>
    <row r="464">
      <c r="F464" s="181"/>
      <c r="G464" s="181"/>
      <c r="H464" s="181"/>
      <c r="I464" s="75"/>
      <c r="J464" s="75"/>
      <c r="K464" s="75"/>
      <c r="L464" s="75"/>
      <c r="M464" s="75"/>
      <c r="N464" s="75"/>
      <c r="O464" s="75"/>
    </row>
    <row r="465">
      <c r="F465" s="181"/>
      <c r="G465" s="181"/>
      <c r="H465" s="181"/>
      <c r="I465" s="75"/>
      <c r="J465" s="75"/>
      <c r="K465" s="75"/>
      <c r="L465" s="75"/>
      <c r="M465" s="75"/>
      <c r="N465" s="75"/>
      <c r="O465" s="75"/>
    </row>
    <row r="466">
      <c r="F466" s="181"/>
      <c r="G466" s="181"/>
      <c r="H466" s="181"/>
      <c r="I466" s="75"/>
      <c r="J466" s="75"/>
      <c r="K466" s="75"/>
      <c r="L466" s="75"/>
      <c r="M466" s="75"/>
      <c r="N466" s="75"/>
      <c r="O466" s="75"/>
    </row>
    <row r="467">
      <c r="F467" s="181"/>
      <c r="G467" s="181"/>
      <c r="H467" s="181"/>
      <c r="I467" s="75"/>
      <c r="J467" s="75"/>
      <c r="K467" s="75"/>
      <c r="L467" s="75"/>
      <c r="M467" s="75"/>
      <c r="N467" s="75"/>
      <c r="O467" s="75"/>
    </row>
    <row r="468">
      <c r="F468" s="181"/>
      <c r="G468" s="181"/>
      <c r="H468" s="181"/>
      <c r="I468" s="75"/>
      <c r="J468" s="75"/>
      <c r="K468" s="75"/>
      <c r="L468" s="75"/>
      <c r="M468" s="75"/>
      <c r="N468" s="75"/>
      <c r="O468" s="75"/>
    </row>
    <row r="469">
      <c r="F469" s="181"/>
      <c r="G469" s="181"/>
      <c r="H469" s="181"/>
      <c r="I469" s="75"/>
      <c r="J469" s="75"/>
      <c r="K469" s="75"/>
      <c r="L469" s="75"/>
      <c r="M469" s="75"/>
      <c r="N469" s="75"/>
      <c r="O469" s="75"/>
    </row>
    <row r="470">
      <c r="F470" s="181"/>
      <c r="G470" s="181"/>
      <c r="H470" s="181"/>
      <c r="I470" s="75"/>
      <c r="J470" s="75"/>
      <c r="K470" s="75"/>
      <c r="L470" s="75"/>
      <c r="M470" s="75"/>
      <c r="N470" s="75"/>
      <c r="O470" s="75"/>
    </row>
    <row r="471">
      <c r="F471" s="181"/>
      <c r="G471" s="181"/>
      <c r="H471" s="181"/>
      <c r="I471" s="75"/>
      <c r="J471" s="75"/>
      <c r="K471" s="75"/>
      <c r="L471" s="75"/>
      <c r="M471" s="75"/>
      <c r="N471" s="75"/>
      <c r="O471" s="75"/>
    </row>
    <row r="472">
      <c r="F472" s="181"/>
      <c r="G472" s="181"/>
      <c r="H472" s="181"/>
      <c r="I472" s="75"/>
      <c r="J472" s="75"/>
      <c r="K472" s="75"/>
      <c r="L472" s="75"/>
      <c r="M472" s="75"/>
      <c r="N472" s="75"/>
      <c r="O472" s="75"/>
    </row>
    <row r="473">
      <c r="F473" s="181"/>
      <c r="G473" s="181"/>
      <c r="H473" s="181"/>
      <c r="I473" s="75"/>
      <c r="J473" s="75"/>
      <c r="K473" s="75"/>
      <c r="L473" s="75"/>
      <c r="M473" s="75"/>
      <c r="N473" s="75"/>
      <c r="O473" s="75"/>
    </row>
    <row r="474">
      <c r="F474" s="181"/>
      <c r="G474" s="181"/>
      <c r="H474" s="181"/>
      <c r="I474" s="75"/>
      <c r="J474" s="75"/>
      <c r="K474" s="75"/>
      <c r="L474" s="75"/>
      <c r="M474" s="75"/>
      <c r="N474" s="75"/>
      <c r="O474" s="75"/>
    </row>
    <row r="475">
      <c r="F475" s="181"/>
      <c r="G475" s="181"/>
      <c r="H475" s="181"/>
      <c r="I475" s="75"/>
      <c r="J475" s="75"/>
      <c r="K475" s="75"/>
      <c r="L475" s="75"/>
      <c r="M475" s="75"/>
      <c r="N475" s="75"/>
      <c r="O475" s="75"/>
    </row>
    <row r="476">
      <c r="F476" s="181"/>
      <c r="G476" s="181"/>
      <c r="H476" s="181"/>
      <c r="I476" s="75"/>
      <c r="J476" s="75"/>
      <c r="K476" s="75"/>
      <c r="L476" s="75"/>
      <c r="M476" s="75"/>
      <c r="N476" s="75"/>
      <c r="O476" s="75"/>
    </row>
    <row r="477">
      <c r="F477" s="181"/>
      <c r="G477" s="181"/>
      <c r="H477" s="181"/>
      <c r="I477" s="75"/>
      <c r="J477" s="75"/>
      <c r="K477" s="75"/>
      <c r="L477" s="75"/>
      <c r="M477" s="75"/>
      <c r="N477" s="75"/>
      <c r="O477" s="75"/>
    </row>
    <row r="478">
      <c r="F478" s="181"/>
      <c r="G478" s="181"/>
      <c r="H478" s="181"/>
      <c r="I478" s="75"/>
      <c r="J478" s="75"/>
      <c r="K478" s="75"/>
      <c r="L478" s="75"/>
      <c r="M478" s="75"/>
      <c r="N478" s="75"/>
      <c r="O478" s="75"/>
    </row>
    <row r="479">
      <c r="F479" s="181"/>
      <c r="G479" s="181"/>
      <c r="H479" s="181"/>
      <c r="I479" s="75"/>
      <c r="J479" s="75"/>
      <c r="K479" s="75"/>
      <c r="L479" s="75"/>
      <c r="M479" s="75"/>
      <c r="N479" s="75"/>
      <c r="O479" s="75"/>
    </row>
    <row r="480">
      <c r="F480" s="181"/>
      <c r="G480" s="181"/>
      <c r="H480" s="181"/>
      <c r="I480" s="75"/>
      <c r="J480" s="75"/>
      <c r="K480" s="75"/>
      <c r="L480" s="75"/>
      <c r="M480" s="75"/>
      <c r="N480" s="75"/>
      <c r="O480" s="75"/>
    </row>
    <row r="481">
      <c r="F481" s="181"/>
      <c r="G481" s="181"/>
      <c r="H481" s="181"/>
      <c r="I481" s="75"/>
      <c r="J481" s="75"/>
      <c r="K481" s="75"/>
      <c r="L481" s="75"/>
      <c r="M481" s="75"/>
      <c r="N481" s="75"/>
      <c r="O481" s="75"/>
    </row>
    <row r="482">
      <c r="F482" s="181"/>
      <c r="G482" s="181"/>
      <c r="H482" s="181"/>
      <c r="I482" s="75"/>
      <c r="J482" s="75"/>
      <c r="K482" s="75"/>
      <c r="L482" s="75"/>
      <c r="M482" s="75"/>
      <c r="N482" s="75"/>
      <c r="O482" s="75"/>
    </row>
    <row r="483">
      <c r="F483" s="181"/>
      <c r="G483" s="181"/>
      <c r="H483" s="181"/>
      <c r="I483" s="75"/>
      <c r="J483" s="75"/>
      <c r="K483" s="75"/>
      <c r="L483" s="75"/>
      <c r="M483" s="75"/>
      <c r="N483" s="75"/>
      <c r="O483" s="75"/>
    </row>
    <row r="484">
      <c r="F484" s="181"/>
      <c r="G484" s="181"/>
      <c r="H484" s="181"/>
      <c r="I484" s="75"/>
      <c r="J484" s="75"/>
      <c r="K484" s="75"/>
      <c r="L484" s="75"/>
      <c r="M484" s="75"/>
      <c r="N484" s="75"/>
      <c r="O484" s="75"/>
    </row>
    <row r="485">
      <c r="F485" s="181"/>
      <c r="G485" s="181"/>
      <c r="H485" s="181"/>
      <c r="I485" s="75"/>
      <c r="J485" s="75"/>
      <c r="K485" s="75"/>
      <c r="L485" s="75"/>
      <c r="M485" s="75"/>
      <c r="N485" s="75"/>
      <c r="O485" s="75"/>
    </row>
    <row r="486">
      <c r="F486" s="181"/>
      <c r="G486" s="181"/>
      <c r="H486" s="181"/>
      <c r="I486" s="75"/>
      <c r="J486" s="75"/>
      <c r="K486" s="75"/>
      <c r="L486" s="75"/>
      <c r="M486" s="75"/>
      <c r="N486" s="75"/>
      <c r="O486" s="75"/>
    </row>
    <row r="487">
      <c r="F487" s="181"/>
      <c r="G487" s="181"/>
      <c r="H487" s="181"/>
      <c r="I487" s="75"/>
      <c r="J487" s="75"/>
      <c r="K487" s="75"/>
      <c r="L487" s="75"/>
      <c r="M487" s="75"/>
      <c r="N487" s="75"/>
      <c r="O487" s="75"/>
    </row>
    <row r="488">
      <c r="F488" s="181"/>
      <c r="G488" s="181"/>
      <c r="H488" s="181"/>
      <c r="I488" s="75"/>
      <c r="J488" s="75"/>
      <c r="K488" s="75"/>
      <c r="L488" s="75"/>
      <c r="M488" s="75"/>
      <c r="N488" s="75"/>
      <c r="O488" s="75"/>
    </row>
    <row r="489">
      <c r="F489" s="181"/>
      <c r="G489" s="181"/>
      <c r="H489" s="181"/>
      <c r="I489" s="75"/>
      <c r="J489" s="75"/>
      <c r="K489" s="75"/>
      <c r="L489" s="75"/>
      <c r="M489" s="75"/>
      <c r="N489" s="75"/>
      <c r="O489" s="75"/>
    </row>
    <row r="490">
      <c r="F490" s="181"/>
      <c r="G490" s="181"/>
      <c r="H490" s="181"/>
      <c r="I490" s="75"/>
      <c r="J490" s="75"/>
      <c r="K490" s="75"/>
      <c r="L490" s="75"/>
      <c r="M490" s="75"/>
      <c r="N490" s="75"/>
      <c r="O490" s="75"/>
    </row>
    <row r="491">
      <c r="F491" s="181"/>
      <c r="G491" s="181"/>
      <c r="H491" s="181"/>
      <c r="I491" s="75"/>
      <c r="J491" s="75"/>
      <c r="K491" s="75"/>
      <c r="L491" s="75"/>
      <c r="M491" s="75"/>
      <c r="N491" s="75"/>
      <c r="O491" s="75"/>
    </row>
    <row r="492">
      <c r="F492" s="181"/>
      <c r="G492" s="181"/>
      <c r="H492" s="181"/>
      <c r="I492" s="75"/>
      <c r="J492" s="75"/>
      <c r="K492" s="75"/>
      <c r="L492" s="75"/>
      <c r="M492" s="75"/>
      <c r="N492" s="75"/>
      <c r="O492" s="75"/>
    </row>
    <row r="493">
      <c r="F493" s="181"/>
      <c r="G493" s="181"/>
      <c r="H493" s="181"/>
      <c r="I493" s="75"/>
      <c r="J493" s="75"/>
      <c r="K493" s="75"/>
      <c r="L493" s="75"/>
      <c r="M493" s="75"/>
      <c r="N493" s="75"/>
      <c r="O493" s="75"/>
    </row>
    <row r="494">
      <c r="F494" s="181"/>
      <c r="G494" s="181"/>
      <c r="H494" s="181"/>
      <c r="I494" s="75"/>
      <c r="J494" s="75"/>
      <c r="K494" s="75"/>
      <c r="L494" s="75"/>
      <c r="M494" s="75"/>
      <c r="N494" s="75"/>
      <c r="O494" s="75"/>
    </row>
    <row r="495">
      <c r="F495" s="181"/>
      <c r="G495" s="181"/>
      <c r="H495" s="181"/>
      <c r="I495" s="75"/>
      <c r="J495" s="75"/>
      <c r="K495" s="75"/>
      <c r="L495" s="75"/>
      <c r="M495" s="75"/>
      <c r="N495" s="75"/>
      <c r="O495" s="75"/>
    </row>
    <row r="496">
      <c r="F496" s="181"/>
      <c r="G496" s="181"/>
      <c r="H496" s="181"/>
      <c r="I496" s="75"/>
      <c r="J496" s="75"/>
      <c r="K496" s="75"/>
      <c r="L496" s="75"/>
      <c r="M496" s="75"/>
      <c r="N496" s="75"/>
      <c r="O496" s="75"/>
    </row>
    <row r="497">
      <c r="F497" s="181"/>
      <c r="G497" s="181"/>
      <c r="H497" s="181"/>
      <c r="I497" s="75"/>
      <c r="J497" s="75"/>
      <c r="K497" s="75"/>
      <c r="L497" s="75"/>
      <c r="M497" s="75"/>
      <c r="N497" s="75"/>
      <c r="O497" s="75"/>
    </row>
    <row r="498">
      <c r="F498" s="181"/>
      <c r="G498" s="181"/>
      <c r="H498" s="181"/>
      <c r="I498" s="75"/>
      <c r="J498" s="75"/>
      <c r="K498" s="75"/>
      <c r="L498" s="75"/>
      <c r="M498" s="75"/>
      <c r="N498" s="75"/>
      <c r="O498" s="75"/>
    </row>
    <row r="499">
      <c r="F499" s="181"/>
      <c r="G499" s="181"/>
      <c r="H499" s="181"/>
      <c r="I499" s="75"/>
      <c r="J499" s="75"/>
      <c r="K499" s="75"/>
      <c r="L499" s="75"/>
      <c r="M499" s="75"/>
      <c r="N499" s="75"/>
      <c r="O499" s="75"/>
    </row>
    <row r="500">
      <c r="F500" s="181"/>
      <c r="G500" s="181"/>
      <c r="H500" s="181"/>
      <c r="I500" s="75"/>
      <c r="J500" s="75"/>
      <c r="K500" s="75"/>
      <c r="L500" s="75"/>
      <c r="M500" s="75"/>
      <c r="N500" s="75"/>
      <c r="O500" s="75"/>
    </row>
    <row r="501">
      <c r="F501" s="181"/>
      <c r="G501" s="181"/>
      <c r="H501" s="181"/>
      <c r="I501" s="75"/>
      <c r="J501" s="75"/>
      <c r="K501" s="75"/>
      <c r="L501" s="75"/>
      <c r="M501" s="75"/>
      <c r="N501" s="75"/>
      <c r="O501" s="75"/>
    </row>
    <row r="502">
      <c r="F502" s="181"/>
      <c r="G502" s="181"/>
      <c r="H502" s="181"/>
      <c r="I502" s="75"/>
      <c r="J502" s="75"/>
      <c r="K502" s="75"/>
      <c r="L502" s="75"/>
      <c r="M502" s="75"/>
      <c r="N502" s="75"/>
      <c r="O502" s="75"/>
    </row>
    <row r="503">
      <c r="F503" s="181"/>
      <c r="G503" s="181"/>
      <c r="H503" s="181"/>
      <c r="I503" s="75"/>
      <c r="J503" s="75"/>
      <c r="K503" s="75"/>
      <c r="L503" s="75"/>
      <c r="M503" s="75"/>
      <c r="N503" s="75"/>
      <c r="O503" s="75"/>
    </row>
    <row r="504">
      <c r="F504" s="181"/>
      <c r="G504" s="181"/>
      <c r="H504" s="181"/>
      <c r="I504" s="75"/>
      <c r="J504" s="75"/>
      <c r="K504" s="75"/>
      <c r="L504" s="75"/>
      <c r="M504" s="75"/>
      <c r="N504" s="75"/>
      <c r="O504" s="75"/>
    </row>
    <row r="505">
      <c r="F505" s="181"/>
      <c r="G505" s="181"/>
      <c r="H505" s="181"/>
      <c r="I505" s="75"/>
      <c r="J505" s="75"/>
      <c r="K505" s="75"/>
      <c r="L505" s="75"/>
      <c r="M505" s="75"/>
      <c r="N505" s="75"/>
      <c r="O505" s="75"/>
    </row>
    <row r="506">
      <c r="F506" s="181"/>
      <c r="G506" s="181"/>
      <c r="H506" s="181"/>
      <c r="I506" s="75"/>
      <c r="J506" s="75"/>
      <c r="K506" s="75"/>
      <c r="L506" s="75"/>
      <c r="M506" s="75"/>
      <c r="N506" s="75"/>
      <c r="O506" s="75"/>
    </row>
    <row r="507">
      <c r="F507" s="181"/>
      <c r="G507" s="181"/>
      <c r="H507" s="181"/>
      <c r="I507" s="75"/>
      <c r="J507" s="75"/>
      <c r="K507" s="75"/>
      <c r="L507" s="75"/>
      <c r="M507" s="75"/>
      <c r="N507" s="75"/>
      <c r="O507" s="75"/>
    </row>
    <row r="508">
      <c r="F508" s="181"/>
      <c r="G508" s="181"/>
      <c r="H508" s="181"/>
      <c r="I508" s="75"/>
      <c r="J508" s="75"/>
      <c r="K508" s="75"/>
      <c r="L508" s="75"/>
      <c r="M508" s="75"/>
      <c r="N508" s="75"/>
      <c r="O508" s="75"/>
    </row>
    <row r="509">
      <c r="F509" s="181"/>
      <c r="G509" s="181"/>
      <c r="H509" s="181"/>
      <c r="I509" s="75"/>
      <c r="J509" s="75"/>
      <c r="K509" s="75"/>
      <c r="L509" s="75"/>
      <c r="M509" s="75"/>
      <c r="N509" s="75"/>
      <c r="O509" s="75"/>
    </row>
    <row r="510">
      <c r="F510" s="181"/>
      <c r="G510" s="181"/>
      <c r="H510" s="181"/>
      <c r="I510" s="75"/>
      <c r="J510" s="75"/>
      <c r="K510" s="75"/>
      <c r="L510" s="75"/>
      <c r="M510" s="75"/>
      <c r="N510" s="75"/>
      <c r="O510" s="75"/>
    </row>
    <row r="511">
      <c r="F511" s="181"/>
      <c r="G511" s="181"/>
      <c r="H511" s="181"/>
      <c r="I511" s="75"/>
      <c r="J511" s="75"/>
      <c r="K511" s="75"/>
      <c r="L511" s="75"/>
      <c r="M511" s="75"/>
      <c r="N511" s="75"/>
      <c r="O511" s="75"/>
    </row>
    <row r="512">
      <c r="F512" s="181"/>
      <c r="G512" s="181"/>
      <c r="H512" s="181"/>
      <c r="I512" s="75"/>
      <c r="J512" s="75"/>
      <c r="K512" s="75"/>
      <c r="L512" s="75"/>
      <c r="M512" s="75"/>
      <c r="N512" s="75"/>
      <c r="O512" s="75"/>
    </row>
    <row r="513">
      <c r="F513" s="181"/>
      <c r="G513" s="181"/>
      <c r="H513" s="181"/>
      <c r="I513" s="75"/>
      <c r="J513" s="75"/>
      <c r="K513" s="75"/>
      <c r="L513" s="75"/>
      <c r="M513" s="75"/>
      <c r="N513" s="75"/>
      <c r="O513" s="75"/>
    </row>
    <row r="514">
      <c r="F514" s="181"/>
      <c r="G514" s="181"/>
      <c r="H514" s="181"/>
      <c r="I514" s="75"/>
      <c r="J514" s="75"/>
      <c r="K514" s="75"/>
      <c r="L514" s="75"/>
      <c r="M514" s="75"/>
      <c r="N514" s="75"/>
      <c r="O514" s="75"/>
    </row>
    <row r="515">
      <c r="F515" s="181"/>
      <c r="G515" s="181"/>
      <c r="H515" s="181"/>
      <c r="I515" s="75"/>
      <c r="J515" s="75"/>
      <c r="K515" s="75"/>
      <c r="L515" s="75"/>
      <c r="M515" s="75"/>
      <c r="N515" s="75"/>
      <c r="O515" s="75"/>
    </row>
    <row r="516">
      <c r="F516" s="181"/>
      <c r="G516" s="181"/>
      <c r="H516" s="181"/>
      <c r="I516" s="75"/>
      <c r="J516" s="75"/>
      <c r="K516" s="75"/>
      <c r="L516" s="75"/>
      <c r="M516" s="75"/>
      <c r="N516" s="75"/>
      <c r="O516" s="75"/>
    </row>
    <row r="517">
      <c r="F517" s="181"/>
      <c r="G517" s="181"/>
      <c r="H517" s="181"/>
      <c r="I517" s="75"/>
      <c r="J517" s="75"/>
      <c r="K517" s="75"/>
      <c r="L517" s="75"/>
      <c r="M517" s="75"/>
      <c r="N517" s="75"/>
      <c r="O517" s="75"/>
    </row>
    <row r="518">
      <c r="F518" s="181"/>
      <c r="G518" s="181"/>
      <c r="H518" s="181"/>
      <c r="I518" s="75"/>
      <c r="J518" s="75"/>
      <c r="K518" s="75"/>
      <c r="L518" s="75"/>
      <c r="M518" s="75"/>
      <c r="N518" s="75"/>
      <c r="O518" s="75"/>
    </row>
    <row r="519">
      <c r="F519" s="181"/>
      <c r="G519" s="181"/>
      <c r="H519" s="181"/>
      <c r="I519" s="75"/>
      <c r="J519" s="75"/>
      <c r="K519" s="75"/>
      <c r="L519" s="75"/>
      <c r="M519" s="75"/>
      <c r="N519" s="75"/>
      <c r="O519" s="75"/>
    </row>
    <row r="520">
      <c r="F520" s="181"/>
      <c r="G520" s="181"/>
      <c r="H520" s="181"/>
      <c r="I520" s="75"/>
      <c r="J520" s="75"/>
      <c r="K520" s="75"/>
      <c r="L520" s="75"/>
      <c r="M520" s="75"/>
      <c r="N520" s="75"/>
      <c r="O520" s="75"/>
    </row>
    <row r="521">
      <c r="F521" s="181"/>
      <c r="G521" s="181"/>
      <c r="H521" s="181"/>
      <c r="I521" s="75"/>
      <c r="J521" s="75"/>
      <c r="K521" s="75"/>
      <c r="L521" s="75"/>
      <c r="M521" s="75"/>
      <c r="N521" s="75"/>
      <c r="O521" s="75"/>
    </row>
    <row r="522">
      <c r="F522" s="181"/>
      <c r="G522" s="181"/>
      <c r="H522" s="181"/>
      <c r="I522" s="75"/>
      <c r="J522" s="75"/>
      <c r="K522" s="75"/>
      <c r="L522" s="75"/>
      <c r="M522" s="75"/>
      <c r="N522" s="75"/>
      <c r="O522" s="75"/>
    </row>
    <row r="523">
      <c r="F523" s="181"/>
      <c r="G523" s="181"/>
      <c r="H523" s="181"/>
      <c r="I523" s="75"/>
      <c r="J523" s="75"/>
      <c r="K523" s="75"/>
      <c r="L523" s="75"/>
      <c r="M523" s="75"/>
      <c r="N523" s="75"/>
      <c r="O523" s="75"/>
    </row>
    <row r="524">
      <c r="F524" s="181"/>
      <c r="G524" s="181"/>
      <c r="H524" s="181"/>
      <c r="I524" s="75"/>
      <c r="J524" s="75"/>
      <c r="K524" s="75"/>
      <c r="L524" s="75"/>
      <c r="M524" s="75"/>
      <c r="N524" s="75"/>
      <c r="O524" s="75"/>
    </row>
    <row r="525">
      <c r="F525" s="181"/>
      <c r="G525" s="181"/>
      <c r="H525" s="181"/>
      <c r="I525" s="75"/>
      <c r="J525" s="75"/>
      <c r="K525" s="75"/>
      <c r="L525" s="75"/>
      <c r="M525" s="75"/>
      <c r="N525" s="75"/>
      <c r="O525" s="75"/>
    </row>
    <row r="526">
      <c r="F526" s="181"/>
      <c r="G526" s="181"/>
      <c r="H526" s="181"/>
      <c r="I526" s="75"/>
      <c r="J526" s="75"/>
      <c r="K526" s="75"/>
      <c r="L526" s="75"/>
      <c r="M526" s="75"/>
      <c r="N526" s="75"/>
      <c r="O526" s="75"/>
    </row>
    <row r="527">
      <c r="F527" s="181"/>
      <c r="G527" s="181"/>
      <c r="H527" s="181"/>
      <c r="I527" s="75"/>
      <c r="J527" s="75"/>
      <c r="K527" s="75"/>
      <c r="L527" s="75"/>
      <c r="M527" s="75"/>
      <c r="N527" s="75"/>
      <c r="O527" s="75"/>
    </row>
    <row r="528">
      <c r="F528" s="181"/>
      <c r="G528" s="181"/>
      <c r="H528" s="181"/>
      <c r="I528" s="75"/>
      <c r="J528" s="75"/>
      <c r="K528" s="75"/>
      <c r="L528" s="75"/>
      <c r="M528" s="75"/>
      <c r="N528" s="75"/>
      <c r="O528" s="75"/>
    </row>
    <row r="529">
      <c r="F529" s="181"/>
      <c r="G529" s="181"/>
      <c r="H529" s="181"/>
      <c r="I529" s="75"/>
      <c r="J529" s="75"/>
      <c r="K529" s="75"/>
      <c r="L529" s="75"/>
      <c r="M529" s="75"/>
      <c r="N529" s="75"/>
      <c r="O529" s="75"/>
    </row>
    <row r="530">
      <c r="F530" s="181"/>
      <c r="G530" s="181"/>
      <c r="H530" s="181"/>
      <c r="I530" s="75"/>
      <c r="J530" s="75"/>
      <c r="K530" s="75"/>
      <c r="L530" s="75"/>
      <c r="M530" s="75"/>
      <c r="N530" s="75"/>
      <c r="O530" s="75"/>
    </row>
    <row r="531">
      <c r="F531" s="181"/>
      <c r="G531" s="181"/>
      <c r="H531" s="181"/>
      <c r="I531" s="75"/>
      <c r="J531" s="75"/>
      <c r="K531" s="75"/>
      <c r="L531" s="75"/>
      <c r="M531" s="75"/>
      <c r="N531" s="75"/>
      <c r="O531" s="75"/>
    </row>
    <row r="532">
      <c r="F532" s="181"/>
      <c r="G532" s="181"/>
      <c r="H532" s="181"/>
      <c r="I532" s="75"/>
      <c r="J532" s="75"/>
      <c r="K532" s="75"/>
      <c r="L532" s="75"/>
      <c r="M532" s="75"/>
      <c r="N532" s="75"/>
      <c r="O532" s="75"/>
    </row>
    <row r="533">
      <c r="F533" s="181"/>
      <c r="G533" s="181"/>
      <c r="H533" s="181"/>
      <c r="I533" s="75"/>
      <c r="J533" s="75"/>
      <c r="K533" s="75"/>
      <c r="L533" s="75"/>
      <c r="M533" s="75"/>
      <c r="N533" s="75"/>
      <c r="O533" s="75"/>
    </row>
    <row r="534">
      <c r="F534" s="181"/>
      <c r="G534" s="181"/>
      <c r="H534" s="181"/>
      <c r="I534" s="75"/>
      <c r="J534" s="75"/>
      <c r="K534" s="75"/>
      <c r="L534" s="75"/>
      <c r="M534" s="75"/>
      <c r="N534" s="75"/>
      <c r="O534" s="75"/>
    </row>
    <row r="535">
      <c r="F535" s="181"/>
      <c r="G535" s="181"/>
      <c r="H535" s="181"/>
      <c r="I535" s="75"/>
      <c r="J535" s="75"/>
      <c r="K535" s="75"/>
      <c r="L535" s="75"/>
      <c r="M535" s="75"/>
      <c r="N535" s="75"/>
      <c r="O535" s="75"/>
    </row>
    <row r="536">
      <c r="F536" s="181"/>
      <c r="G536" s="181"/>
      <c r="H536" s="181"/>
      <c r="I536" s="75"/>
      <c r="J536" s="75"/>
      <c r="K536" s="75"/>
      <c r="L536" s="75"/>
      <c r="M536" s="75"/>
      <c r="N536" s="75"/>
      <c r="O536" s="75"/>
    </row>
    <row r="537">
      <c r="F537" s="181"/>
      <c r="G537" s="181"/>
      <c r="H537" s="181"/>
      <c r="I537" s="75"/>
      <c r="J537" s="75"/>
      <c r="K537" s="75"/>
      <c r="L537" s="75"/>
      <c r="M537" s="75"/>
      <c r="N537" s="75"/>
      <c r="O537" s="75"/>
    </row>
    <row r="538">
      <c r="F538" s="181"/>
      <c r="G538" s="181"/>
      <c r="H538" s="181"/>
      <c r="I538" s="75"/>
      <c r="J538" s="75"/>
      <c r="K538" s="75"/>
      <c r="L538" s="75"/>
      <c r="M538" s="75"/>
      <c r="N538" s="75"/>
      <c r="O538" s="75"/>
    </row>
    <row r="539">
      <c r="F539" s="181"/>
      <c r="G539" s="181"/>
      <c r="H539" s="181"/>
      <c r="I539" s="75"/>
      <c r="J539" s="75"/>
      <c r="K539" s="75"/>
      <c r="L539" s="75"/>
      <c r="M539" s="75"/>
      <c r="N539" s="75"/>
      <c r="O539" s="75"/>
    </row>
    <row r="540">
      <c r="F540" s="181"/>
      <c r="G540" s="181"/>
      <c r="H540" s="181"/>
      <c r="I540" s="75"/>
      <c r="J540" s="75"/>
      <c r="K540" s="75"/>
      <c r="L540" s="75"/>
      <c r="M540" s="75"/>
      <c r="N540" s="75"/>
      <c r="O540" s="75"/>
    </row>
    <row r="541">
      <c r="F541" s="181"/>
      <c r="G541" s="181"/>
      <c r="H541" s="181"/>
      <c r="I541" s="75"/>
      <c r="J541" s="75"/>
      <c r="K541" s="75"/>
      <c r="L541" s="75"/>
      <c r="M541" s="75"/>
      <c r="N541" s="75"/>
      <c r="O541" s="75"/>
    </row>
    <row r="542">
      <c r="F542" s="181"/>
      <c r="G542" s="181"/>
      <c r="H542" s="181"/>
      <c r="I542" s="75"/>
      <c r="J542" s="75"/>
      <c r="K542" s="75"/>
      <c r="L542" s="75"/>
      <c r="M542" s="75"/>
      <c r="N542" s="75"/>
      <c r="O542" s="75"/>
    </row>
    <row r="543">
      <c r="F543" s="181"/>
      <c r="G543" s="181"/>
      <c r="H543" s="181"/>
      <c r="I543" s="75"/>
      <c r="J543" s="75"/>
      <c r="K543" s="75"/>
      <c r="L543" s="75"/>
      <c r="M543" s="75"/>
      <c r="N543" s="75"/>
      <c r="O543" s="75"/>
    </row>
    <row r="544">
      <c r="F544" s="181"/>
      <c r="G544" s="181"/>
      <c r="H544" s="181"/>
      <c r="I544" s="75"/>
      <c r="J544" s="75"/>
      <c r="K544" s="75"/>
      <c r="L544" s="75"/>
      <c r="M544" s="75"/>
      <c r="N544" s="75"/>
      <c r="O544" s="75"/>
    </row>
    <row r="545">
      <c r="F545" s="181"/>
      <c r="G545" s="181"/>
      <c r="H545" s="181"/>
      <c r="I545" s="75"/>
      <c r="J545" s="75"/>
      <c r="K545" s="75"/>
      <c r="L545" s="75"/>
      <c r="M545" s="75"/>
      <c r="N545" s="75"/>
      <c r="O545" s="75"/>
    </row>
    <row r="546">
      <c r="F546" s="181"/>
      <c r="G546" s="181"/>
      <c r="H546" s="181"/>
      <c r="I546" s="75"/>
      <c r="J546" s="75"/>
      <c r="K546" s="75"/>
      <c r="L546" s="75"/>
      <c r="M546" s="75"/>
      <c r="N546" s="75"/>
      <c r="O546" s="75"/>
    </row>
    <row r="547">
      <c r="F547" s="181"/>
      <c r="G547" s="181"/>
      <c r="H547" s="181"/>
      <c r="I547" s="75"/>
      <c r="J547" s="75"/>
      <c r="K547" s="75"/>
      <c r="L547" s="75"/>
      <c r="M547" s="75"/>
      <c r="N547" s="75"/>
      <c r="O547" s="75"/>
    </row>
    <row r="548">
      <c r="F548" s="181"/>
      <c r="G548" s="181"/>
      <c r="H548" s="181"/>
      <c r="I548" s="75"/>
      <c r="J548" s="75"/>
      <c r="K548" s="75"/>
      <c r="L548" s="75"/>
      <c r="M548" s="75"/>
      <c r="N548" s="75"/>
      <c r="O548" s="75"/>
    </row>
    <row r="549">
      <c r="F549" s="181"/>
      <c r="G549" s="181"/>
      <c r="H549" s="181"/>
      <c r="I549" s="75"/>
      <c r="J549" s="75"/>
      <c r="K549" s="75"/>
      <c r="L549" s="75"/>
      <c r="M549" s="75"/>
      <c r="N549" s="75"/>
      <c r="O549" s="75"/>
    </row>
    <row r="550">
      <c r="F550" s="181"/>
      <c r="G550" s="181"/>
      <c r="H550" s="181"/>
      <c r="I550" s="75"/>
      <c r="J550" s="75"/>
      <c r="K550" s="75"/>
      <c r="L550" s="75"/>
      <c r="M550" s="75"/>
      <c r="N550" s="75"/>
      <c r="O550" s="75"/>
    </row>
    <row r="551">
      <c r="F551" s="181"/>
      <c r="G551" s="181"/>
      <c r="H551" s="181"/>
      <c r="I551" s="75"/>
      <c r="J551" s="75"/>
      <c r="K551" s="75"/>
      <c r="L551" s="75"/>
      <c r="M551" s="75"/>
      <c r="N551" s="75"/>
      <c r="O551" s="75"/>
    </row>
    <row r="552">
      <c r="F552" s="181"/>
      <c r="G552" s="181"/>
      <c r="H552" s="181"/>
      <c r="I552" s="75"/>
      <c r="J552" s="75"/>
      <c r="K552" s="75"/>
      <c r="L552" s="75"/>
      <c r="M552" s="75"/>
      <c r="N552" s="75"/>
      <c r="O552" s="75"/>
    </row>
    <row r="553">
      <c r="F553" s="181"/>
      <c r="G553" s="181"/>
      <c r="H553" s="181"/>
      <c r="I553" s="75"/>
      <c r="J553" s="75"/>
      <c r="K553" s="75"/>
      <c r="L553" s="75"/>
      <c r="M553" s="75"/>
      <c r="N553" s="75"/>
      <c r="O553" s="75"/>
    </row>
    <row r="554">
      <c r="F554" s="181"/>
      <c r="G554" s="181"/>
      <c r="H554" s="181"/>
      <c r="I554" s="75"/>
      <c r="J554" s="75"/>
      <c r="K554" s="75"/>
      <c r="L554" s="75"/>
      <c r="M554" s="75"/>
      <c r="N554" s="75"/>
      <c r="O554" s="75"/>
    </row>
    <row r="555">
      <c r="F555" s="181"/>
      <c r="G555" s="181"/>
      <c r="H555" s="181"/>
      <c r="I555" s="75"/>
      <c r="J555" s="75"/>
      <c r="K555" s="75"/>
      <c r="L555" s="75"/>
      <c r="M555" s="75"/>
      <c r="N555" s="75"/>
      <c r="O555" s="75"/>
    </row>
    <row r="556">
      <c r="F556" s="181"/>
      <c r="G556" s="181"/>
      <c r="H556" s="181"/>
      <c r="I556" s="75"/>
      <c r="J556" s="75"/>
      <c r="K556" s="75"/>
      <c r="L556" s="75"/>
      <c r="M556" s="75"/>
      <c r="N556" s="75"/>
      <c r="O556" s="75"/>
    </row>
    <row r="557">
      <c r="F557" s="181"/>
      <c r="G557" s="181"/>
      <c r="H557" s="181"/>
      <c r="I557" s="75"/>
      <c r="J557" s="75"/>
      <c r="K557" s="75"/>
      <c r="L557" s="75"/>
      <c r="M557" s="75"/>
      <c r="N557" s="75"/>
      <c r="O557" s="75"/>
    </row>
    <row r="558">
      <c r="F558" s="181"/>
      <c r="G558" s="181"/>
      <c r="H558" s="181"/>
      <c r="I558" s="75"/>
      <c r="J558" s="75"/>
      <c r="K558" s="75"/>
      <c r="L558" s="75"/>
      <c r="M558" s="75"/>
      <c r="N558" s="75"/>
      <c r="O558" s="75"/>
    </row>
    <row r="559">
      <c r="F559" s="181"/>
      <c r="G559" s="181"/>
      <c r="H559" s="181"/>
      <c r="I559" s="75"/>
      <c r="J559" s="75"/>
      <c r="K559" s="75"/>
      <c r="L559" s="75"/>
      <c r="M559" s="75"/>
      <c r="N559" s="75"/>
      <c r="O559" s="75"/>
    </row>
    <row r="560">
      <c r="F560" s="181"/>
      <c r="G560" s="181"/>
      <c r="H560" s="181"/>
      <c r="I560" s="75"/>
      <c r="J560" s="75"/>
      <c r="K560" s="75"/>
      <c r="L560" s="75"/>
      <c r="M560" s="75"/>
      <c r="N560" s="75"/>
      <c r="O560" s="75"/>
    </row>
    <row r="561">
      <c r="F561" s="181"/>
      <c r="G561" s="181"/>
      <c r="H561" s="181"/>
      <c r="I561" s="75"/>
      <c r="J561" s="75"/>
      <c r="K561" s="75"/>
      <c r="L561" s="75"/>
      <c r="M561" s="75"/>
      <c r="N561" s="75"/>
      <c r="O561" s="75"/>
    </row>
    <row r="562">
      <c r="F562" s="181"/>
      <c r="G562" s="181"/>
      <c r="H562" s="181"/>
      <c r="I562" s="75"/>
      <c r="J562" s="75"/>
      <c r="K562" s="75"/>
      <c r="L562" s="75"/>
      <c r="M562" s="75"/>
      <c r="N562" s="75"/>
      <c r="O562" s="75"/>
    </row>
    <row r="563">
      <c r="F563" s="181"/>
      <c r="G563" s="181"/>
      <c r="H563" s="181"/>
      <c r="I563" s="75"/>
      <c r="J563" s="75"/>
      <c r="K563" s="75"/>
      <c r="L563" s="75"/>
      <c r="M563" s="75"/>
      <c r="N563" s="75"/>
      <c r="O563" s="75"/>
    </row>
    <row r="564">
      <c r="F564" s="181"/>
      <c r="G564" s="181"/>
      <c r="H564" s="181"/>
      <c r="I564" s="75"/>
      <c r="J564" s="75"/>
      <c r="K564" s="75"/>
      <c r="L564" s="75"/>
      <c r="M564" s="75"/>
      <c r="N564" s="75"/>
      <c r="O564" s="75"/>
    </row>
    <row r="565">
      <c r="F565" s="181"/>
      <c r="G565" s="181"/>
      <c r="H565" s="181"/>
      <c r="I565" s="75"/>
      <c r="J565" s="75"/>
      <c r="K565" s="75"/>
      <c r="L565" s="75"/>
      <c r="M565" s="75"/>
      <c r="N565" s="75"/>
      <c r="O565" s="75"/>
    </row>
    <row r="566">
      <c r="F566" s="181"/>
      <c r="G566" s="181"/>
      <c r="H566" s="181"/>
      <c r="I566" s="75"/>
      <c r="J566" s="75"/>
      <c r="K566" s="75"/>
      <c r="L566" s="75"/>
      <c r="M566" s="75"/>
      <c r="N566" s="75"/>
      <c r="O566" s="75"/>
    </row>
    <row r="567">
      <c r="F567" s="181"/>
      <c r="G567" s="181"/>
      <c r="H567" s="181"/>
      <c r="I567" s="75"/>
      <c r="J567" s="75"/>
      <c r="K567" s="75"/>
      <c r="L567" s="75"/>
      <c r="M567" s="75"/>
      <c r="N567" s="75"/>
      <c r="O567" s="75"/>
    </row>
    <row r="568">
      <c r="F568" s="181"/>
      <c r="G568" s="181"/>
      <c r="H568" s="181"/>
      <c r="I568" s="75"/>
      <c r="J568" s="75"/>
      <c r="K568" s="75"/>
      <c r="L568" s="75"/>
      <c r="M568" s="75"/>
      <c r="N568" s="75"/>
      <c r="O568" s="75"/>
    </row>
    <row r="569">
      <c r="F569" s="181"/>
      <c r="G569" s="181"/>
      <c r="H569" s="181"/>
      <c r="I569" s="75"/>
      <c r="J569" s="75"/>
      <c r="K569" s="75"/>
      <c r="L569" s="75"/>
      <c r="M569" s="75"/>
      <c r="N569" s="75"/>
      <c r="O569" s="75"/>
    </row>
    <row r="570">
      <c r="F570" s="181"/>
      <c r="G570" s="181"/>
      <c r="H570" s="181"/>
      <c r="I570" s="75"/>
      <c r="J570" s="75"/>
      <c r="K570" s="75"/>
      <c r="L570" s="75"/>
      <c r="M570" s="75"/>
      <c r="N570" s="75"/>
      <c r="O570" s="75"/>
    </row>
    <row r="571">
      <c r="F571" s="181"/>
      <c r="G571" s="181"/>
      <c r="H571" s="181"/>
      <c r="I571" s="75"/>
      <c r="J571" s="75"/>
      <c r="K571" s="75"/>
      <c r="L571" s="75"/>
      <c r="M571" s="75"/>
      <c r="N571" s="75"/>
      <c r="O571" s="75"/>
    </row>
    <row r="572">
      <c r="F572" s="181"/>
      <c r="G572" s="181"/>
      <c r="H572" s="181"/>
      <c r="I572" s="75"/>
      <c r="J572" s="75"/>
      <c r="K572" s="75"/>
      <c r="L572" s="75"/>
      <c r="M572" s="75"/>
      <c r="N572" s="75"/>
      <c r="O572" s="75"/>
    </row>
    <row r="573">
      <c r="F573" s="181"/>
      <c r="G573" s="181"/>
      <c r="H573" s="181"/>
      <c r="I573" s="75"/>
      <c r="J573" s="75"/>
      <c r="K573" s="75"/>
      <c r="L573" s="75"/>
      <c r="M573" s="75"/>
      <c r="N573" s="75"/>
      <c r="O573" s="75"/>
    </row>
    <row r="574">
      <c r="F574" s="181"/>
      <c r="G574" s="181"/>
      <c r="H574" s="181"/>
      <c r="I574" s="75"/>
      <c r="J574" s="75"/>
      <c r="K574" s="75"/>
      <c r="L574" s="75"/>
      <c r="M574" s="75"/>
      <c r="N574" s="75"/>
      <c r="O574" s="75"/>
    </row>
    <row r="575">
      <c r="F575" s="181"/>
      <c r="G575" s="181"/>
      <c r="H575" s="181"/>
      <c r="I575" s="75"/>
      <c r="J575" s="75"/>
      <c r="K575" s="75"/>
      <c r="L575" s="75"/>
      <c r="M575" s="75"/>
      <c r="N575" s="75"/>
      <c r="O575" s="75"/>
    </row>
    <row r="576">
      <c r="F576" s="181"/>
      <c r="G576" s="181"/>
      <c r="H576" s="181"/>
      <c r="I576" s="75"/>
      <c r="J576" s="75"/>
      <c r="K576" s="75"/>
      <c r="L576" s="75"/>
      <c r="M576" s="75"/>
      <c r="N576" s="75"/>
      <c r="O576" s="75"/>
    </row>
    <row r="577">
      <c r="F577" s="181"/>
      <c r="G577" s="181"/>
      <c r="H577" s="181"/>
      <c r="I577" s="75"/>
      <c r="J577" s="75"/>
      <c r="K577" s="75"/>
      <c r="L577" s="75"/>
      <c r="M577" s="75"/>
      <c r="N577" s="75"/>
      <c r="O577" s="75"/>
    </row>
    <row r="578">
      <c r="F578" s="181"/>
      <c r="G578" s="181"/>
      <c r="H578" s="181"/>
      <c r="I578" s="75"/>
      <c r="J578" s="75"/>
      <c r="K578" s="75"/>
      <c r="L578" s="75"/>
      <c r="M578" s="75"/>
      <c r="N578" s="75"/>
      <c r="O578" s="75"/>
    </row>
    <row r="579">
      <c r="F579" s="181"/>
      <c r="G579" s="181"/>
      <c r="H579" s="181"/>
      <c r="I579" s="75"/>
      <c r="J579" s="75"/>
      <c r="K579" s="75"/>
      <c r="L579" s="75"/>
      <c r="M579" s="75"/>
      <c r="N579" s="75"/>
      <c r="O579" s="75"/>
    </row>
    <row r="580">
      <c r="F580" s="181"/>
      <c r="G580" s="181"/>
      <c r="H580" s="181"/>
      <c r="I580" s="75"/>
      <c r="J580" s="75"/>
      <c r="K580" s="75"/>
      <c r="L580" s="75"/>
      <c r="M580" s="75"/>
      <c r="N580" s="75"/>
      <c r="O580" s="75"/>
    </row>
    <row r="581">
      <c r="F581" s="181"/>
      <c r="G581" s="181"/>
      <c r="H581" s="181"/>
      <c r="I581" s="75"/>
      <c r="J581" s="75"/>
      <c r="K581" s="75"/>
      <c r="L581" s="75"/>
      <c r="M581" s="75"/>
      <c r="N581" s="75"/>
      <c r="O581" s="75"/>
    </row>
    <row r="582">
      <c r="F582" s="181"/>
      <c r="G582" s="181"/>
      <c r="H582" s="181"/>
      <c r="I582" s="75"/>
      <c r="J582" s="75"/>
      <c r="K582" s="75"/>
      <c r="L582" s="75"/>
      <c r="M582" s="75"/>
      <c r="N582" s="75"/>
      <c r="O582" s="75"/>
    </row>
    <row r="583">
      <c r="F583" s="181"/>
      <c r="G583" s="181"/>
      <c r="H583" s="181"/>
      <c r="I583" s="75"/>
      <c r="J583" s="75"/>
      <c r="K583" s="75"/>
      <c r="L583" s="75"/>
      <c r="M583" s="75"/>
      <c r="N583" s="75"/>
      <c r="O583" s="75"/>
    </row>
    <row r="584">
      <c r="F584" s="181"/>
      <c r="G584" s="181"/>
      <c r="H584" s="181"/>
      <c r="I584" s="75"/>
      <c r="J584" s="75"/>
      <c r="K584" s="75"/>
      <c r="L584" s="75"/>
      <c r="M584" s="75"/>
      <c r="N584" s="75"/>
      <c r="O584" s="75"/>
    </row>
    <row r="585">
      <c r="F585" s="181"/>
      <c r="G585" s="181"/>
      <c r="H585" s="181"/>
      <c r="I585" s="75"/>
      <c r="J585" s="75"/>
      <c r="K585" s="75"/>
      <c r="L585" s="75"/>
      <c r="M585" s="75"/>
      <c r="N585" s="75"/>
      <c r="O585" s="75"/>
    </row>
    <row r="586">
      <c r="F586" s="181"/>
      <c r="G586" s="181"/>
      <c r="H586" s="181"/>
      <c r="I586" s="75"/>
      <c r="J586" s="75"/>
      <c r="K586" s="75"/>
      <c r="L586" s="75"/>
      <c r="M586" s="75"/>
      <c r="N586" s="75"/>
      <c r="O586" s="75"/>
    </row>
    <row r="587">
      <c r="F587" s="181"/>
      <c r="G587" s="181"/>
      <c r="H587" s="181"/>
      <c r="I587" s="75"/>
      <c r="J587" s="75"/>
      <c r="K587" s="75"/>
      <c r="L587" s="75"/>
      <c r="M587" s="75"/>
      <c r="N587" s="75"/>
      <c r="O587" s="75"/>
    </row>
    <row r="588">
      <c r="F588" s="181"/>
      <c r="G588" s="181"/>
      <c r="H588" s="181"/>
      <c r="I588" s="75"/>
      <c r="J588" s="75"/>
      <c r="K588" s="75"/>
      <c r="L588" s="75"/>
      <c r="M588" s="75"/>
      <c r="N588" s="75"/>
      <c r="O588" s="75"/>
    </row>
    <row r="589">
      <c r="F589" s="181"/>
      <c r="G589" s="181"/>
      <c r="H589" s="181"/>
      <c r="I589" s="75"/>
      <c r="J589" s="75"/>
      <c r="K589" s="75"/>
      <c r="L589" s="75"/>
      <c r="M589" s="75"/>
      <c r="N589" s="75"/>
      <c r="O589" s="75"/>
    </row>
    <row r="590">
      <c r="F590" s="181"/>
      <c r="G590" s="181"/>
      <c r="H590" s="181"/>
      <c r="I590" s="75"/>
      <c r="J590" s="75"/>
      <c r="K590" s="75"/>
      <c r="L590" s="75"/>
      <c r="M590" s="75"/>
      <c r="N590" s="75"/>
      <c r="O590" s="75"/>
    </row>
    <row r="591">
      <c r="F591" s="181"/>
      <c r="G591" s="181"/>
      <c r="H591" s="181"/>
      <c r="I591" s="75"/>
      <c r="J591" s="75"/>
      <c r="K591" s="75"/>
      <c r="L591" s="75"/>
      <c r="M591" s="75"/>
      <c r="N591" s="75"/>
      <c r="O591" s="75"/>
    </row>
    <row r="592">
      <c r="F592" s="181"/>
      <c r="G592" s="181"/>
      <c r="H592" s="181"/>
      <c r="I592" s="75"/>
      <c r="J592" s="75"/>
      <c r="K592" s="75"/>
      <c r="L592" s="75"/>
      <c r="M592" s="75"/>
      <c r="N592" s="75"/>
      <c r="O592" s="75"/>
    </row>
    <row r="593">
      <c r="F593" s="181"/>
      <c r="G593" s="181"/>
      <c r="H593" s="181"/>
      <c r="I593" s="75"/>
      <c r="J593" s="75"/>
      <c r="K593" s="75"/>
      <c r="L593" s="75"/>
      <c r="M593" s="75"/>
      <c r="N593" s="75"/>
      <c r="O593" s="75"/>
    </row>
    <row r="594">
      <c r="F594" s="181"/>
      <c r="G594" s="181"/>
      <c r="H594" s="181"/>
      <c r="I594" s="75"/>
      <c r="J594" s="75"/>
      <c r="K594" s="75"/>
      <c r="L594" s="75"/>
      <c r="M594" s="75"/>
      <c r="N594" s="75"/>
      <c r="O594" s="75"/>
    </row>
    <row r="595">
      <c r="F595" s="181"/>
      <c r="G595" s="181"/>
      <c r="H595" s="181"/>
      <c r="I595" s="75"/>
      <c r="J595" s="75"/>
      <c r="K595" s="75"/>
      <c r="L595" s="75"/>
      <c r="M595" s="75"/>
      <c r="N595" s="75"/>
      <c r="O595" s="75"/>
    </row>
    <row r="596">
      <c r="F596" s="181"/>
      <c r="G596" s="181"/>
      <c r="H596" s="181"/>
      <c r="I596" s="75"/>
      <c r="J596" s="75"/>
      <c r="K596" s="75"/>
      <c r="L596" s="75"/>
      <c r="M596" s="75"/>
      <c r="N596" s="75"/>
      <c r="O596" s="75"/>
    </row>
    <row r="597">
      <c r="F597" s="181"/>
      <c r="G597" s="181"/>
      <c r="H597" s="181"/>
      <c r="I597" s="75"/>
      <c r="J597" s="75"/>
      <c r="K597" s="75"/>
      <c r="L597" s="75"/>
      <c r="M597" s="75"/>
      <c r="N597" s="75"/>
      <c r="O597" s="75"/>
    </row>
    <row r="598">
      <c r="F598" s="181"/>
      <c r="G598" s="181"/>
      <c r="H598" s="181"/>
      <c r="I598" s="75"/>
      <c r="J598" s="75"/>
      <c r="K598" s="75"/>
      <c r="L598" s="75"/>
      <c r="M598" s="75"/>
      <c r="N598" s="75"/>
      <c r="O598" s="75"/>
    </row>
    <row r="599">
      <c r="F599" s="181"/>
      <c r="G599" s="181"/>
      <c r="H599" s="181"/>
      <c r="I599" s="75"/>
      <c r="J599" s="75"/>
      <c r="K599" s="75"/>
      <c r="L599" s="75"/>
      <c r="M599" s="75"/>
      <c r="N599" s="75"/>
      <c r="O599" s="75"/>
    </row>
    <row r="600">
      <c r="F600" s="181"/>
      <c r="G600" s="181"/>
      <c r="H600" s="181"/>
      <c r="I600" s="75"/>
      <c r="J600" s="75"/>
      <c r="K600" s="75"/>
      <c r="L600" s="75"/>
      <c r="M600" s="75"/>
      <c r="N600" s="75"/>
      <c r="O600" s="75"/>
    </row>
    <row r="601">
      <c r="F601" s="181"/>
      <c r="G601" s="181"/>
      <c r="H601" s="181"/>
      <c r="I601" s="75"/>
      <c r="J601" s="75"/>
      <c r="K601" s="75"/>
      <c r="L601" s="75"/>
      <c r="M601" s="75"/>
      <c r="N601" s="75"/>
      <c r="O601" s="75"/>
    </row>
    <row r="602">
      <c r="F602" s="181"/>
      <c r="G602" s="181"/>
      <c r="H602" s="181"/>
      <c r="I602" s="75"/>
      <c r="J602" s="75"/>
      <c r="K602" s="75"/>
      <c r="L602" s="75"/>
      <c r="M602" s="75"/>
      <c r="N602" s="75"/>
      <c r="O602" s="75"/>
    </row>
    <row r="603">
      <c r="F603" s="181"/>
      <c r="G603" s="181"/>
      <c r="H603" s="181"/>
      <c r="I603" s="75"/>
      <c r="J603" s="75"/>
      <c r="K603" s="75"/>
      <c r="L603" s="75"/>
      <c r="M603" s="75"/>
      <c r="N603" s="75"/>
      <c r="O603" s="75"/>
    </row>
    <row r="604">
      <c r="F604" s="181"/>
      <c r="G604" s="181"/>
      <c r="H604" s="181"/>
      <c r="I604" s="75"/>
      <c r="J604" s="75"/>
      <c r="K604" s="75"/>
      <c r="L604" s="75"/>
      <c r="M604" s="75"/>
      <c r="N604" s="75"/>
      <c r="O604" s="75"/>
    </row>
    <row r="605">
      <c r="F605" s="181"/>
      <c r="G605" s="181"/>
      <c r="H605" s="181"/>
      <c r="I605" s="75"/>
      <c r="J605" s="75"/>
      <c r="K605" s="75"/>
      <c r="L605" s="75"/>
      <c r="M605" s="75"/>
      <c r="N605" s="75"/>
      <c r="O605" s="75"/>
    </row>
    <row r="606">
      <c r="F606" s="181"/>
      <c r="G606" s="181"/>
      <c r="H606" s="181"/>
      <c r="I606" s="75"/>
      <c r="J606" s="75"/>
      <c r="K606" s="75"/>
      <c r="L606" s="75"/>
      <c r="M606" s="75"/>
      <c r="N606" s="75"/>
      <c r="O606" s="75"/>
    </row>
    <row r="607">
      <c r="F607" s="181"/>
      <c r="G607" s="181"/>
      <c r="H607" s="181"/>
      <c r="I607" s="75"/>
      <c r="J607" s="75"/>
      <c r="K607" s="75"/>
      <c r="L607" s="75"/>
      <c r="M607" s="75"/>
      <c r="N607" s="75"/>
      <c r="O607" s="75"/>
    </row>
    <row r="608">
      <c r="F608" s="181"/>
      <c r="G608" s="181"/>
      <c r="H608" s="181"/>
      <c r="I608" s="75"/>
      <c r="J608" s="75"/>
      <c r="K608" s="75"/>
      <c r="L608" s="75"/>
      <c r="M608" s="75"/>
      <c r="N608" s="75"/>
      <c r="O608" s="75"/>
    </row>
    <row r="609">
      <c r="F609" s="181"/>
      <c r="G609" s="181"/>
      <c r="H609" s="181"/>
      <c r="I609" s="75"/>
      <c r="J609" s="75"/>
      <c r="K609" s="75"/>
      <c r="L609" s="75"/>
      <c r="M609" s="75"/>
      <c r="N609" s="75"/>
      <c r="O609" s="75"/>
    </row>
    <row r="610">
      <c r="F610" s="181"/>
      <c r="G610" s="181"/>
      <c r="H610" s="181"/>
      <c r="I610" s="75"/>
      <c r="J610" s="75"/>
      <c r="K610" s="75"/>
      <c r="L610" s="75"/>
      <c r="M610" s="75"/>
      <c r="N610" s="75"/>
      <c r="O610" s="75"/>
    </row>
    <row r="611">
      <c r="F611" s="181"/>
      <c r="G611" s="181"/>
      <c r="H611" s="181"/>
      <c r="I611" s="75"/>
      <c r="J611" s="75"/>
      <c r="K611" s="75"/>
      <c r="L611" s="75"/>
      <c r="M611" s="75"/>
      <c r="N611" s="75"/>
      <c r="O611" s="75"/>
    </row>
    <row r="612">
      <c r="F612" s="181"/>
      <c r="G612" s="181"/>
      <c r="H612" s="181"/>
      <c r="I612" s="75"/>
      <c r="J612" s="75"/>
      <c r="K612" s="75"/>
      <c r="L612" s="75"/>
      <c r="M612" s="75"/>
      <c r="N612" s="75"/>
      <c r="O612" s="75"/>
    </row>
    <row r="613">
      <c r="F613" s="181"/>
      <c r="G613" s="181"/>
      <c r="H613" s="181"/>
      <c r="I613" s="75"/>
      <c r="J613" s="75"/>
      <c r="K613" s="75"/>
      <c r="L613" s="75"/>
      <c r="M613" s="75"/>
      <c r="N613" s="75"/>
      <c r="O613" s="75"/>
    </row>
    <row r="614">
      <c r="F614" s="181"/>
      <c r="G614" s="181"/>
      <c r="H614" s="181"/>
      <c r="I614" s="75"/>
      <c r="J614" s="75"/>
      <c r="K614" s="75"/>
      <c r="L614" s="75"/>
      <c r="M614" s="75"/>
      <c r="N614" s="75"/>
      <c r="O614" s="75"/>
    </row>
    <row r="615">
      <c r="F615" s="181"/>
      <c r="G615" s="181"/>
      <c r="H615" s="181"/>
      <c r="I615" s="75"/>
      <c r="J615" s="75"/>
      <c r="K615" s="75"/>
      <c r="L615" s="75"/>
      <c r="M615" s="75"/>
      <c r="N615" s="75"/>
      <c r="O615" s="75"/>
    </row>
    <row r="616">
      <c r="F616" s="181"/>
      <c r="G616" s="181"/>
      <c r="H616" s="181"/>
      <c r="I616" s="75"/>
      <c r="J616" s="75"/>
      <c r="K616" s="75"/>
      <c r="L616" s="75"/>
      <c r="M616" s="75"/>
      <c r="N616" s="75"/>
      <c r="O616" s="75"/>
    </row>
    <row r="617">
      <c r="F617" s="181"/>
      <c r="G617" s="181"/>
      <c r="H617" s="181"/>
      <c r="I617" s="75"/>
      <c r="J617" s="75"/>
      <c r="K617" s="75"/>
      <c r="L617" s="75"/>
      <c r="M617" s="75"/>
      <c r="N617" s="75"/>
      <c r="O617" s="75"/>
    </row>
    <row r="618">
      <c r="F618" s="181"/>
      <c r="G618" s="181"/>
      <c r="H618" s="181"/>
      <c r="I618" s="75"/>
      <c r="J618" s="75"/>
      <c r="K618" s="75"/>
      <c r="L618" s="75"/>
      <c r="M618" s="75"/>
      <c r="N618" s="75"/>
      <c r="O618" s="75"/>
    </row>
    <row r="619">
      <c r="F619" s="181"/>
      <c r="G619" s="181"/>
      <c r="H619" s="181"/>
      <c r="I619" s="75"/>
      <c r="J619" s="75"/>
      <c r="K619" s="75"/>
      <c r="L619" s="75"/>
      <c r="M619" s="75"/>
      <c r="N619" s="75"/>
      <c r="O619" s="75"/>
    </row>
    <row r="620">
      <c r="F620" s="181"/>
      <c r="G620" s="181"/>
      <c r="H620" s="181"/>
      <c r="I620" s="75"/>
      <c r="J620" s="75"/>
      <c r="K620" s="75"/>
      <c r="L620" s="75"/>
      <c r="M620" s="75"/>
      <c r="N620" s="75"/>
      <c r="O620" s="75"/>
    </row>
    <row r="621">
      <c r="F621" s="181"/>
      <c r="G621" s="181"/>
      <c r="H621" s="181"/>
      <c r="I621" s="75"/>
      <c r="J621" s="75"/>
      <c r="K621" s="75"/>
      <c r="L621" s="75"/>
      <c r="M621" s="75"/>
      <c r="N621" s="75"/>
      <c r="O621" s="75"/>
    </row>
    <row r="622">
      <c r="F622" s="181"/>
      <c r="G622" s="181"/>
      <c r="H622" s="181"/>
      <c r="I622" s="75"/>
      <c r="J622" s="75"/>
      <c r="K622" s="75"/>
      <c r="L622" s="75"/>
      <c r="M622" s="75"/>
      <c r="N622" s="75"/>
      <c r="O622" s="75"/>
    </row>
    <row r="623">
      <c r="F623" s="181"/>
      <c r="G623" s="181"/>
      <c r="H623" s="181"/>
      <c r="I623" s="75"/>
      <c r="J623" s="75"/>
      <c r="K623" s="75"/>
      <c r="L623" s="75"/>
      <c r="M623" s="75"/>
      <c r="N623" s="75"/>
      <c r="O623" s="75"/>
    </row>
    <row r="624">
      <c r="F624" s="181"/>
      <c r="G624" s="181"/>
      <c r="H624" s="181"/>
      <c r="I624" s="75"/>
      <c r="J624" s="75"/>
      <c r="K624" s="75"/>
      <c r="L624" s="75"/>
      <c r="M624" s="75"/>
      <c r="N624" s="75"/>
      <c r="O624" s="75"/>
    </row>
    <row r="625">
      <c r="F625" s="181"/>
      <c r="G625" s="181"/>
      <c r="H625" s="181"/>
      <c r="I625" s="75"/>
      <c r="J625" s="75"/>
      <c r="K625" s="75"/>
      <c r="L625" s="75"/>
      <c r="M625" s="75"/>
      <c r="N625" s="75"/>
      <c r="O625" s="75"/>
    </row>
    <row r="626">
      <c r="F626" s="181"/>
      <c r="G626" s="181"/>
      <c r="H626" s="181"/>
      <c r="I626" s="75"/>
      <c r="J626" s="75"/>
      <c r="K626" s="75"/>
      <c r="L626" s="75"/>
      <c r="M626" s="75"/>
      <c r="N626" s="75"/>
      <c r="O626" s="75"/>
    </row>
    <row r="627">
      <c r="F627" s="181"/>
      <c r="G627" s="181"/>
      <c r="H627" s="181"/>
      <c r="I627" s="75"/>
      <c r="J627" s="75"/>
      <c r="K627" s="75"/>
      <c r="L627" s="75"/>
      <c r="M627" s="75"/>
      <c r="N627" s="75"/>
      <c r="O627" s="75"/>
    </row>
    <row r="628">
      <c r="F628" s="181"/>
      <c r="G628" s="181"/>
      <c r="H628" s="181"/>
      <c r="I628" s="75"/>
      <c r="J628" s="75"/>
      <c r="K628" s="75"/>
      <c r="L628" s="75"/>
      <c r="M628" s="75"/>
      <c r="N628" s="75"/>
      <c r="O628" s="75"/>
    </row>
    <row r="629">
      <c r="F629" s="181"/>
      <c r="G629" s="181"/>
      <c r="H629" s="181"/>
      <c r="I629" s="75"/>
      <c r="J629" s="75"/>
      <c r="K629" s="75"/>
      <c r="L629" s="75"/>
      <c r="M629" s="75"/>
      <c r="N629" s="75"/>
      <c r="O629" s="75"/>
    </row>
    <row r="630">
      <c r="F630" s="181"/>
      <c r="G630" s="181"/>
      <c r="H630" s="181"/>
      <c r="I630" s="75"/>
      <c r="J630" s="75"/>
      <c r="K630" s="75"/>
      <c r="L630" s="75"/>
      <c r="M630" s="75"/>
      <c r="N630" s="75"/>
      <c r="O630" s="75"/>
    </row>
    <row r="631">
      <c r="F631" s="181"/>
      <c r="G631" s="181"/>
      <c r="H631" s="181"/>
      <c r="I631" s="75"/>
      <c r="J631" s="75"/>
      <c r="K631" s="75"/>
      <c r="L631" s="75"/>
      <c r="M631" s="75"/>
      <c r="N631" s="75"/>
      <c r="O631" s="75"/>
    </row>
    <row r="632">
      <c r="F632" s="181"/>
      <c r="G632" s="181"/>
      <c r="H632" s="181"/>
      <c r="I632" s="75"/>
      <c r="J632" s="75"/>
      <c r="K632" s="75"/>
      <c r="L632" s="75"/>
      <c r="M632" s="75"/>
      <c r="N632" s="75"/>
      <c r="O632" s="75"/>
    </row>
    <row r="633">
      <c r="F633" s="181"/>
      <c r="G633" s="181"/>
      <c r="H633" s="181"/>
      <c r="I633" s="75"/>
      <c r="J633" s="75"/>
      <c r="K633" s="75"/>
      <c r="L633" s="75"/>
      <c r="M633" s="75"/>
      <c r="N633" s="75"/>
      <c r="O633" s="75"/>
    </row>
    <row r="634">
      <c r="F634" s="181"/>
      <c r="G634" s="181"/>
      <c r="H634" s="181"/>
      <c r="I634" s="75"/>
      <c r="J634" s="75"/>
      <c r="K634" s="75"/>
      <c r="L634" s="75"/>
      <c r="M634" s="75"/>
      <c r="N634" s="75"/>
      <c r="O634" s="75"/>
    </row>
    <row r="635">
      <c r="F635" s="181"/>
      <c r="G635" s="181"/>
      <c r="H635" s="181"/>
      <c r="I635" s="75"/>
      <c r="J635" s="75"/>
      <c r="K635" s="75"/>
      <c r="L635" s="75"/>
      <c r="M635" s="75"/>
      <c r="N635" s="75"/>
      <c r="O635" s="75"/>
    </row>
    <row r="636">
      <c r="F636" s="181"/>
      <c r="G636" s="181"/>
      <c r="H636" s="181"/>
      <c r="I636" s="75"/>
      <c r="J636" s="75"/>
      <c r="K636" s="75"/>
      <c r="L636" s="75"/>
      <c r="M636" s="75"/>
      <c r="N636" s="75"/>
      <c r="O636" s="75"/>
    </row>
    <row r="637">
      <c r="F637" s="181"/>
      <c r="G637" s="181"/>
      <c r="H637" s="181"/>
      <c r="I637" s="75"/>
      <c r="J637" s="75"/>
      <c r="K637" s="75"/>
      <c r="L637" s="75"/>
      <c r="M637" s="75"/>
      <c r="N637" s="75"/>
      <c r="O637" s="75"/>
    </row>
    <row r="638">
      <c r="F638" s="181"/>
      <c r="G638" s="181"/>
      <c r="H638" s="181"/>
      <c r="I638" s="75"/>
      <c r="J638" s="75"/>
      <c r="K638" s="75"/>
      <c r="L638" s="75"/>
      <c r="M638" s="75"/>
      <c r="N638" s="75"/>
      <c r="O638" s="75"/>
    </row>
    <row r="639">
      <c r="F639" s="181"/>
      <c r="G639" s="181"/>
      <c r="H639" s="181"/>
      <c r="I639" s="75"/>
      <c r="J639" s="75"/>
      <c r="K639" s="75"/>
      <c r="L639" s="75"/>
      <c r="M639" s="75"/>
      <c r="N639" s="75"/>
      <c r="O639" s="75"/>
    </row>
    <row r="640">
      <c r="F640" s="181"/>
      <c r="G640" s="181"/>
      <c r="H640" s="181"/>
      <c r="I640" s="75"/>
      <c r="J640" s="75"/>
      <c r="K640" s="75"/>
      <c r="L640" s="75"/>
      <c r="M640" s="75"/>
      <c r="N640" s="75"/>
      <c r="O640" s="75"/>
    </row>
    <row r="641">
      <c r="F641" s="181"/>
      <c r="G641" s="181"/>
      <c r="H641" s="181"/>
      <c r="I641" s="75"/>
      <c r="J641" s="75"/>
      <c r="K641" s="75"/>
      <c r="L641" s="75"/>
      <c r="M641" s="75"/>
      <c r="N641" s="75"/>
      <c r="O641" s="75"/>
    </row>
    <row r="642">
      <c r="F642" s="181"/>
      <c r="G642" s="181"/>
      <c r="H642" s="181"/>
      <c r="I642" s="75"/>
      <c r="J642" s="75"/>
      <c r="K642" s="75"/>
      <c r="L642" s="75"/>
      <c r="M642" s="75"/>
      <c r="N642" s="75"/>
      <c r="O642" s="75"/>
    </row>
    <row r="643">
      <c r="F643" s="181"/>
      <c r="G643" s="181"/>
      <c r="H643" s="181"/>
      <c r="I643" s="75"/>
      <c r="J643" s="75"/>
      <c r="K643" s="75"/>
      <c r="L643" s="75"/>
      <c r="M643" s="75"/>
      <c r="N643" s="75"/>
      <c r="O643" s="75"/>
    </row>
    <row r="644">
      <c r="F644" s="181"/>
      <c r="G644" s="181"/>
      <c r="H644" s="181"/>
      <c r="I644" s="75"/>
      <c r="J644" s="75"/>
      <c r="K644" s="75"/>
      <c r="L644" s="75"/>
      <c r="M644" s="75"/>
      <c r="N644" s="75"/>
      <c r="O644" s="75"/>
    </row>
    <row r="645">
      <c r="F645" s="181"/>
      <c r="G645" s="181"/>
      <c r="H645" s="181"/>
      <c r="I645" s="75"/>
      <c r="J645" s="75"/>
      <c r="K645" s="75"/>
      <c r="L645" s="75"/>
      <c r="M645" s="75"/>
      <c r="N645" s="75"/>
      <c r="O645" s="75"/>
    </row>
    <row r="646">
      <c r="F646" s="181"/>
      <c r="G646" s="181"/>
      <c r="H646" s="181"/>
      <c r="I646" s="75"/>
      <c r="J646" s="75"/>
      <c r="K646" s="75"/>
      <c r="L646" s="75"/>
      <c r="M646" s="75"/>
      <c r="N646" s="75"/>
      <c r="O646" s="75"/>
    </row>
    <row r="647">
      <c r="F647" s="181"/>
      <c r="G647" s="181"/>
      <c r="H647" s="181"/>
      <c r="I647" s="75"/>
      <c r="J647" s="75"/>
      <c r="K647" s="75"/>
      <c r="L647" s="75"/>
      <c r="M647" s="75"/>
      <c r="N647" s="75"/>
      <c r="O647" s="75"/>
    </row>
    <row r="648">
      <c r="F648" s="181"/>
      <c r="G648" s="181"/>
      <c r="H648" s="181"/>
      <c r="I648" s="75"/>
      <c r="J648" s="75"/>
      <c r="K648" s="75"/>
      <c r="L648" s="75"/>
      <c r="M648" s="75"/>
      <c r="N648" s="75"/>
      <c r="O648" s="75"/>
    </row>
    <row r="649">
      <c r="F649" s="181"/>
      <c r="G649" s="181"/>
      <c r="H649" s="181"/>
      <c r="I649" s="75"/>
      <c r="J649" s="75"/>
      <c r="K649" s="75"/>
      <c r="L649" s="75"/>
      <c r="M649" s="75"/>
      <c r="N649" s="75"/>
      <c r="O649" s="75"/>
    </row>
    <row r="650">
      <c r="F650" s="181"/>
      <c r="G650" s="181"/>
      <c r="H650" s="181"/>
      <c r="I650" s="75"/>
      <c r="J650" s="75"/>
      <c r="K650" s="75"/>
      <c r="L650" s="75"/>
      <c r="M650" s="75"/>
      <c r="N650" s="75"/>
      <c r="O650" s="75"/>
    </row>
    <row r="651">
      <c r="F651" s="181"/>
      <c r="G651" s="181"/>
      <c r="H651" s="181"/>
      <c r="I651" s="75"/>
      <c r="J651" s="75"/>
      <c r="K651" s="75"/>
      <c r="L651" s="75"/>
      <c r="M651" s="75"/>
      <c r="N651" s="75"/>
      <c r="O651" s="75"/>
    </row>
    <row r="652">
      <c r="F652" s="181"/>
      <c r="G652" s="181"/>
      <c r="H652" s="181"/>
      <c r="I652" s="75"/>
      <c r="J652" s="75"/>
      <c r="K652" s="75"/>
      <c r="L652" s="75"/>
      <c r="M652" s="75"/>
      <c r="N652" s="75"/>
      <c r="O652" s="75"/>
    </row>
    <row r="653">
      <c r="F653" s="181"/>
      <c r="G653" s="181"/>
      <c r="H653" s="181"/>
      <c r="I653" s="75"/>
      <c r="J653" s="75"/>
      <c r="K653" s="75"/>
      <c r="L653" s="75"/>
      <c r="M653" s="75"/>
      <c r="N653" s="75"/>
      <c r="O653" s="75"/>
    </row>
    <row r="654">
      <c r="F654" s="181"/>
      <c r="G654" s="181"/>
      <c r="H654" s="181"/>
      <c r="I654" s="75"/>
      <c r="J654" s="75"/>
      <c r="K654" s="75"/>
      <c r="L654" s="75"/>
      <c r="M654" s="75"/>
      <c r="N654" s="75"/>
      <c r="O654" s="75"/>
    </row>
    <row r="655">
      <c r="F655" s="181"/>
      <c r="G655" s="181"/>
      <c r="H655" s="181"/>
      <c r="I655" s="75"/>
      <c r="J655" s="75"/>
      <c r="K655" s="75"/>
      <c r="L655" s="75"/>
      <c r="M655" s="75"/>
      <c r="N655" s="75"/>
      <c r="O655" s="75"/>
    </row>
    <row r="656">
      <c r="F656" s="181"/>
      <c r="G656" s="181"/>
      <c r="H656" s="181"/>
      <c r="I656" s="75"/>
      <c r="J656" s="75"/>
      <c r="K656" s="75"/>
      <c r="L656" s="75"/>
      <c r="M656" s="75"/>
      <c r="N656" s="75"/>
      <c r="O656" s="75"/>
    </row>
    <row r="657">
      <c r="F657" s="181"/>
      <c r="G657" s="181"/>
      <c r="H657" s="181"/>
      <c r="I657" s="75"/>
      <c r="J657" s="75"/>
      <c r="K657" s="75"/>
      <c r="L657" s="75"/>
      <c r="M657" s="75"/>
      <c r="N657" s="75"/>
      <c r="O657" s="75"/>
    </row>
    <row r="658">
      <c r="F658" s="181"/>
      <c r="G658" s="181"/>
      <c r="H658" s="181"/>
      <c r="I658" s="75"/>
      <c r="J658" s="75"/>
      <c r="K658" s="75"/>
      <c r="L658" s="75"/>
      <c r="M658" s="75"/>
      <c r="N658" s="75"/>
      <c r="O658" s="75"/>
    </row>
    <row r="659">
      <c r="F659" s="181"/>
      <c r="G659" s="181"/>
      <c r="H659" s="181"/>
      <c r="I659" s="75"/>
      <c r="J659" s="75"/>
      <c r="K659" s="75"/>
      <c r="L659" s="75"/>
      <c r="M659" s="75"/>
      <c r="N659" s="75"/>
      <c r="O659" s="75"/>
    </row>
    <row r="660">
      <c r="F660" s="181"/>
      <c r="G660" s="181"/>
      <c r="H660" s="181"/>
      <c r="I660" s="75"/>
      <c r="J660" s="75"/>
      <c r="K660" s="75"/>
      <c r="L660" s="75"/>
      <c r="M660" s="75"/>
      <c r="N660" s="75"/>
      <c r="O660" s="75"/>
    </row>
    <row r="661">
      <c r="F661" s="181"/>
      <c r="G661" s="181"/>
      <c r="H661" s="181"/>
      <c r="I661" s="75"/>
      <c r="J661" s="75"/>
      <c r="K661" s="75"/>
      <c r="L661" s="75"/>
      <c r="M661" s="75"/>
      <c r="N661" s="75"/>
      <c r="O661" s="75"/>
    </row>
    <row r="662">
      <c r="F662" s="181"/>
      <c r="G662" s="181"/>
      <c r="H662" s="181"/>
      <c r="I662" s="75"/>
      <c r="J662" s="75"/>
      <c r="K662" s="75"/>
      <c r="L662" s="75"/>
      <c r="M662" s="75"/>
      <c r="N662" s="75"/>
      <c r="O662" s="75"/>
    </row>
    <row r="663">
      <c r="F663" s="181"/>
      <c r="G663" s="181"/>
      <c r="H663" s="181"/>
      <c r="I663" s="75"/>
      <c r="J663" s="75"/>
      <c r="K663" s="75"/>
      <c r="L663" s="75"/>
      <c r="M663" s="75"/>
      <c r="N663" s="75"/>
      <c r="O663" s="75"/>
    </row>
    <row r="664">
      <c r="F664" s="181"/>
      <c r="G664" s="181"/>
      <c r="H664" s="181"/>
      <c r="I664" s="75"/>
      <c r="J664" s="75"/>
      <c r="K664" s="75"/>
      <c r="L664" s="75"/>
      <c r="M664" s="75"/>
      <c r="N664" s="75"/>
      <c r="O664" s="75"/>
    </row>
    <row r="665">
      <c r="F665" s="181"/>
      <c r="G665" s="181"/>
      <c r="H665" s="181"/>
      <c r="I665" s="75"/>
      <c r="J665" s="75"/>
      <c r="K665" s="75"/>
      <c r="L665" s="75"/>
      <c r="M665" s="75"/>
      <c r="N665" s="75"/>
      <c r="O665" s="75"/>
    </row>
    <row r="666">
      <c r="F666" s="181"/>
      <c r="G666" s="181"/>
      <c r="H666" s="181"/>
      <c r="I666" s="75"/>
      <c r="J666" s="75"/>
      <c r="K666" s="75"/>
      <c r="L666" s="75"/>
      <c r="M666" s="75"/>
      <c r="N666" s="75"/>
      <c r="O666" s="75"/>
    </row>
    <row r="667">
      <c r="F667" s="181"/>
      <c r="G667" s="181"/>
      <c r="H667" s="181"/>
      <c r="I667" s="75"/>
      <c r="J667" s="75"/>
      <c r="K667" s="75"/>
      <c r="L667" s="75"/>
      <c r="M667" s="75"/>
      <c r="N667" s="75"/>
      <c r="O667" s="75"/>
    </row>
    <row r="668">
      <c r="F668" s="181"/>
      <c r="G668" s="181"/>
      <c r="H668" s="181"/>
      <c r="I668" s="75"/>
      <c r="J668" s="75"/>
      <c r="K668" s="75"/>
      <c r="L668" s="75"/>
      <c r="M668" s="75"/>
      <c r="N668" s="75"/>
      <c r="O668" s="75"/>
    </row>
    <row r="669">
      <c r="F669" s="181"/>
      <c r="G669" s="181"/>
      <c r="H669" s="181"/>
      <c r="I669" s="75"/>
      <c r="J669" s="75"/>
      <c r="K669" s="75"/>
      <c r="L669" s="75"/>
      <c r="M669" s="75"/>
      <c r="N669" s="75"/>
      <c r="O669" s="75"/>
    </row>
    <row r="670">
      <c r="F670" s="181"/>
      <c r="G670" s="181"/>
      <c r="H670" s="181"/>
      <c r="I670" s="75"/>
      <c r="J670" s="75"/>
      <c r="K670" s="75"/>
      <c r="L670" s="75"/>
      <c r="M670" s="75"/>
      <c r="N670" s="75"/>
      <c r="O670" s="75"/>
    </row>
    <row r="671">
      <c r="F671" s="181"/>
      <c r="G671" s="181"/>
      <c r="H671" s="181"/>
      <c r="I671" s="75"/>
      <c r="J671" s="75"/>
      <c r="K671" s="75"/>
      <c r="L671" s="75"/>
      <c r="M671" s="75"/>
      <c r="N671" s="75"/>
      <c r="O671" s="75"/>
    </row>
    <row r="672">
      <c r="F672" s="181"/>
      <c r="G672" s="181"/>
      <c r="H672" s="181"/>
      <c r="I672" s="75"/>
      <c r="J672" s="75"/>
      <c r="K672" s="75"/>
      <c r="L672" s="75"/>
      <c r="M672" s="75"/>
      <c r="N672" s="75"/>
      <c r="O672" s="75"/>
    </row>
    <row r="673">
      <c r="F673" s="181"/>
      <c r="G673" s="181"/>
      <c r="H673" s="181"/>
      <c r="I673" s="75"/>
      <c r="J673" s="75"/>
      <c r="K673" s="75"/>
      <c r="L673" s="75"/>
      <c r="M673" s="75"/>
      <c r="N673" s="75"/>
      <c r="O673" s="75"/>
    </row>
    <row r="674">
      <c r="F674" s="181"/>
      <c r="G674" s="181"/>
      <c r="H674" s="181"/>
      <c r="I674" s="75"/>
      <c r="J674" s="75"/>
      <c r="K674" s="75"/>
      <c r="L674" s="75"/>
      <c r="M674" s="75"/>
      <c r="N674" s="75"/>
      <c r="O674" s="75"/>
    </row>
    <row r="675">
      <c r="F675" s="181"/>
      <c r="G675" s="181"/>
      <c r="H675" s="181"/>
      <c r="I675" s="75"/>
      <c r="J675" s="75"/>
      <c r="K675" s="75"/>
      <c r="L675" s="75"/>
      <c r="M675" s="75"/>
      <c r="N675" s="75"/>
      <c r="O675" s="75"/>
    </row>
    <row r="676">
      <c r="F676" s="181"/>
      <c r="G676" s="181"/>
      <c r="H676" s="181"/>
      <c r="I676" s="75"/>
      <c r="J676" s="75"/>
      <c r="K676" s="75"/>
      <c r="L676" s="75"/>
      <c r="M676" s="75"/>
      <c r="N676" s="75"/>
      <c r="O676" s="75"/>
    </row>
    <row r="677">
      <c r="F677" s="181"/>
      <c r="G677" s="181"/>
      <c r="H677" s="181"/>
      <c r="I677" s="75"/>
      <c r="J677" s="75"/>
      <c r="K677" s="75"/>
      <c r="L677" s="75"/>
      <c r="M677" s="75"/>
      <c r="N677" s="75"/>
      <c r="O677" s="75"/>
    </row>
    <row r="678">
      <c r="F678" s="181"/>
      <c r="G678" s="181"/>
      <c r="H678" s="181"/>
      <c r="I678" s="75"/>
      <c r="J678" s="75"/>
      <c r="K678" s="75"/>
      <c r="L678" s="75"/>
      <c r="M678" s="75"/>
      <c r="N678" s="75"/>
      <c r="O678" s="75"/>
    </row>
    <row r="679">
      <c r="F679" s="181"/>
      <c r="G679" s="181"/>
      <c r="H679" s="181"/>
      <c r="I679" s="75"/>
      <c r="J679" s="75"/>
      <c r="K679" s="75"/>
      <c r="L679" s="75"/>
      <c r="M679" s="75"/>
      <c r="N679" s="75"/>
      <c r="O679" s="75"/>
    </row>
    <row r="680">
      <c r="F680" s="181"/>
      <c r="G680" s="181"/>
      <c r="H680" s="181"/>
      <c r="I680" s="75"/>
      <c r="J680" s="75"/>
      <c r="K680" s="75"/>
      <c r="L680" s="75"/>
      <c r="M680" s="75"/>
      <c r="N680" s="75"/>
      <c r="O680" s="75"/>
    </row>
    <row r="681">
      <c r="F681" s="181"/>
      <c r="G681" s="181"/>
      <c r="H681" s="181"/>
      <c r="I681" s="75"/>
      <c r="J681" s="75"/>
      <c r="K681" s="75"/>
      <c r="L681" s="75"/>
      <c r="M681" s="75"/>
      <c r="N681" s="75"/>
      <c r="O681" s="75"/>
    </row>
    <row r="682">
      <c r="F682" s="181"/>
      <c r="G682" s="181"/>
      <c r="H682" s="181"/>
      <c r="I682" s="75"/>
      <c r="J682" s="75"/>
      <c r="K682" s="75"/>
      <c r="L682" s="75"/>
      <c r="M682" s="75"/>
      <c r="N682" s="75"/>
      <c r="O682" s="75"/>
    </row>
    <row r="683">
      <c r="F683" s="181"/>
      <c r="G683" s="181"/>
      <c r="H683" s="181"/>
      <c r="I683" s="75"/>
      <c r="J683" s="75"/>
      <c r="K683" s="75"/>
      <c r="L683" s="75"/>
      <c r="M683" s="75"/>
      <c r="N683" s="75"/>
      <c r="O683" s="75"/>
    </row>
    <row r="684">
      <c r="F684" s="181"/>
      <c r="G684" s="181"/>
      <c r="H684" s="181"/>
      <c r="I684" s="75"/>
      <c r="J684" s="75"/>
      <c r="K684" s="75"/>
      <c r="L684" s="75"/>
      <c r="M684" s="75"/>
      <c r="N684" s="75"/>
      <c r="O684" s="75"/>
    </row>
    <row r="685">
      <c r="F685" s="181"/>
      <c r="G685" s="181"/>
      <c r="H685" s="181"/>
      <c r="I685" s="75"/>
      <c r="J685" s="75"/>
      <c r="K685" s="75"/>
      <c r="L685" s="75"/>
      <c r="M685" s="75"/>
      <c r="N685" s="75"/>
      <c r="O685" s="75"/>
    </row>
    <row r="686">
      <c r="F686" s="181"/>
      <c r="G686" s="181"/>
      <c r="H686" s="181"/>
      <c r="I686" s="75"/>
      <c r="J686" s="75"/>
      <c r="K686" s="75"/>
      <c r="L686" s="75"/>
      <c r="M686" s="75"/>
      <c r="N686" s="75"/>
      <c r="O686" s="75"/>
    </row>
    <row r="687">
      <c r="F687" s="181"/>
      <c r="G687" s="181"/>
      <c r="H687" s="181"/>
      <c r="I687" s="75"/>
      <c r="J687" s="75"/>
      <c r="K687" s="75"/>
      <c r="L687" s="75"/>
      <c r="M687" s="75"/>
      <c r="N687" s="75"/>
      <c r="O687" s="75"/>
    </row>
    <row r="688">
      <c r="F688" s="181"/>
      <c r="G688" s="181"/>
      <c r="H688" s="181"/>
      <c r="I688" s="75"/>
      <c r="J688" s="75"/>
      <c r="K688" s="75"/>
      <c r="L688" s="75"/>
      <c r="M688" s="75"/>
      <c r="N688" s="75"/>
      <c r="O688" s="75"/>
    </row>
    <row r="689">
      <c r="F689" s="181"/>
      <c r="G689" s="181"/>
      <c r="H689" s="181"/>
      <c r="I689" s="75"/>
      <c r="J689" s="75"/>
      <c r="K689" s="75"/>
      <c r="L689" s="75"/>
      <c r="M689" s="75"/>
      <c r="N689" s="75"/>
      <c r="O689" s="75"/>
    </row>
    <row r="690">
      <c r="F690" s="181"/>
      <c r="G690" s="181"/>
      <c r="H690" s="181"/>
      <c r="I690" s="75"/>
      <c r="J690" s="75"/>
      <c r="K690" s="75"/>
      <c r="L690" s="75"/>
      <c r="M690" s="75"/>
      <c r="N690" s="75"/>
      <c r="O690" s="75"/>
    </row>
    <row r="691">
      <c r="F691" s="181"/>
      <c r="G691" s="181"/>
      <c r="H691" s="181"/>
      <c r="I691" s="75"/>
      <c r="J691" s="75"/>
      <c r="K691" s="75"/>
      <c r="L691" s="75"/>
      <c r="M691" s="75"/>
      <c r="N691" s="75"/>
      <c r="O691" s="75"/>
    </row>
    <row r="692">
      <c r="F692" s="181"/>
      <c r="G692" s="181"/>
      <c r="H692" s="181"/>
      <c r="I692" s="75"/>
      <c r="J692" s="75"/>
      <c r="K692" s="75"/>
      <c r="L692" s="75"/>
      <c r="M692" s="75"/>
      <c r="N692" s="75"/>
      <c r="O692" s="75"/>
    </row>
    <row r="693">
      <c r="F693" s="181"/>
      <c r="G693" s="181"/>
      <c r="H693" s="181"/>
      <c r="I693" s="75"/>
      <c r="J693" s="75"/>
      <c r="K693" s="75"/>
      <c r="L693" s="75"/>
      <c r="M693" s="75"/>
      <c r="N693" s="75"/>
      <c r="O693" s="75"/>
    </row>
    <row r="694">
      <c r="F694" s="181"/>
      <c r="G694" s="181"/>
      <c r="H694" s="181"/>
      <c r="I694" s="75"/>
      <c r="J694" s="75"/>
      <c r="K694" s="75"/>
      <c r="L694" s="75"/>
      <c r="M694" s="75"/>
      <c r="N694" s="75"/>
      <c r="O694" s="75"/>
    </row>
    <row r="695">
      <c r="F695" s="181"/>
      <c r="G695" s="181"/>
      <c r="H695" s="181"/>
      <c r="I695" s="75"/>
      <c r="J695" s="75"/>
      <c r="K695" s="75"/>
      <c r="L695" s="75"/>
      <c r="M695" s="75"/>
      <c r="N695" s="75"/>
      <c r="O695" s="75"/>
    </row>
    <row r="696">
      <c r="F696" s="181"/>
      <c r="G696" s="181"/>
      <c r="H696" s="181"/>
      <c r="I696" s="75"/>
      <c r="J696" s="75"/>
      <c r="K696" s="75"/>
      <c r="L696" s="75"/>
      <c r="M696" s="75"/>
      <c r="N696" s="75"/>
      <c r="O696" s="75"/>
    </row>
    <row r="697">
      <c r="F697" s="181"/>
      <c r="G697" s="181"/>
      <c r="H697" s="181"/>
      <c r="I697" s="75"/>
      <c r="J697" s="75"/>
      <c r="K697" s="75"/>
      <c r="L697" s="75"/>
      <c r="M697" s="75"/>
      <c r="N697" s="75"/>
      <c r="O697" s="75"/>
    </row>
    <row r="698">
      <c r="F698" s="181"/>
      <c r="G698" s="181"/>
      <c r="H698" s="181"/>
      <c r="I698" s="75"/>
      <c r="J698" s="75"/>
      <c r="K698" s="75"/>
      <c r="L698" s="75"/>
      <c r="M698" s="75"/>
      <c r="N698" s="75"/>
      <c r="O698" s="75"/>
    </row>
    <row r="699">
      <c r="F699" s="181"/>
      <c r="G699" s="181"/>
      <c r="H699" s="181"/>
      <c r="I699" s="75"/>
      <c r="J699" s="75"/>
      <c r="K699" s="75"/>
      <c r="L699" s="75"/>
      <c r="M699" s="75"/>
      <c r="N699" s="75"/>
      <c r="O699" s="75"/>
    </row>
    <row r="700">
      <c r="F700" s="181"/>
      <c r="G700" s="181"/>
      <c r="H700" s="181"/>
      <c r="I700" s="75"/>
      <c r="J700" s="75"/>
      <c r="K700" s="75"/>
      <c r="L700" s="75"/>
      <c r="M700" s="75"/>
      <c r="N700" s="75"/>
      <c r="O700" s="75"/>
    </row>
    <row r="701">
      <c r="F701" s="181"/>
      <c r="G701" s="181"/>
      <c r="H701" s="181"/>
      <c r="I701" s="75"/>
      <c r="J701" s="75"/>
      <c r="K701" s="75"/>
      <c r="L701" s="75"/>
      <c r="M701" s="75"/>
      <c r="N701" s="75"/>
      <c r="O701" s="75"/>
    </row>
    <row r="702">
      <c r="F702" s="181"/>
      <c r="G702" s="181"/>
      <c r="H702" s="181"/>
      <c r="I702" s="75"/>
      <c r="J702" s="75"/>
      <c r="K702" s="75"/>
      <c r="L702" s="75"/>
      <c r="M702" s="75"/>
      <c r="N702" s="75"/>
      <c r="O702" s="75"/>
    </row>
    <row r="703">
      <c r="F703" s="181"/>
      <c r="G703" s="181"/>
      <c r="H703" s="181"/>
      <c r="I703" s="75"/>
      <c r="J703" s="75"/>
      <c r="K703" s="75"/>
      <c r="L703" s="75"/>
      <c r="M703" s="75"/>
      <c r="N703" s="75"/>
      <c r="O703" s="75"/>
    </row>
    <row r="704">
      <c r="F704" s="181"/>
      <c r="G704" s="181"/>
      <c r="H704" s="181"/>
      <c r="I704" s="75"/>
      <c r="J704" s="75"/>
      <c r="K704" s="75"/>
      <c r="L704" s="75"/>
      <c r="M704" s="75"/>
      <c r="N704" s="75"/>
      <c r="O704" s="75"/>
    </row>
    <row r="705">
      <c r="F705" s="181"/>
      <c r="G705" s="181"/>
      <c r="H705" s="181"/>
      <c r="I705" s="75"/>
      <c r="J705" s="75"/>
      <c r="K705" s="75"/>
      <c r="L705" s="75"/>
      <c r="M705" s="75"/>
      <c r="N705" s="75"/>
      <c r="O705" s="75"/>
    </row>
    <row r="706">
      <c r="F706" s="181"/>
      <c r="G706" s="181"/>
      <c r="H706" s="181"/>
      <c r="I706" s="75"/>
      <c r="J706" s="75"/>
      <c r="K706" s="75"/>
      <c r="L706" s="75"/>
      <c r="M706" s="75"/>
      <c r="N706" s="75"/>
      <c r="O706" s="75"/>
    </row>
    <row r="707">
      <c r="F707" s="181"/>
      <c r="G707" s="181"/>
      <c r="H707" s="181"/>
      <c r="I707" s="75"/>
      <c r="J707" s="75"/>
      <c r="K707" s="75"/>
      <c r="L707" s="75"/>
      <c r="M707" s="75"/>
      <c r="N707" s="75"/>
      <c r="O707" s="75"/>
    </row>
    <row r="708">
      <c r="F708" s="181"/>
      <c r="G708" s="181"/>
      <c r="H708" s="181"/>
      <c r="I708" s="75"/>
      <c r="J708" s="75"/>
      <c r="K708" s="75"/>
      <c r="L708" s="75"/>
      <c r="M708" s="75"/>
      <c r="N708" s="75"/>
      <c r="O708" s="75"/>
    </row>
    <row r="709">
      <c r="F709" s="181"/>
      <c r="G709" s="181"/>
      <c r="H709" s="181"/>
      <c r="I709" s="75"/>
      <c r="J709" s="75"/>
      <c r="K709" s="75"/>
      <c r="L709" s="75"/>
      <c r="M709" s="75"/>
      <c r="N709" s="75"/>
      <c r="O709" s="75"/>
    </row>
    <row r="710">
      <c r="F710" s="181"/>
      <c r="G710" s="181"/>
      <c r="H710" s="181"/>
      <c r="I710" s="75"/>
      <c r="J710" s="75"/>
      <c r="K710" s="75"/>
      <c r="L710" s="75"/>
      <c r="M710" s="75"/>
      <c r="N710" s="75"/>
      <c r="O710" s="75"/>
    </row>
    <row r="711">
      <c r="F711" s="181"/>
      <c r="G711" s="181"/>
      <c r="H711" s="181"/>
      <c r="I711" s="75"/>
      <c r="J711" s="75"/>
      <c r="K711" s="75"/>
      <c r="L711" s="75"/>
      <c r="M711" s="75"/>
      <c r="N711" s="75"/>
      <c r="O711" s="75"/>
    </row>
    <row r="712">
      <c r="F712" s="181"/>
      <c r="G712" s="181"/>
      <c r="H712" s="181"/>
      <c r="I712" s="75"/>
      <c r="J712" s="75"/>
      <c r="K712" s="75"/>
      <c r="L712" s="75"/>
      <c r="M712" s="75"/>
      <c r="N712" s="75"/>
      <c r="O712" s="75"/>
    </row>
    <row r="713">
      <c r="F713" s="181"/>
      <c r="G713" s="181"/>
      <c r="H713" s="181"/>
      <c r="I713" s="75"/>
      <c r="J713" s="75"/>
      <c r="K713" s="75"/>
      <c r="L713" s="75"/>
      <c r="M713" s="75"/>
      <c r="N713" s="75"/>
      <c r="O713" s="75"/>
    </row>
    <row r="714">
      <c r="F714" s="181"/>
      <c r="G714" s="181"/>
      <c r="H714" s="181"/>
      <c r="I714" s="75"/>
      <c r="J714" s="75"/>
      <c r="K714" s="75"/>
      <c r="L714" s="75"/>
      <c r="M714" s="75"/>
      <c r="N714" s="75"/>
      <c r="O714" s="75"/>
    </row>
    <row r="715">
      <c r="F715" s="181"/>
      <c r="G715" s="181"/>
      <c r="H715" s="181"/>
      <c r="I715" s="75"/>
      <c r="J715" s="75"/>
      <c r="K715" s="75"/>
      <c r="L715" s="75"/>
      <c r="M715" s="75"/>
      <c r="N715" s="75"/>
      <c r="O715" s="75"/>
    </row>
    <row r="716">
      <c r="F716" s="181"/>
      <c r="G716" s="181"/>
      <c r="H716" s="181"/>
      <c r="I716" s="75"/>
      <c r="J716" s="75"/>
      <c r="K716" s="75"/>
      <c r="L716" s="75"/>
      <c r="M716" s="75"/>
      <c r="N716" s="75"/>
      <c r="O716" s="75"/>
    </row>
    <row r="717">
      <c r="F717" s="181"/>
      <c r="G717" s="181"/>
      <c r="H717" s="181"/>
      <c r="I717" s="75"/>
      <c r="J717" s="75"/>
      <c r="K717" s="75"/>
      <c r="L717" s="75"/>
      <c r="M717" s="75"/>
      <c r="N717" s="75"/>
      <c r="O717" s="75"/>
    </row>
    <row r="718">
      <c r="F718" s="181"/>
      <c r="G718" s="181"/>
      <c r="H718" s="181"/>
      <c r="I718" s="75"/>
      <c r="J718" s="75"/>
      <c r="K718" s="75"/>
      <c r="L718" s="75"/>
      <c r="M718" s="75"/>
      <c r="N718" s="75"/>
      <c r="O718" s="75"/>
    </row>
    <row r="719">
      <c r="F719" s="181"/>
      <c r="G719" s="181"/>
      <c r="H719" s="181"/>
      <c r="I719" s="75"/>
      <c r="J719" s="75"/>
      <c r="K719" s="75"/>
      <c r="L719" s="75"/>
      <c r="M719" s="75"/>
      <c r="N719" s="75"/>
      <c r="O719" s="75"/>
    </row>
    <row r="720">
      <c r="F720" s="181"/>
      <c r="G720" s="181"/>
      <c r="H720" s="181"/>
      <c r="I720" s="75"/>
      <c r="J720" s="75"/>
      <c r="K720" s="75"/>
      <c r="L720" s="75"/>
      <c r="M720" s="75"/>
      <c r="N720" s="75"/>
      <c r="O720" s="75"/>
    </row>
    <row r="721">
      <c r="F721" s="181"/>
      <c r="G721" s="181"/>
      <c r="H721" s="181"/>
      <c r="I721" s="75"/>
      <c r="J721" s="75"/>
      <c r="K721" s="75"/>
      <c r="L721" s="75"/>
      <c r="M721" s="75"/>
      <c r="N721" s="75"/>
      <c r="O721" s="75"/>
    </row>
    <row r="722">
      <c r="F722" s="181"/>
      <c r="G722" s="181"/>
      <c r="H722" s="181"/>
      <c r="I722" s="75"/>
      <c r="J722" s="75"/>
      <c r="K722" s="75"/>
      <c r="L722" s="75"/>
      <c r="M722" s="75"/>
      <c r="N722" s="75"/>
      <c r="O722" s="75"/>
    </row>
    <row r="723">
      <c r="F723" s="181"/>
      <c r="G723" s="181"/>
      <c r="H723" s="181"/>
      <c r="I723" s="75"/>
      <c r="J723" s="75"/>
      <c r="K723" s="75"/>
      <c r="L723" s="75"/>
      <c r="M723" s="75"/>
      <c r="N723" s="75"/>
      <c r="O723" s="75"/>
    </row>
    <row r="724">
      <c r="F724" s="181"/>
      <c r="G724" s="181"/>
      <c r="H724" s="181"/>
      <c r="I724" s="75"/>
      <c r="J724" s="75"/>
      <c r="K724" s="75"/>
      <c r="L724" s="75"/>
      <c r="M724" s="75"/>
      <c r="N724" s="75"/>
      <c r="O724" s="75"/>
    </row>
    <row r="725">
      <c r="F725" s="181"/>
      <c r="G725" s="181"/>
      <c r="H725" s="181"/>
      <c r="I725" s="75"/>
      <c r="J725" s="75"/>
      <c r="K725" s="75"/>
      <c r="L725" s="75"/>
      <c r="M725" s="75"/>
      <c r="N725" s="75"/>
      <c r="O725" s="75"/>
    </row>
    <row r="726">
      <c r="F726" s="181"/>
      <c r="G726" s="181"/>
      <c r="H726" s="181"/>
      <c r="I726" s="75"/>
      <c r="J726" s="75"/>
      <c r="K726" s="75"/>
      <c r="L726" s="75"/>
      <c r="M726" s="75"/>
      <c r="N726" s="75"/>
      <c r="O726" s="75"/>
    </row>
    <row r="727">
      <c r="F727" s="181"/>
      <c r="G727" s="181"/>
      <c r="H727" s="181"/>
      <c r="I727" s="75"/>
      <c r="J727" s="75"/>
      <c r="K727" s="75"/>
      <c r="L727" s="75"/>
      <c r="M727" s="75"/>
      <c r="N727" s="75"/>
      <c r="O727" s="75"/>
    </row>
    <row r="728">
      <c r="F728" s="181"/>
      <c r="G728" s="181"/>
      <c r="H728" s="181"/>
      <c r="I728" s="75"/>
      <c r="J728" s="75"/>
      <c r="K728" s="75"/>
      <c r="L728" s="75"/>
      <c r="M728" s="75"/>
      <c r="N728" s="75"/>
      <c r="O728" s="75"/>
    </row>
    <row r="729">
      <c r="F729" s="181"/>
      <c r="G729" s="181"/>
      <c r="H729" s="181"/>
      <c r="I729" s="75"/>
      <c r="J729" s="75"/>
      <c r="K729" s="75"/>
      <c r="L729" s="75"/>
      <c r="M729" s="75"/>
      <c r="N729" s="75"/>
      <c r="O729" s="75"/>
    </row>
    <row r="730">
      <c r="F730" s="181"/>
      <c r="G730" s="181"/>
      <c r="H730" s="181"/>
      <c r="I730" s="75"/>
      <c r="J730" s="75"/>
      <c r="K730" s="75"/>
      <c r="L730" s="75"/>
      <c r="M730" s="75"/>
      <c r="N730" s="75"/>
      <c r="O730" s="75"/>
    </row>
    <row r="731">
      <c r="F731" s="181"/>
      <c r="G731" s="181"/>
      <c r="H731" s="181"/>
      <c r="I731" s="75"/>
      <c r="J731" s="75"/>
      <c r="K731" s="75"/>
      <c r="L731" s="75"/>
      <c r="M731" s="75"/>
      <c r="N731" s="75"/>
      <c r="O731" s="75"/>
    </row>
    <row r="732">
      <c r="F732" s="181"/>
      <c r="G732" s="181"/>
      <c r="H732" s="181"/>
      <c r="I732" s="75"/>
      <c r="J732" s="75"/>
      <c r="K732" s="75"/>
      <c r="L732" s="75"/>
      <c r="M732" s="75"/>
      <c r="N732" s="75"/>
      <c r="O732" s="75"/>
    </row>
    <row r="733">
      <c r="F733" s="181"/>
      <c r="G733" s="181"/>
      <c r="H733" s="181"/>
      <c r="I733" s="75"/>
      <c r="J733" s="75"/>
      <c r="K733" s="75"/>
      <c r="L733" s="75"/>
      <c r="M733" s="75"/>
      <c r="N733" s="75"/>
      <c r="O733" s="75"/>
    </row>
    <row r="734">
      <c r="F734" s="181"/>
      <c r="G734" s="181"/>
      <c r="H734" s="181"/>
      <c r="I734" s="75"/>
      <c r="J734" s="75"/>
      <c r="K734" s="75"/>
      <c r="L734" s="75"/>
      <c r="M734" s="75"/>
      <c r="N734" s="75"/>
      <c r="O734" s="75"/>
    </row>
    <row r="735">
      <c r="F735" s="181"/>
      <c r="G735" s="181"/>
      <c r="H735" s="181"/>
      <c r="I735" s="75"/>
      <c r="J735" s="75"/>
      <c r="K735" s="75"/>
      <c r="L735" s="75"/>
      <c r="M735" s="75"/>
      <c r="N735" s="75"/>
      <c r="O735" s="75"/>
    </row>
    <row r="736">
      <c r="F736" s="181"/>
      <c r="G736" s="181"/>
      <c r="H736" s="181"/>
      <c r="I736" s="75"/>
      <c r="J736" s="75"/>
      <c r="K736" s="75"/>
      <c r="L736" s="75"/>
      <c r="M736" s="75"/>
      <c r="N736" s="75"/>
      <c r="O736" s="75"/>
    </row>
    <row r="737">
      <c r="F737" s="181"/>
      <c r="G737" s="181"/>
      <c r="H737" s="181"/>
      <c r="I737" s="75"/>
      <c r="J737" s="75"/>
      <c r="K737" s="75"/>
      <c r="L737" s="75"/>
      <c r="M737" s="75"/>
      <c r="N737" s="75"/>
      <c r="O737" s="75"/>
    </row>
    <row r="738">
      <c r="F738" s="181"/>
      <c r="G738" s="181"/>
      <c r="H738" s="181"/>
      <c r="I738" s="75"/>
      <c r="J738" s="75"/>
      <c r="K738" s="75"/>
      <c r="L738" s="75"/>
      <c r="M738" s="75"/>
      <c r="N738" s="75"/>
      <c r="O738" s="75"/>
    </row>
    <row r="739">
      <c r="F739" s="181"/>
      <c r="G739" s="181"/>
      <c r="H739" s="181"/>
      <c r="I739" s="75"/>
      <c r="J739" s="75"/>
      <c r="K739" s="75"/>
      <c r="L739" s="75"/>
      <c r="M739" s="75"/>
      <c r="N739" s="75"/>
      <c r="O739" s="75"/>
    </row>
    <row r="740">
      <c r="F740" s="181"/>
      <c r="G740" s="181"/>
      <c r="H740" s="181"/>
      <c r="I740" s="75"/>
      <c r="J740" s="75"/>
      <c r="K740" s="75"/>
      <c r="L740" s="75"/>
      <c r="M740" s="75"/>
      <c r="N740" s="75"/>
      <c r="O740" s="75"/>
    </row>
    <row r="741">
      <c r="F741" s="181"/>
      <c r="G741" s="181"/>
      <c r="H741" s="181"/>
      <c r="I741" s="75"/>
      <c r="J741" s="75"/>
      <c r="K741" s="75"/>
      <c r="L741" s="75"/>
      <c r="M741" s="75"/>
      <c r="N741" s="75"/>
      <c r="O741" s="75"/>
    </row>
    <row r="742">
      <c r="F742" s="181"/>
      <c r="G742" s="181"/>
      <c r="H742" s="181"/>
      <c r="I742" s="75"/>
      <c r="J742" s="75"/>
      <c r="K742" s="75"/>
      <c r="L742" s="75"/>
      <c r="M742" s="75"/>
      <c r="N742" s="75"/>
      <c r="O742" s="75"/>
    </row>
    <row r="743">
      <c r="F743" s="181"/>
      <c r="G743" s="181"/>
      <c r="H743" s="181"/>
      <c r="I743" s="75"/>
      <c r="J743" s="75"/>
      <c r="K743" s="75"/>
      <c r="L743" s="75"/>
      <c r="M743" s="75"/>
      <c r="N743" s="75"/>
      <c r="O743" s="75"/>
    </row>
    <row r="744">
      <c r="F744" s="181"/>
      <c r="G744" s="181"/>
      <c r="H744" s="181"/>
      <c r="I744" s="75"/>
      <c r="J744" s="75"/>
      <c r="K744" s="75"/>
      <c r="L744" s="75"/>
      <c r="M744" s="75"/>
      <c r="N744" s="75"/>
      <c r="O744" s="75"/>
    </row>
    <row r="745">
      <c r="F745" s="181"/>
      <c r="G745" s="181"/>
      <c r="H745" s="181"/>
      <c r="I745" s="75"/>
      <c r="J745" s="75"/>
      <c r="K745" s="75"/>
      <c r="L745" s="75"/>
      <c r="M745" s="75"/>
      <c r="N745" s="75"/>
      <c r="O745" s="75"/>
    </row>
    <row r="746">
      <c r="F746" s="181"/>
      <c r="G746" s="181"/>
      <c r="H746" s="181"/>
      <c r="I746" s="75"/>
      <c r="J746" s="75"/>
      <c r="K746" s="75"/>
      <c r="L746" s="75"/>
      <c r="M746" s="75"/>
      <c r="N746" s="75"/>
      <c r="O746" s="75"/>
    </row>
    <row r="747">
      <c r="F747" s="181"/>
      <c r="G747" s="181"/>
      <c r="H747" s="181"/>
      <c r="I747" s="75"/>
      <c r="J747" s="75"/>
      <c r="K747" s="75"/>
      <c r="L747" s="75"/>
      <c r="M747" s="75"/>
      <c r="N747" s="75"/>
      <c r="O747" s="75"/>
    </row>
    <row r="748">
      <c r="F748" s="181"/>
      <c r="G748" s="181"/>
      <c r="H748" s="181"/>
      <c r="I748" s="75"/>
      <c r="J748" s="75"/>
      <c r="K748" s="75"/>
      <c r="L748" s="75"/>
      <c r="M748" s="75"/>
      <c r="N748" s="75"/>
      <c r="O748" s="75"/>
    </row>
    <row r="749">
      <c r="F749" s="181"/>
      <c r="G749" s="181"/>
      <c r="H749" s="181"/>
      <c r="I749" s="75"/>
      <c r="J749" s="75"/>
      <c r="K749" s="75"/>
      <c r="L749" s="75"/>
      <c r="M749" s="75"/>
      <c r="N749" s="75"/>
      <c r="O749" s="75"/>
    </row>
    <row r="750">
      <c r="F750" s="181"/>
      <c r="G750" s="181"/>
      <c r="H750" s="181"/>
      <c r="I750" s="75"/>
      <c r="J750" s="75"/>
      <c r="K750" s="75"/>
      <c r="L750" s="75"/>
      <c r="M750" s="75"/>
      <c r="N750" s="75"/>
      <c r="O750" s="75"/>
    </row>
    <row r="751">
      <c r="F751" s="181"/>
      <c r="G751" s="181"/>
      <c r="H751" s="181"/>
      <c r="I751" s="75"/>
      <c r="J751" s="75"/>
      <c r="K751" s="75"/>
      <c r="L751" s="75"/>
      <c r="M751" s="75"/>
      <c r="N751" s="75"/>
      <c r="O751" s="75"/>
    </row>
    <row r="752">
      <c r="F752" s="181"/>
      <c r="G752" s="181"/>
      <c r="H752" s="181"/>
      <c r="I752" s="75"/>
      <c r="J752" s="75"/>
      <c r="K752" s="75"/>
      <c r="L752" s="75"/>
      <c r="M752" s="75"/>
      <c r="N752" s="75"/>
      <c r="O752" s="75"/>
    </row>
    <row r="753">
      <c r="F753" s="181"/>
      <c r="G753" s="181"/>
      <c r="H753" s="181"/>
      <c r="I753" s="75"/>
      <c r="J753" s="75"/>
      <c r="K753" s="75"/>
      <c r="L753" s="75"/>
      <c r="M753" s="75"/>
      <c r="N753" s="75"/>
      <c r="O753" s="75"/>
    </row>
    <row r="754">
      <c r="F754" s="181"/>
      <c r="G754" s="181"/>
      <c r="H754" s="181"/>
      <c r="I754" s="75"/>
      <c r="J754" s="75"/>
      <c r="K754" s="75"/>
      <c r="L754" s="75"/>
      <c r="M754" s="75"/>
      <c r="N754" s="75"/>
      <c r="O754" s="75"/>
    </row>
    <row r="755">
      <c r="F755" s="181"/>
      <c r="G755" s="181"/>
      <c r="H755" s="181"/>
      <c r="I755" s="75"/>
      <c r="J755" s="75"/>
      <c r="K755" s="75"/>
      <c r="L755" s="75"/>
      <c r="M755" s="75"/>
      <c r="N755" s="75"/>
      <c r="O755" s="75"/>
    </row>
    <row r="756">
      <c r="F756" s="181"/>
      <c r="G756" s="181"/>
      <c r="H756" s="181"/>
      <c r="I756" s="75"/>
      <c r="J756" s="75"/>
      <c r="K756" s="75"/>
      <c r="L756" s="75"/>
      <c r="M756" s="75"/>
      <c r="N756" s="75"/>
      <c r="O756" s="75"/>
    </row>
    <row r="757">
      <c r="F757" s="181"/>
      <c r="G757" s="181"/>
      <c r="H757" s="181"/>
      <c r="I757" s="75"/>
      <c r="J757" s="75"/>
      <c r="K757" s="75"/>
      <c r="L757" s="75"/>
      <c r="M757" s="75"/>
      <c r="N757" s="75"/>
      <c r="O757" s="75"/>
    </row>
    <row r="758">
      <c r="F758" s="181"/>
      <c r="G758" s="181"/>
      <c r="H758" s="181"/>
      <c r="I758" s="75"/>
      <c r="J758" s="75"/>
      <c r="K758" s="75"/>
      <c r="L758" s="75"/>
      <c r="M758" s="75"/>
      <c r="N758" s="75"/>
      <c r="O758" s="75"/>
    </row>
    <row r="759">
      <c r="F759" s="181"/>
      <c r="G759" s="181"/>
      <c r="H759" s="181"/>
      <c r="I759" s="75"/>
      <c r="J759" s="75"/>
      <c r="K759" s="75"/>
      <c r="L759" s="75"/>
      <c r="M759" s="75"/>
      <c r="N759" s="75"/>
      <c r="O759" s="75"/>
    </row>
    <row r="760">
      <c r="F760" s="181"/>
      <c r="G760" s="181"/>
      <c r="H760" s="181"/>
      <c r="I760" s="75"/>
      <c r="J760" s="75"/>
      <c r="K760" s="75"/>
      <c r="L760" s="75"/>
      <c r="M760" s="75"/>
      <c r="N760" s="75"/>
      <c r="O760" s="75"/>
    </row>
    <row r="761">
      <c r="F761" s="181"/>
      <c r="G761" s="181"/>
      <c r="H761" s="181"/>
      <c r="I761" s="75"/>
      <c r="J761" s="75"/>
      <c r="K761" s="75"/>
      <c r="L761" s="75"/>
      <c r="M761" s="75"/>
      <c r="N761" s="75"/>
      <c r="O761" s="75"/>
    </row>
    <row r="762">
      <c r="F762" s="181"/>
      <c r="G762" s="181"/>
      <c r="H762" s="181"/>
      <c r="I762" s="75"/>
      <c r="J762" s="75"/>
      <c r="K762" s="75"/>
      <c r="L762" s="75"/>
      <c r="M762" s="75"/>
      <c r="N762" s="75"/>
      <c r="O762" s="75"/>
    </row>
    <row r="763">
      <c r="F763" s="181"/>
      <c r="G763" s="181"/>
      <c r="H763" s="181"/>
      <c r="I763" s="75"/>
      <c r="J763" s="75"/>
      <c r="K763" s="75"/>
      <c r="L763" s="75"/>
      <c r="M763" s="75"/>
      <c r="N763" s="75"/>
      <c r="O763" s="75"/>
    </row>
    <row r="764">
      <c r="F764" s="181"/>
      <c r="G764" s="181"/>
      <c r="H764" s="181"/>
      <c r="I764" s="75"/>
      <c r="J764" s="75"/>
      <c r="K764" s="75"/>
      <c r="L764" s="75"/>
      <c r="M764" s="75"/>
      <c r="N764" s="75"/>
      <c r="O764" s="75"/>
    </row>
    <row r="765">
      <c r="F765" s="181"/>
      <c r="G765" s="181"/>
      <c r="H765" s="181"/>
      <c r="I765" s="75"/>
      <c r="J765" s="75"/>
      <c r="K765" s="75"/>
      <c r="L765" s="75"/>
      <c r="M765" s="75"/>
      <c r="N765" s="75"/>
      <c r="O765" s="75"/>
    </row>
    <row r="766">
      <c r="F766" s="181"/>
      <c r="G766" s="181"/>
      <c r="H766" s="181"/>
      <c r="I766" s="75"/>
      <c r="J766" s="75"/>
      <c r="K766" s="75"/>
      <c r="L766" s="75"/>
      <c r="M766" s="75"/>
      <c r="N766" s="75"/>
      <c r="O766" s="75"/>
    </row>
    <row r="767">
      <c r="F767" s="181"/>
      <c r="G767" s="181"/>
      <c r="H767" s="181"/>
      <c r="I767" s="75"/>
      <c r="J767" s="75"/>
      <c r="K767" s="75"/>
      <c r="L767" s="75"/>
      <c r="M767" s="75"/>
      <c r="N767" s="75"/>
      <c r="O767" s="75"/>
    </row>
    <row r="768">
      <c r="F768" s="181"/>
      <c r="G768" s="181"/>
      <c r="H768" s="181"/>
      <c r="I768" s="75"/>
      <c r="J768" s="75"/>
      <c r="K768" s="75"/>
      <c r="L768" s="75"/>
      <c r="M768" s="75"/>
      <c r="N768" s="75"/>
      <c r="O768" s="75"/>
    </row>
    <row r="769">
      <c r="F769" s="181"/>
      <c r="G769" s="181"/>
      <c r="H769" s="181"/>
      <c r="I769" s="75"/>
      <c r="J769" s="75"/>
      <c r="K769" s="75"/>
      <c r="L769" s="75"/>
      <c r="M769" s="75"/>
      <c r="N769" s="75"/>
      <c r="O769" s="75"/>
    </row>
    <row r="770">
      <c r="F770" s="181"/>
      <c r="G770" s="181"/>
      <c r="H770" s="181"/>
      <c r="I770" s="75"/>
      <c r="J770" s="75"/>
      <c r="K770" s="75"/>
      <c r="L770" s="75"/>
      <c r="M770" s="75"/>
      <c r="N770" s="75"/>
      <c r="O770" s="75"/>
    </row>
    <row r="771">
      <c r="F771" s="181"/>
      <c r="G771" s="181"/>
      <c r="H771" s="181"/>
      <c r="I771" s="75"/>
      <c r="J771" s="75"/>
      <c r="K771" s="75"/>
      <c r="L771" s="75"/>
      <c r="M771" s="75"/>
      <c r="N771" s="75"/>
      <c r="O771" s="75"/>
    </row>
    <row r="772">
      <c r="F772" s="181"/>
      <c r="G772" s="181"/>
      <c r="H772" s="181"/>
      <c r="I772" s="75"/>
      <c r="J772" s="75"/>
      <c r="K772" s="75"/>
      <c r="L772" s="75"/>
      <c r="M772" s="75"/>
      <c r="N772" s="75"/>
      <c r="O772" s="75"/>
    </row>
    <row r="773">
      <c r="F773" s="181"/>
      <c r="G773" s="181"/>
      <c r="H773" s="181"/>
      <c r="I773" s="75"/>
      <c r="J773" s="75"/>
      <c r="K773" s="75"/>
      <c r="L773" s="75"/>
      <c r="M773" s="75"/>
      <c r="N773" s="75"/>
      <c r="O773" s="75"/>
    </row>
    <row r="774">
      <c r="F774" s="181"/>
      <c r="G774" s="181"/>
      <c r="H774" s="181"/>
      <c r="I774" s="75"/>
      <c r="J774" s="75"/>
      <c r="K774" s="75"/>
      <c r="L774" s="75"/>
      <c r="M774" s="75"/>
      <c r="N774" s="75"/>
      <c r="O774" s="75"/>
    </row>
    <row r="775">
      <c r="F775" s="181"/>
      <c r="G775" s="181"/>
      <c r="H775" s="181"/>
      <c r="I775" s="75"/>
      <c r="J775" s="75"/>
      <c r="K775" s="75"/>
      <c r="L775" s="75"/>
      <c r="M775" s="75"/>
      <c r="N775" s="75"/>
      <c r="O775" s="75"/>
    </row>
    <row r="776">
      <c r="F776" s="181"/>
      <c r="G776" s="181"/>
      <c r="H776" s="181"/>
      <c r="I776" s="75"/>
      <c r="J776" s="75"/>
      <c r="K776" s="75"/>
      <c r="L776" s="75"/>
      <c r="M776" s="75"/>
      <c r="N776" s="75"/>
      <c r="O776" s="75"/>
    </row>
    <row r="777">
      <c r="F777" s="181"/>
      <c r="G777" s="181"/>
      <c r="H777" s="181"/>
      <c r="I777" s="75"/>
      <c r="J777" s="75"/>
      <c r="K777" s="75"/>
      <c r="L777" s="75"/>
      <c r="M777" s="75"/>
      <c r="N777" s="75"/>
      <c r="O777" s="75"/>
    </row>
    <row r="778">
      <c r="F778" s="181"/>
      <c r="G778" s="181"/>
      <c r="H778" s="181"/>
      <c r="I778" s="75"/>
      <c r="J778" s="75"/>
      <c r="K778" s="75"/>
      <c r="L778" s="75"/>
      <c r="M778" s="75"/>
      <c r="N778" s="75"/>
      <c r="O778" s="75"/>
    </row>
    <row r="779">
      <c r="F779" s="181"/>
      <c r="G779" s="181"/>
      <c r="H779" s="181"/>
      <c r="I779" s="75"/>
      <c r="J779" s="75"/>
      <c r="K779" s="75"/>
      <c r="L779" s="75"/>
      <c r="M779" s="75"/>
      <c r="N779" s="75"/>
      <c r="O779" s="75"/>
    </row>
    <row r="780">
      <c r="F780" s="181"/>
      <c r="G780" s="181"/>
      <c r="H780" s="181"/>
      <c r="I780" s="75"/>
      <c r="J780" s="75"/>
      <c r="K780" s="75"/>
      <c r="L780" s="75"/>
      <c r="M780" s="75"/>
      <c r="N780" s="75"/>
      <c r="O780" s="75"/>
    </row>
    <row r="781">
      <c r="F781" s="181"/>
      <c r="G781" s="181"/>
      <c r="H781" s="181"/>
      <c r="I781" s="75"/>
      <c r="J781" s="75"/>
      <c r="K781" s="75"/>
      <c r="L781" s="75"/>
      <c r="M781" s="75"/>
      <c r="N781" s="75"/>
      <c r="O781" s="75"/>
    </row>
    <row r="782">
      <c r="F782" s="181"/>
      <c r="G782" s="181"/>
      <c r="H782" s="181"/>
      <c r="I782" s="75"/>
      <c r="J782" s="75"/>
      <c r="K782" s="75"/>
      <c r="L782" s="75"/>
      <c r="M782" s="75"/>
      <c r="N782" s="75"/>
      <c r="O782" s="75"/>
    </row>
    <row r="783">
      <c r="F783" s="181"/>
      <c r="G783" s="181"/>
      <c r="H783" s="181"/>
      <c r="I783" s="75"/>
      <c r="J783" s="75"/>
      <c r="K783" s="75"/>
      <c r="L783" s="75"/>
      <c r="M783" s="75"/>
      <c r="N783" s="75"/>
      <c r="O783" s="75"/>
    </row>
    <row r="784">
      <c r="F784" s="181"/>
      <c r="G784" s="181"/>
      <c r="H784" s="181"/>
      <c r="I784" s="75"/>
      <c r="J784" s="75"/>
      <c r="K784" s="75"/>
      <c r="L784" s="75"/>
      <c r="M784" s="75"/>
      <c r="N784" s="75"/>
      <c r="O784" s="75"/>
    </row>
    <row r="785">
      <c r="F785" s="181"/>
      <c r="G785" s="181"/>
      <c r="H785" s="181"/>
      <c r="I785" s="75"/>
      <c r="J785" s="75"/>
      <c r="K785" s="75"/>
      <c r="L785" s="75"/>
      <c r="M785" s="75"/>
      <c r="N785" s="75"/>
      <c r="O785" s="75"/>
    </row>
    <row r="786">
      <c r="F786" s="181"/>
      <c r="G786" s="181"/>
      <c r="H786" s="181"/>
      <c r="I786" s="75"/>
      <c r="J786" s="75"/>
      <c r="K786" s="75"/>
      <c r="L786" s="75"/>
      <c r="M786" s="75"/>
      <c r="N786" s="75"/>
      <c r="O786" s="75"/>
    </row>
    <row r="787">
      <c r="F787" s="181"/>
      <c r="G787" s="181"/>
      <c r="H787" s="181"/>
      <c r="I787" s="75"/>
      <c r="J787" s="75"/>
      <c r="K787" s="75"/>
      <c r="L787" s="75"/>
      <c r="M787" s="75"/>
      <c r="N787" s="75"/>
      <c r="O787" s="75"/>
    </row>
    <row r="788">
      <c r="F788" s="181"/>
      <c r="G788" s="181"/>
      <c r="H788" s="181"/>
      <c r="I788" s="75"/>
      <c r="J788" s="75"/>
      <c r="K788" s="75"/>
      <c r="L788" s="75"/>
      <c r="M788" s="75"/>
      <c r="N788" s="75"/>
      <c r="O788" s="75"/>
    </row>
    <row r="789">
      <c r="F789" s="181"/>
      <c r="G789" s="181"/>
      <c r="H789" s="181"/>
      <c r="I789" s="75"/>
      <c r="J789" s="75"/>
      <c r="K789" s="75"/>
      <c r="L789" s="75"/>
      <c r="M789" s="75"/>
      <c r="N789" s="75"/>
      <c r="O789" s="75"/>
    </row>
    <row r="790">
      <c r="F790" s="181"/>
      <c r="G790" s="181"/>
      <c r="H790" s="181"/>
      <c r="I790" s="75"/>
      <c r="J790" s="75"/>
      <c r="K790" s="75"/>
      <c r="L790" s="75"/>
      <c r="M790" s="75"/>
      <c r="N790" s="75"/>
      <c r="O790" s="75"/>
    </row>
    <row r="791">
      <c r="F791" s="181"/>
      <c r="G791" s="181"/>
      <c r="H791" s="181"/>
      <c r="I791" s="75"/>
      <c r="J791" s="75"/>
      <c r="K791" s="75"/>
      <c r="L791" s="75"/>
      <c r="M791" s="75"/>
      <c r="N791" s="75"/>
      <c r="O791" s="75"/>
    </row>
    <row r="792">
      <c r="F792" s="181"/>
      <c r="G792" s="181"/>
      <c r="H792" s="181"/>
      <c r="I792" s="75"/>
      <c r="J792" s="75"/>
      <c r="K792" s="75"/>
      <c r="L792" s="75"/>
      <c r="M792" s="75"/>
      <c r="N792" s="75"/>
      <c r="O792" s="75"/>
    </row>
    <row r="793">
      <c r="F793" s="181"/>
      <c r="G793" s="181"/>
      <c r="H793" s="181"/>
      <c r="I793" s="75"/>
      <c r="J793" s="75"/>
      <c r="K793" s="75"/>
      <c r="L793" s="75"/>
      <c r="M793" s="75"/>
      <c r="N793" s="75"/>
      <c r="O793" s="75"/>
    </row>
    <row r="794">
      <c r="F794" s="181"/>
      <c r="G794" s="181"/>
      <c r="H794" s="181"/>
      <c r="I794" s="75"/>
      <c r="J794" s="75"/>
      <c r="K794" s="75"/>
      <c r="L794" s="75"/>
      <c r="M794" s="75"/>
      <c r="N794" s="75"/>
      <c r="O794" s="75"/>
    </row>
    <row r="795">
      <c r="F795" s="181"/>
      <c r="G795" s="181"/>
      <c r="H795" s="181"/>
      <c r="I795" s="75"/>
      <c r="J795" s="75"/>
      <c r="K795" s="75"/>
      <c r="L795" s="75"/>
      <c r="M795" s="75"/>
      <c r="N795" s="75"/>
      <c r="O795" s="75"/>
    </row>
    <row r="796">
      <c r="F796" s="181"/>
      <c r="G796" s="181"/>
      <c r="H796" s="181"/>
      <c r="I796" s="75"/>
      <c r="J796" s="75"/>
      <c r="K796" s="75"/>
      <c r="L796" s="75"/>
      <c r="M796" s="75"/>
      <c r="N796" s="75"/>
      <c r="O796" s="75"/>
    </row>
    <row r="797">
      <c r="F797" s="181"/>
      <c r="G797" s="181"/>
      <c r="H797" s="181"/>
      <c r="I797" s="75"/>
      <c r="J797" s="75"/>
      <c r="K797" s="75"/>
      <c r="L797" s="75"/>
      <c r="M797" s="75"/>
      <c r="N797" s="75"/>
      <c r="O797" s="75"/>
    </row>
    <row r="798">
      <c r="F798" s="181"/>
      <c r="G798" s="181"/>
      <c r="H798" s="181"/>
      <c r="I798" s="75"/>
      <c r="J798" s="75"/>
      <c r="K798" s="75"/>
      <c r="L798" s="75"/>
      <c r="M798" s="75"/>
      <c r="N798" s="75"/>
      <c r="O798" s="75"/>
    </row>
    <row r="799">
      <c r="F799" s="181"/>
      <c r="G799" s="181"/>
      <c r="H799" s="181"/>
      <c r="I799" s="75"/>
      <c r="J799" s="75"/>
      <c r="K799" s="75"/>
      <c r="L799" s="75"/>
      <c r="M799" s="75"/>
      <c r="N799" s="75"/>
      <c r="O799" s="75"/>
    </row>
    <row r="800">
      <c r="F800" s="181"/>
      <c r="G800" s="181"/>
      <c r="H800" s="181"/>
      <c r="I800" s="75"/>
      <c r="J800" s="75"/>
      <c r="K800" s="75"/>
      <c r="L800" s="75"/>
      <c r="M800" s="75"/>
      <c r="N800" s="75"/>
      <c r="O800" s="75"/>
    </row>
    <row r="801">
      <c r="F801" s="181"/>
      <c r="G801" s="181"/>
      <c r="H801" s="181"/>
      <c r="I801" s="75"/>
      <c r="J801" s="75"/>
      <c r="K801" s="75"/>
      <c r="L801" s="75"/>
      <c r="M801" s="75"/>
      <c r="N801" s="75"/>
      <c r="O801" s="75"/>
    </row>
    <row r="802">
      <c r="F802" s="181"/>
      <c r="G802" s="181"/>
      <c r="H802" s="181"/>
      <c r="I802" s="75"/>
      <c r="J802" s="75"/>
      <c r="K802" s="75"/>
      <c r="L802" s="75"/>
      <c r="M802" s="75"/>
      <c r="N802" s="75"/>
      <c r="O802" s="75"/>
    </row>
    <row r="803">
      <c r="F803" s="181"/>
      <c r="G803" s="181"/>
      <c r="H803" s="181"/>
      <c r="I803" s="75"/>
      <c r="J803" s="75"/>
      <c r="K803" s="75"/>
      <c r="L803" s="75"/>
      <c r="M803" s="75"/>
      <c r="N803" s="75"/>
      <c r="O803" s="75"/>
    </row>
    <row r="804">
      <c r="F804" s="181"/>
      <c r="G804" s="181"/>
      <c r="H804" s="181"/>
      <c r="I804" s="75"/>
      <c r="J804" s="75"/>
      <c r="K804" s="75"/>
      <c r="L804" s="75"/>
      <c r="M804" s="75"/>
      <c r="N804" s="75"/>
      <c r="O804" s="75"/>
    </row>
    <row r="805">
      <c r="F805" s="181"/>
      <c r="G805" s="181"/>
      <c r="H805" s="181"/>
      <c r="I805" s="75"/>
      <c r="J805" s="75"/>
      <c r="K805" s="75"/>
      <c r="L805" s="75"/>
      <c r="M805" s="75"/>
      <c r="N805" s="75"/>
      <c r="O805" s="75"/>
    </row>
    <row r="806">
      <c r="F806" s="181"/>
      <c r="G806" s="181"/>
      <c r="H806" s="181"/>
      <c r="I806" s="75"/>
      <c r="J806" s="75"/>
      <c r="K806" s="75"/>
      <c r="L806" s="75"/>
      <c r="M806" s="75"/>
      <c r="N806" s="75"/>
      <c r="O806" s="75"/>
    </row>
    <row r="807">
      <c r="F807" s="181"/>
      <c r="G807" s="181"/>
      <c r="H807" s="181"/>
      <c r="I807" s="75"/>
      <c r="J807" s="75"/>
      <c r="K807" s="75"/>
      <c r="L807" s="75"/>
      <c r="M807" s="75"/>
      <c r="N807" s="75"/>
      <c r="O807" s="75"/>
    </row>
    <row r="808">
      <c r="F808" s="181"/>
      <c r="G808" s="181"/>
      <c r="H808" s="181"/>
      <c r="I808" s="75"/>
      <c r="J808" s="75"/>
      <c r="K808" s="75"/>
      <c r="L808" s="75"/>
      <c r="M808" s="75"/>
      <c r="N808" s="75"/>
      <c r="O808" s="75"/>
    </row>
    <row r="809">
      <c r="F809" s="181"/>
      <c r="G809" s="181"/>
      <c r="H809" s="181"/>
      <c r="I809" s="75"/>
      <c r="J809" s="75"/>
      <c r="K809" s="75"/>
      <c r="L809" s="75"/>
      <c r="M809" s="75"/>
      <c r="N809" s="75"/>
      <c r="O809" s="75"/>
    </row>
    <row r="810">
      <c r="F810" s="181"/>
      <c r="G810" s="181"/>
      <c r="H810" s="181"/>
      <c r="I810" s="75"/>
      <c r="J810" s="75"/>
      <c r="K810" s="75"/>
      <c r="L810" s="75"/>
      <c r="M810" s="75"/>
      <c r="N810" s="75"/>
      <c r="O810" s="75"/>
    </row>
    <row r="811">
      <c r="F811" s="181"/>
      <c r="G811" s="181"/>
      <c r="H811" s="181"/>
      <c r="I811" s="75"/>
      <c r="J811" s="75"/>
      <c r="K811" s="75"/>
      <c r="L811" s="75"/>
      <c r="M811" s="75"/>
      <c r="N811" s="75"/>
      <c r="O811" s="75"/>
    </row>
    <row r="812">
      <c r="F812" s="181"/>
      <c r="G812" s="181"/>
      <c r="H812" s="181"/>
      <c r="I812" s="75"/>
      <c r="J812" s="75"/>
      <c r="K812" s="75"/>
      <c r="L812" s="75"/>
      <c r="M812" s="75"/>
      <c r="N812" s="75"/>
      <c r="O812" s="75"/>
    </row>
    <row r="813">
      <c r="F813" s="181"/>
      <c r="G813" s="181"/>
      <c r="H813" s="181"/>
      <c r="I813" s="75"/>
      <c r="J813" s="75"/>
      <c r="K813" s="75"/>
      <c r="L813" s="75"/>
      <c r="M813" s="75"/>
      <c r="N813" s="75"/>
      <c r="O813" s="75"/>
    </row>
    <row r="814">
      <c r="F814" s="181"/>
      <c r="G814" s="181"/>
      <c r="H814" s="181"/>
      <c r="I814" s="75"/>
      <c r="J814" s="75"/>
      <c r="K814" s="75"/>
      <c r="L814" s="75"/>
      <c r="M814" s="75"/>
      <c r="N814" s="75"/>
      <c r="O814" s="75"/>
    </row>
    <row r="815">
      <c r="F815" s="181"/>
      <c r="G815" s="181"/>
      <c r="H815" s="181"/>
      <c r="I815" s="75"/>
      <c r="J815" s="75"/>
      <c r="K815" s="75"/>
      <c r="L815" s="75"/>
      <c r="M815" s="75"/>
      <c r="N815" s="75"/>
      <c r="O815" s="75"/>
    </row>
    <row r="816">
      <c r="F816" s="181"/>
      <c r="G816" s="181"/>
      <c r="H816" s="181"/>
      <c r="I816" s="75"/>
      <c r="J816" s="75"/>
      <c r="K816" s="75"/>
      <c r="L816" s="75"/>
      <c r="M816" s="75"/>
      <c r="N816" s="75"/>
      <c r="O816" s="75"/>
    </row>
    <row r="817">
      <c r="F817" s="181"/>
      <c r="G817" s="181"/>
      <c r="H817" s="181"/>
      <c r="I817" s="75"/>
      <c r="J817" s="75"/>
      <c r="K817" s="75"/>
      <c r="L817" s="75"/>
      <c r="M817" s="75"/>
      <c r="N817" s="75"/>
      <c r="O817" s="75"/>
    </row>
    <row r="818">
      <c r="F818" s="181"/>
      <c r="G818" s="181"/>
      <c r="H818" s="181"/>
      <c r="I818" s="75"/>
      <c r="J818" s="75"/>
      <c r="K818" s="75"/>
      <c r="L818" s="75"/>
      <c r="M818" s="75"/>
      <c r="N818" s="75"/>
      <c r="O818" s="75"/>
    </row>
    <row r="819">
      <c r="F819" s="181"/>
      <c r="G819" s="181"/>
      <c r="H819" s="181"/>
      <c r="I819" s="75"/>
      <c r="J819" s="75"/>
      <c r="K819" s="75"/>
      <c r="L819" s="75"/>
      <c r="M819" s="75"/>
      <c r="N819" s="75"/>
      <c r="O819" s="75"/>
    </row>
    <row r="820">
      <c r="F820" s="181"/>
      <c r="G820" s="181"/>
      <c r="H820" s="181"/>
      <c r="I820" s="75"/>
      <c r="J820" s="75"/>
      <c r="K820" s="75"/>
      <c r="L820" s="75"/>
      <c r="M820" s="75"/>
      <c r="N820" s="75"/>
      <c r="O820" s="75"/>
    </row>
    <row r="821">
      <c r="F821" s="181"/>
      <c r="G821" s="181"/>
      <c r="H821" s="181"/>
      <c r="I821" s="75"/>
      <c r="J821" s="75"/>
      <c r="K821" s="75"/>
      <c r="L821" s="75"/>
      <c r="M821" s="75"/>
      <c r="N821" s="75"/>
      <c r="O821" s="75"/>
    </row>
    <row r="822">
      <c r="F822" s="181"/>
      <c r="G822" s="181"/>
      <c r="H822" s="181"/>
      <c r="I822" s="75"/>
      <c r="J822" s="75"/>
      <c r="K822" s="75"/>
      <c r="L822" s="75"/>
      <c r="M822" s="75"/>
      <c r="N822" s="75"/>
      <c r="O822" s="75"/>
    </row>
    <row r="823">
      <c r="F823" s="181"/>
      <c r="G823" s="181"/>
      <c r="H823" s="181"/>
      <c r="I823" s="75"/>
      <c r="J823" s="75"/>
      <c r="K823" s="75"/>
      <c r="L823" s="75"/>
      <c r="M823" s="75"/>
      <c r="N823" s="75"/>
      <c r="O823" s="75"/>
    </row>
    <row r="824">
      <c r="F824" s="181"/>
      <c r="G824" s="181"/>
      <c r="H824" s="181"/>
      <c r="I824" s="75"/>
      <c r="J824" s="75"/>
      <c r="K824" s="75"/>
      <c r="L824" s="75"/>
      <c r="M824" s="75"/>
      <c r="N824" s="75"/>
      <c r="O824" s="75"/>
    </row>
    <row r="825">
      <c r="F825" s="181"/>
      <c r="G825" s="181"/>
      <c r="H825" s="181"/>
      <c r="I825" s="75"/>
      <c r="J825" s="75"/>
      <c r="K825" s="75"/>
      <c r="L825" s="75"/>
      <c r="M825" s="75"/>
      <c r="N825" s="75"/>
      <c r="O825" s="75"/>
    </row>
    <row r="826">
      <c r="F826" s="181"/>
      <c r="G826" s="181"/>
      <c r="H826" s="181"/>
      <c r="I826" s="75"/>
      <c r="J826" s="75"/>
      <c r="K826" s="75"/>
      <c r="L826" s="75"/>
      <c r="M826" s="75"/>
      <c r="N826" s="75"/>
      <c r="O826" s="75"/>
    </row>
    <row r="827">
      <c r="F827" s="181"/>
      <c r="G827" s="181"/>
      <c r="H827" s="181"/>
      <c r="I827" s="75"/>
      <c r="J827" s="75"/>
      <c r="K827" s="75"/>
      <c r="L827" s="75"/>
      <c r="M827" s="75"/>
      <c r="N827" s="75"/>
      <c r="O827" s="75"/>
    </row>
    <row r="828">
      <c r="F828" s="181"/>
      <c r="G828" s="181"/>
      <c r="H828" s="181"/>
      <c r="I828" s="75"/>
      <c r="J828" s="75"/>
      <c r="K828" s="75"/>
      <c r="L828" s="75"/>
      <c r="M828" s="75"/>
      <c r="N828" s="75"/>
      <c r="O828" s="75"/>
    </row>
    <row r="829">
      <c r="F829" s="181"/>
      <c r="G829" s="181"/>
      <c r="H829" s="181"/>
      <c r="I829" s="75"/>
      <c r="J829" s="75"/>
      <c r="K829" s="75"/>
      <c r="L829" s="75"/>
      <c r="M829" s="75"/>
      <c r="N829" s="75"/>
      <c r="O829" s="75"/>
    </row>
    <row r="830">
      <c r="F830" s="181"/>
      <c r="G830" s="181"/>
      <c r="H830" s="181"/>
      <c r="I830" s="75"/>
      <c r="J830" s="75"/>
      <c r="K830" s="75"/>
      <c r="L830" s="75"/>
      <c r="M830" s="75"/>
      <c r="N830" s="75"/>
      <c r="O830" s="75"/>
    </row>
    <row r="831">
      <c r="F831" s="181"/>
      <c r="G831" s="181"/>
      <c r="H831" s="181"/>
      <c r="I831" s="75"/>
      <c r="J831" s="75"/>
      <c r="K831" s="75"/>
      <c r="L831" s="75"/>
      <c r="M831" s="75"/>
      <c r="N831" s="75"/>
      <c r="O831" s="75"/>
    </row>
    <row r="832">
      <c r="F832" s="181"/>
      <c r="G832" s="181"/>
      <c r="H832" s="181"/>
      <c r="I832" s="75"/>
      <c r="J832" s="75"/>
      <c r="K832" s="75"/>
      <c r="L832" s="75"/>
      <c r="M832" s="75"/>
      <c r="N832" s="75"/>
      <c r="O832" s="75"/>
    </row>
    <row r="833">
      <c r="F833" s="181"/>
      <c r="G833" s="181"/>
      <c r="H833" s="181"/>
      <c r="I833" s="75"/>
      <c r="J833" s="75"/>
      <c r="K833" s="75"/>
      <c r="L833" s="75"/>
      <c r="M833" s="75"/>
      <c r="N833" s="75"/>
      <c r="O833" s="75"/>
    </row>
    <row r="834">
      <c r="F834" s="181"/>
      <c r="G834" s="181"/>
      <c r="H834" s="181"/>
      <c r="I834" s="75"/>
      <c r="J834" s="75"/>
      <c r="K834" s="75"/>
      <c r="L834" s="75"/>
      <c r="M834" s="75"/>
      <c r="N834" s="75"/>
      <c r="O834" s="75"/>
    </row>
    <row r="835">
      <c r="F835" s="181"/>
      <c r="G835" s="181"/>
      <c r="H835" s="181"/>
      <c r="I835" s="75"/>
      <c r="J835" s="75"/>
      <c r="K835" s="75"/>
      <c r="L835" s="75"/>
      <c r="M835" s="75"/>
      <c r="N835" s="75"/>
      <c r="O835" s="75"/>
    </row>
    <row r="836">
      <c r="F836" s="181"/>
      <c r="G836" s="181"/>
      <c r="H836" s="181"/>
      <c r="I836" s="75"/>
      <c r="J836" s="75"/>
      <c r="K836" s="75"/>
      <c r="L836" s="75"/>
      <c r="M836" s="75"/>
      <c r="N836" s="75"/>
      <c r="O836" s="75"/>
    </row>
    <row r="837">
      <c r="F837" s="181"/>
      <c r="G837" s="181"/>
      <c r="H837" s="181"/>
      <c r="I837" s="75"/>
      <c r="J837" s="75"/>
      <c r="K837" s="75"/>
      <c r="L837" s="75"/>
      <c r="M837" s="75"/>
      <c r="N837" s="75"/>
      <c r="O837" s="75"/>
    </row>
    <row r="838">
      <c r="F838" s="181"/>
      <c r="G838" s="181"/>
      <c r="H838" s="181"/>
      <c r="I838" s="75"/>
      <c r="J838" s="75"/>
      <c r="K838" s="75"/>
      <c r="L838" s="75"/>
      <c r="M838" s="75"/>
      <c r="N838" s="75"/>
      <c r="O838" s="75"/>
    </row>
    <row r="839">
      <c r="F839" s="181"/>
      <c r="G839" s="181"/>
      <c r="H839" s="181"/>
      <c r="I839" s="75"/>
      <c r="J839" s="75"/>
      <c r="K839" s="75"/>
      <c r="L839" s="75"/>
      <c r="M839" s="75"/>
      <c r="N839" s="75"/>
      <c r="O839" s="75"/>
    </row>
    <row r="840">
      <c r="F840" s="181"/>
      <c r="G840" s="181"/>
      <c r="H840" s="181"/>
      <c r="I840" s="75"/>
      <c r="J840" s="75"/>
      <c r="K840" s="75"/>
      <c r="L840" s="75"/>
      <c r="M840" s="75"/>
      <c r="N840" s="75"/>
      <c r="O840" s="75"/>
    </row>
    <row r="841">
      <c r="F841" s="181"/>
      <c r="G841" s="181"/>
      <c r="H841" s="181"/>
      <c r="I841" s="75"/>
      <c r="J841" s="75"/>
      <c r="K841" s="75"/>
      <c r="L841" s="75"/>
      <c r="M841" s="75"/>
      <c r="N841" s="75"/>
      <c r="O841" s="75"/>
    </row>
    <row r="842">
      <c r="F842" s="181"/>
      <c r="G842" s="181"/>
      <c r="H842" s="181"/>
      <c r="I842" s="75"/>
      <c r="J842" s="75"/>
      <c r="K842" s="75"/>
      <c r="L842" s="75"/>
      <c r="M842" s="75"/>
      <c r="N842" s="75"/>
      <c r="O842" s="75"/>
    </row>
    <row r="843">
      <c r="F843" s="181"/>
      <c r="G843" s="181"/>
      <c r="H843" s="181"/>
      <c r="I843" s="75"/>
      <c r="J843" s="75"/>
      <c r="K843" s="75"/>
      <c r="L843" s="75"/>
      <c r="M843" s="75"/>
      <c r="N843" s="75"/>
      <c r="O843" s="75"/>
    </row>
    <row r="844">
      <c r="F844" s="181"/>
      <c r="G844" s="181"/>
      <c r="H844" s="181"/>
      <c r="I844" s="75"/>
      <c r="J844" s="75"/>
      <c r="K844" s="75"/>
      <c r="L844" s="75"/>
      <c r="M844" s="75"/>
      <c r="N844" s="75"/>
      <c r="O844" s="75"/>
    </row>
    <row r="845">
      <c r="F845" s="181"/>
      <c r="G845" s="181"/>
      <c r="H845" s="181"/>
      <c r="I845" s="75"/>
      <c r="J845" s="75"/>
      <c r="K845" s="75"/>
      <c r="L845" s="75"/>
      <c r="M845" s="75"/>
      <c r="N845" s="75"/>
      <c r="O845" s="75"/>
    </row>
    <row r="846">
      <c r="F846" s="181"/>
      <c r="G846" s="181"/>
      <c r="H846" s="181"/>
      <c r="I846" s="75"/>
      <c r="J846" s="75"/>
      <c r="K846" s="75"/>
      <c r="L846" s="75"/>
      <c r="M846" s="75"/>
      <c r="N846" s="75"/>
      <c r="O846" s="75"/>
    </row>
    <row r="847">
      <c r="F847" s="181"/>
      <c r="G847" s="181"/>
      <c r="H847" s="181"/>
      <c r="I847" s="75"/>
      <c r="J847" s="75"/>
      <c r="K847" s="75"/>
      <c r="L847" s="75"/>
      <c r="M847" s="75"/>
      <c r="N847" s="75"/>
      <c r="O847" s="75"/>
    </row>
    <row r="848">
      <c r="F848" s="181"/>
      <c r="G848" s="181"/>
      <c r="H848" s="181"/>
      <c r="I848" s="75"/>
      <c r="J848" s="75"/>
      <c r="K848" s="75"/>
      <c r="L848" s="75"/>
      <c r="M848" s="75"/>
      <c r="N848" s="75"/>
      <c r="O848" s="75"/>
    </row>
    <row r="849">
      <c r="F849" s="181"/>
      <c r="G849" s="181"/>
      <c r="H849" s="181"/>
      <c r="I849" s="75"/>
      <c r="J849" s="75"/>
      <c r="K849" s="75"/>
      <c r="L849" s="75"/>
      <c r="M849" s="75"/>
      <c r="N849" s="75"/>
      <c r="O849" s="75"/>
    </row>
    <row r="850">
      <c r="F850" s="181"/>
      <c r="G850" s="181"/>
      <c r="H850" s="181"/>
      <c r="I850" s="75"/>
      <c r="J850" s="75"/>
      <c r="K850" s="75"/>
      <c r="L850" s="75"/>
      <c r="M850" s="75"/>
      <c r="N850" s="75"/>
      <c r="O850" s="75"/>
    </row>
    <row r="851">
      <c r="F851" s="181"/>
      <c r="G851" s="181"/>
      <c r="H851" s="181"/>
      <c r="I851" s="75"/>
      <c r="J851" s="75"/>
      <c r="K851" s="75"/>
      <c r="L851" s="75"/>
      <c r="M851" s="75"/>
      <c r="N851" s="75"/>
      <c r="O851" s="75"/>
    </row>
    <row r="852">
      <c r="F852" s="181"/>
      <c r="G852" s="181"/>
      <c r="H852" s="181"/>
      <c r="I852" s="75"/>
      <c r="J852" s="75"/>
      <c r="K852" s="75"/>
      <c r="L852" s="75"/>
      <c r="M852" s="75"/>
      <c r="N852" s="75"/>
      <c r="O852" s="75"/>
    </row>
    <row r="853">
      <c r="F853" s="181"/>
      <c r="G853" s="181"/>
      <c r="H853" s="181"/>
      <c r="I853" s="75"/>
      <c r="J853" s="75"/>
      <c r="K853" s="75"/>
      <c r="L853" s="75"/>
      <c r="M853" s="75"/>
      <c r="N853" s="75"/>
      <c r="O853" s="75"/>
    </row>
    <row r="854">
      <c r="F854" s="181"/>
      <c r="G854" s="181"/>
      <c r="H854" s="181"/>
      <c r="I854" s="75"/>
      <c r="J854" s="75"/>
      <c r="K854" s="75"/>
      <c r="L854" s="75"/>
      <c r="M854" s="75"/>
      <c r="N854" s="75"/>
      <c r="O854" s="75"/>
    </row>
    <row r="855">
      <c r="F855" s="181"/>
      <c r="G855" s="181"/>
      <c r="H855" s="181"/>
      <c r="I855" s="75"/>
      <c r="J855" s="75"/>
      <c r="K855" s="75"/>
      <c r="L855" s="75"/>
      <c r="M855" s="75"/>
      <c r="N855" s="75"/>
      <c r="O855" s="75"/>
    </row>
    <row r="856">
      <c r="F856" s="181"/>
      <c r="G856" s="181"/>
      <c r="H856" s="181"/>
      <c r="I856" s="75"/>
      <c r="J856" s="75"/>
      <c r="K856" s="75"/>
      <c r="L856" s="75"/>
      <c r="M856" s="75"/>
      <c r="N856" s="75"/>
      <c r="O856" s="75"/>
    </row>
    <row r="857">
      <c r="F857" s="181"/>
      <c r="G857" s="181"/>
      <c r="H857" s="181"/>
      <c r="I857" s="75"/>
      <c r="J857" s="75"/>
      <c r="K857" s="75"/>
      <c r="L857" s="75"/>
      <c r="M857" s="75"/>
      <c r="N857" s="75"/>
      <c r="O857" s="75"/>
    </row>
    <row r="858">
      <c r="F858" s="181"/>
      <c r="G858" s="181"/>
      <c r="H858" s="181"/>
      <c r="I858" s="75"/>
      <c r="J858" s="75"/>
      <c r="K858" s="75"/>
      <c r="L858" s="75"/>
      <c r="M858" s="75"/>
      <c r="N858" s="75"/>
      <c r="O858" s="75"/>
    </row>
    <row r="859">
      <c r="F859" s="181"/>
      <c r="G859" s="181"/>
      <c r="H859" s="181"/>
      <c r="I859" s="75"/>
      <c r="J859" s="75"/>
      <c r="K859" s="75"/>
      <c r="L859" s="75"/>
      <c r="M859" s="75"/>
      <c r="N859" s="75"/>
      <c r="O859" s="75"/>
    </row>
    <row r="860">
      <c r="F860" s="181"/>
      <c r="G860" s="181"/>
      <c r="H860" s="181"/>
      <c r="I860" s="75"/>
      <c r="J860" s="75"/>
      <c r="K860" s="75"/>
      <c r="L860" s="75"/>
      <c r="M860" s="75"/>
      <c r="N860" s="75"/>
      <c r="O860" s="75"/>
    </row>
    <row r="861">
      <c r="F861" s="181"/>
      <c r="G861" s="181"/>
      <c r="H861" s="181"/>
      <c r="I861" s="75"/>
      <c r="J861" s="75"/>
      <c r="K861" s="75"/>
      <c r="L861" s="75"/>
      <c r="M861" s="75"/>
      <c r="N861" s="75"/>
      <c r="O861" s="75"/>
    </row>
    <row r="862">
      <c r="F862" s="181"/>
      <c r="G862" s="181"/>
      <c r="H862" s="181"/>
      <c r="I862" s="75"/>
      <c r="J862" s="75"/>
      <c r="K862" s="75"/>
      <c r="L862" s="75"/>
      <c r="M862" s="75"/>
      <c r="N862" s="75"/>
      <c r="O862" s="75"/>
    </row>
    <row r="863">
      <c r="F863" s="181"/>
      <c r="G863" s="181"/>
      <c r="H863" s="181"/>
      <c r="I863" s="75"/>
      <c r="J863" s="75"/>
      <c r="K863" s="75"/>
      <c r="L863" s="75"/>
      <c r="M863" s="75"/>
      <c r="N863" s="75"/>
      <c r="O863" s="75"/>
    </row>
    <row r="864">
      <c r="F864" s="181"/>
      <c r="G864" s="181"/>
      <c r="H864" s="181"/>
      <c r="I864" s="75"/>
      <c r="J864" s="75"/>
      <c r="K864" s="75"/>
      <c r="L864" s="75"/>
      <c r="M864" s="75"/>
      <c r="N864" s="75"/>
      <c r="O864" s="75"/>
    </row>
    <row r="865">
      <c r="F865" s="181"/>
      <c r="G865" s="181"/>
      <c r="H865" s="181"/>
      <c r="I865" s="75"/>
      <c r="J865" s="75"/>
      <c r="K865" s="75"/>
      <c r="L865" s="75"/>
      <c r="M865" s="75"/>
      <c r="N865" s="75"/>
      <c r="O865" s="75"/>
    </row>
    <row r="866">
      <c r="F866" s="181"/>
      <c r="G866" s="181"/>
      <c r="H866" s="181"/>
      <c r="I866" s="75"/>
      <c r="J866" s="75"/>
      <c r="K866" s="75"/>
      <c r="L866" s="75"/>
      <c r="M866" s="75"/>
      <c r="N866" s="75"/>
      <c r="O866" s="75"/>
    </row>
    <row r="867">
      <c r="F867" s="181"/>
      <c r="G867" s="181"/>
      <c r="H867" s="181"/>
      <c r="I867" s="75"/>
      <c r="J867" s="75"/>
      <c r="K867" s="75"/>
      <c r="L867" s="75"/>
      <c r="M867" s="75"/>
      <c r="N867" s="75"/>
      <c r="O867" s="75"/>
    </row>
    <row r="868">
      <c r="F868" s="181"/>
      <c r="G868" s="181"/>
      <c r="H868" s="181"/>
      <c r="I868" s="75"/>
      <c r="J868" s="75"/>
      <c r="K868" s="75"/>
      <c r="L868" s="75"/>
      <c r="M868" s="75"/>
      <c r="N868" s="75"/>
      <c r="O868" s="75"/>
    </row>
    <row r="869">
      <c r="F869" s="181"/>
      <c r="G869" s="181"/>
      <c r="H869" s="181"/>
      <c r="I869" s="75"/>
      <c r="J869" s="75"/>
      <c r="K869" s="75"/>
      <c r="L869" s="75"/>
      <c r="M869" s="75"/>
      <c r="N869" s="75"/>
      <c r="O869" s="75"/>
    </row>
    <row r="870">
      <c r="F870" s="181"/>
      <c r="G870" s="181"/>
      <c r="H870" s="181"/>
      <c r="I870" s="75"/>
      <c r="J870" s="75"/>
      <c r="K870" s="75"/>
      <c r="L870" s="75"/>
      <c r="M870" s="75"/>
      <c r="N870" s="75"/>
      <c r="O870" s="75"/>
    </row>
    <row r="871">
      <c r="F871" s="181"/>
      <c r="G871" s="181"/>
      <c r="H871" s="181"/>
      <c r="I871" s="75"/>
      <c r="J871" s="75"/>
      <c r="K871" s="75"/>
      <c r="L871" s="75"/>
      <c r="M871" s="75"/>
      <c r="N871" s="75"/>
      <c r="O871" s="75"/>
    </row>
    <row r="872">
      <c r="F872" s="181"/>
      <c r="G872" s="181"/>
      <c r="H872" s="181"/>
      <c r="I872" s="75"/>
      <c r="J872" s="75"/>
      <c r="K872" s="75"/>
      <c r="L872" s="75"/>
      <c r="M872" s="75"/>
      <c r="N872" s="75"/>
      <c r="O872" s="75"/>
    </row>
    <row r="873">
      <c r="F873" s="181"/>
      <c r="G873" s="181"/>
      <c r="H873" s="181"/>
      <c r="I873" s="75"/>
      <c r="J873" s="75"/>
      <c r="K873" s="75"/>
      <c r="L873" s="75"/>
      <c r="M873" s="75"/>
      <c r="N873" s="75"/>
      <c r="O873" s="75"/>
    </row>
    <row r="874">
      <c r="F874" s="181"/>
      <c r="G874" s="181"/>
      <c r="H874" s="181"/>
      <c r="I874" s="75"/>
      <c r="J874" s="75"/>
      <c r="K874" s="75"/>
      <c r="L874" s="75"/>
      <c r="M874" s="75"/>
      <c r="N874" s="75"/>
      <c r="O874" s="75"/>
    </row>
    <row r="875">
      <c r="F875" s="181"/>
      <c r="G875" s="181"/>
      <c r="H875" s="181"/>
      <c r="I875" s="75"/>
      <c r="J875" s="75"/>
      <c r="K875" s="75"/>
      <c r="L875" s="75"/>
      <c r="M875" s="75"/>
      <c r="N875" s="75"/>
      <c r="O875" s="75"/>
    </row>
    <row r="876">
      <c r="F876" s="181"/>
      <c r="G876" s="181"/>
      <c r="H876" s="181"/>
      <c r="I876" s="75"/>
      <c r="J876" s="75"/>
      <c r="K876" s="75"/>
      <c r="L876" s="75"/>
      <c r="M876" s="75"/>
      <c r="N876" s="75"/>
      <c r="O876" s="75"/>
    </row>
    <row r="877">
      <c r="F877" s="181"/>
      <c r="G877" s="181"/>
      <c r="H877" s="181"/>
      <c r="I877" s="75"/>
      <c r="J877" s="75"/>
      <c r="K877" s="75"/>
      <c r="L877" s="75"/>
      <c r="M877" s="75"/>
      <c r="N877" s="75"/>
      <c r="O877" s="75"/>
    </row>
    <row r="878">
      <c r="F878" s="181"/>
      <c r="G878" s="181"/>
      <c r="H878" s="181"/>
      <c r="I878" s="75"/>
      <c r="J878" s="75"/>
      <c r="K878" s="75"/>
      <c r="L878" s="75"/>
      <c r="M878" s="75"/>
      <c r="N878" s="75"/>
      <c r="O878" s="75"/>
    </row>
    <row r="879">
      <c r="F879" s="181"/>
      <c r="G879" s="181"/>
      <c r="H879" s="181"/>
      <c r="I879" s="75"/>
      <c r="J879" s="75"/>
      <c r="K879" s="75"/>
      <c r="L879" s="75"/>
      <c r="M879" s="75"/>
      <c r="N879" s="75"/>
      <c r="O879" s="75"/>
    </row>
    <row r="880">
      <c r="F880" s="181"/>
      <c r="G880" s="181"/>
      <c r="H880" s="181"/>
      <c r="I880" s="75"/>
      <c r="J880" s="75"/>
      <c r="K880" s="75"/>
      <c r="L880" s="75"/>
      <c r="M880" s="75"/>
      <c r="N880" s="75"/>
      <c r="O880" s="75"/>
    </row>
    <row r="881">
      <c r="F881" s="181"/>
      <c r="G881" s="181"/>
      <c r="H881" s="181"/>
      <c r="I881" s="75"/>
      <c r="J881" s="75"/>
      <c r="K881" s="75"/>
      <c r="L881" s="75"/>
      <c r="M881" s="75"/>
      <c r="N881" s="75"/>
      <c r="O881" s="75"/>
    </row>
    <row r="882">
      <c r="F882" s="181"/>
      <c r="G882" s="181"/>
      <c r="H882" s="181"/>
      <c r="I882" s="75"/>
      <c r="J882" s="75"/>
      <c r="K882" s="75"/>
      <c r="L882" s="75"/>
      <c r="M882" s="75"/>
      <c r="N882" s="75"/>
      <c r="O882" s="75"/>
    </row>
    <row r="883">
      <c r="F883" s="181"/>
      <c r="G883" s="181"/>
      <c r="H883" s="181"/>
      <c r="I883" s="75"/>
      <c r="J883" s="75"/>
      <c r="K883" s="75"/>
      <c r="L883" s="75"/>
      <c r="M883" s="75"/>
      <c r="N883" s="75"/>
      <c r="O883" s="75"/>
    </row>
    <row r="884">
      <c r="F884" s="181"/>
      <c r="G884" s="181"/>
      <c r="H884" s="181"/>
      <c r="I884" s="75"/>
      <c r="J884" s="75"/>
      <c r="K884" s="75"/>
      <c r="L884" s="75"/>
      <c r="M884" s="75"/>
      <c r="N884" s="75"/>
      <c r="O884" s="75"/>
    </row>
    <row r="885">
      <c r="F885" s="181"/>
      <c r="G885" s="181"/>
      <c r="H885" s="181"/>
      <c r="I885" s="75"/>
      <c r="J885" s="75"/>
      <c r="K885" s="75"/>
      <c r="L885" s="75"/>
      <c r="M885" s="75"/>
      <c r="N885" s="75"/>
      <c r="O885" s="75"/>
    </row>
    <row r="886">
      <c r="F886" s="181"/>
      <c r="G886" s="181"/>
      <c r="H886" s="181"/>
      <c r="I886" s="75"/>
      <c r="J886" s="75"/>
      <c r="K886" s="75"/>
      <c r="L886" s="75"/>
      <c r="M886" s="75"/>
      <c r="N886" s="75"/>
      <c r="O886" s="75"/>
    </row>
    <row r="887">
      <c r="F887" s="181"/>
      <c r="G887" s="181"/>
      <c r="H887" s="181"/>
      <c r="I887" s="75"/>
      <c r="J887" s="75"/>
      <c r="K887" s="75"/>
      <c r="L887" s="75"/>
      <c r="M887" s="75"/>
      <c r="N887" s="75"/>
      <c r="O887" s="75"/>
    </row>
    <row r="888">
      <c r="F888" s="181"/>
      <c r="G888" s="181"/>
      <c r="H888" s="181"/>
      <c r="I888" s="75"/>
      <c r="J888" s="75"/>
      <c r="K888" s="75"/>
      <c r="L888" s="75"/>
      <c r="M888" s="75"/>
      <c r="N888" s="75"/>
      <c r="O888" s="75"/>
    </row>
    <row r="889">
      <c r="F889" s="181"/>
      <c r="G889" s="181"/>
      <c r="H889" s="181"/>
      <c r="I889" s="75"/>
      <c r="J889" s="75"/>
      <c r="K889" s="75"/>
      <c r="L889" s="75"/>
      <c r="M889" s="75"/>
      <c r="N889" s="75"/>
      <c r="O889" s="75"/>
    </row>
    <row r="890">
      <c r="F890" s="181"/>
      <c r="G890" s="181"/>
      <c r="H890" s="181"/>
      <c r="I890" s="75"/>
      <c r="J890" s="75"/>
      <c r="K890" s="75"/>
      <c r="L890" s="75"/>
      <c r="M890" s="75"/>
      <c r="N890" s="75"/>
      <c r="O890" s="75"/>
    </row>
    <row r="891">
      <c r="F891" s="181"/>
      <c r="G891" s="181"/>
      <c r="H891" s="181"/>
      <c r="I891" s="75"/>
      <c r="J891" s="75"/>
      <c r="K891" s="75"/>
      <c r="L891" s="75"/>
      <c r="M891" s="75"/>
      <c r="N891" s="75"/>
      <c r="O891" s="75"/>
    </row>
    <row r="892">
      <c r="F892" s="181"/>
      <c r="G892" s="181"/>
      <c r="H892" s="181"/>
      <c r="I892" s="75"/>
      <c r="J892" s="75"/>
      <c r="K892" s="75"/>
      <c r="L892" s="75"/>
      <c r="M892" s="75"/>
      <c r="N892" s="75"/>
      <c r="O892" s="75"/>
    </row>
    <row r="893">
      <c r="F893" s="181"/>
      <c r="G893" s="181"/>
      <c r="H893" s="181"/>
      <c r="I893" s="75"/>
      <c r="J893" s="75"/>
      <c r="K893" s="75"/>
      <c r="L893" s="75"/>
      <c r="M893" s="75"/>
      <c r="N893" s="75"/>
      <c r="O893" s="75"/>
    </row>
    <row r="894">
      <c r="F894" s="181"/>
      <c r="G894" s="181"/>
      <c r="H894" s="181"/>
      <c r="I894" s="75"/>
      <c r="J894" s="75"/>
      <c r="K894" s="75"/>
      <c r="L894" s="75"/>
      <c r="M894" s="75"/>
      <c r="N894" s="75"/>
      <c r="O894" s="75"/>
    </row>
    <row r="895">
      <c r="F895" s="181"/>
      <c r="G895" s="181"/>
      <c r="H895" s="181"/>
      <c r="I895" s="75"/>
      <c r="J895" s="75"/>
      <c r="K895" s="75"/>
      <c r="L895" s="75"/>
      <c r="M895" s="75"/>
      <c r="N895" s="75"/>
      <c r="O895" s="75"/>
    </row>
    <row r="896">
      <c r="F896" s="181"/>
      <c r="G896" s="181"/>
      <c r="H896" s="181"/>
      <c r="I896" s="75"/>
      <c r="J896" s="75"/>
      <c r="K896" s="75"/>
      <c r="L896" s="75"/>
      <c r="M896" s="75"/>
      <c r="N896" s="75"/>
      <c r="O896" s="75"/>
    </row>
    <row r="897">
      <c r="F897" s="181"/>
      <c r="G897" s="181"/>
      <c r="H897" s="181"/>
      <c r="I897" s="75"/>
      <c r="J897" s="75"/>
      <c r="K897" s="75"/>
      <c r="L897" s="75"/>
      <c r="M897" s="75"/>
      <c r="N897" s="75"/>
      <c r="O897" s="75"/>
    </row>
    <row r="898">
      <c r="F898" s="181"/>
      <c r="G898" s="181"/>
      <c r="H898" s="181"/>
      <c r="I898" s="75"/>
      <c r="J898" s="75"/>
      <c r="K898" s="75"/>
      <c r="L898" s="75"/>
      <c r="M898" s="75"/>
      <c r="N898" s="75"/>
      <c r="O898" s="75"/>
    </row>
    <row r="899">
      <c r="F899" s="181"/>
      <c r="G899" s="181"/>
      <c r="H899" s="181"/>
      <c r="I899" s="75"/>
      <c r="J899" s="75"/>
      <c r="K899" s="75"/>
      <c r="L899" s="75"/>
      <c r="M899" s="75"/>
      <c r="N899" s="75"/>
      <c r="O899" s="75"/>
    </row>
    <row r="900">
      <c r="F900" s="181"/>
      <c r="G900" s="181"/>
      <c r="H900" s="181"/>
      <c r="I900" s="75"/>
      <c r="J900" s="75"/>
      <c r="K900" s="75"/>
      <c r="L900" s="75"/>
      <c r="M900" s="75"/>
      <c r="N900" s="75"/>
      <c r="O900" s="75"/>
    </row>
    <row r="901">
      <c r="F901" s="181"/>
      <c r="G901" s="181"/>
      <c r="H901" s="181"/>
      <c r="I901" s="75"/>
      <c r="J901" s="75"/>
      <c r="K901" s="75"/>
      <c r="L901" s="75"/>
      <c r="M901" s="75"/>
      <c r="N901" s="75"/>
      <c r="O901" s="75"/>
    </row>
    <row r="902">
      <c r="F902" s="181"/>
      <c r="G902" s="181"/>
      <c r="H902" s="181"/>
      <c r="I902" s="75"/>
      <c r="J902" s="75"/>
      <c r="K902" s="75"/>
      <c r="L902" s="75"/>
      <c r="M902" s="75"/>
      <c r="N902" s="75"/>
      <c r="O902" s="75"/>
    </row>
    <row r="903">
      <c r="F903" s="181"/>
      <c r="G903" s="181"/>
      <c r="H903" s="181"/>
      <c r="I903" s="75"/>
      <c r="J903" s="75"/>
      <c r="K903" s="75"/>
      <c r="L903" s="75"/>
      <c r="M903" s="75"/>
      <c r="N903" s="75"/>
      <c r="O903" s="75"/>
    </row>
    <row r="904">
      <c r="F904" s="181"/>
      <c r="G904" s="181"/>
      <c r="H904" s="181"/>
      <c r="I904" s="75"/>
      <c r="J904" s="75"/>
      <c r="K904" s="75"/>
      <c r="L904" s="75"/>
      <c r="M904" s="75"/>
      <c r="N904" s="75"/>
      <c r="O904" s="75"/>
    </row>
    <row r="905">
      <c r="F905" s="181"/>
      <c r="G905" s="181"/>
      <c r="H905" s="181"/>
      <c r="I905" s="75"/>
      <c r="J905" s="75"/>
      <c r="K905" s="75"/>
      <c r="L905" s="75"/>
      <c r="M905" s="75"/>
      <c r="N905" s="75"/>
      <c r="O905" s="75"/>
    </row>
    <row r="906">
      <c r="F906" s="181"/>
      <c r="G906" s="181"/>
      <c r="H906" s="181"/>
      <c r="I906" s="75"/>
      <c r="J906" s="75"/>
      <c r="K906" s="75"/>
      <c r="L906" s="75"/>
      <c r="M906" s="75"/>
      <c r="N906" s="75"/>
      <c r="O906" s="75"/>
    </row>
    <row r="907">
      <c r="F907" s="181"/>
      <c r="G907" s="181"/>
      <c r="H907" s="181"/>
      <c r="I907" s="75"/>
      <c r="J907" s="75"/>
      <c r="K907" s="75"/>
      <c r="L907" s="75"/>
      <c r="M907" s="75"/>
      <c r="N907" s="75"/>
      <c r="O907" s="75"/>
    </row>
    <row r="908">
      <c r="F908" s="181"/>
      <c r="G908" s="181"/>
      <c r="H908" s="181"/>
      <c r="I908" s="75"/>
      <c r="J908" s="75"/>
      <c r="K908" s="75"/>
      <c r="L908" s="75"/>
      <c r="M908" s="75"/>
      <c r="N908" s="75"/>
      <c r="O908" s="75"/>
    </row>
    <row r="909">
      <c r="F909" s="181"/>
      <c r="G909" s="181"/>
      <c r="H909" s="181"/>
      <c r="I909" s="75"/>
      <c r="J909" s="75"/>
      <c r="K909" s="75"/>
      <c r="L909" s="75"/>
      <c r="M909" s="75"/>
      <c r="N909" s="75"/>
      <c r="O909" s="75"/>
    </row>
    <row r="910">
      <c r="F910" s="181"/>
      <c r="G910" s="181"/>
      <c r="H910" s="181"/>
      <c r="I910" s="75"/>
      <c r="J910" s="75"/>
      <c r="K910" s="75"/>
      <c r="L910" s="75"/>
      <c r="M910" s="75"/>
      <c r="N910" s="75"/>
      <c r="O910" s="75"/>
    </row>
    <row r="911">
      <c r="F911" s="181"/>
      <c r="G911" s="181"/>
      <c r="H911" s="181"/>
      <c r="I911" s="75"/>
      <c r="J911" s="75"/>
      <c r="K911" s="75"/>
      <c r="L911" s="75"/>
      <c r="M911" s="75"/>
      <c r="N911" s="75"/>
      <c r="O911" s="75"/>
    </row>
    <row r="912">
      <c r="F912" s="181"/>
      <c r="G912" s="181"/>
      <c r="H912" s="181"/>
      <c r="I912" s="75"/>
      <c r="J912" s="75"/>
      <c r="K912" s="75"/>
      <c r="L912" s="75"/>
      <c r="M912" s="75"/>
      <c r="N912" s="75"/>
      <c r="O912" s="75"/>
    </row>
    <row r="913">
      <c r="F913" s="181"/>
      <c r="G913" s="181"/>
      <c r="H913" s="181"/>
      <c r="I913" s="75"/>
      <c r="J913" s="75"/>
      <c r="K913" s="75"/>
      <c r="L913" s="75"/>
      <c r="M913" s="75"/>
      <c r="N913" s="75"/>
      <c r="O913" s="75"/>
    </row>
    <row r="914">
      <c r="F914" s="181"/>
      <c r="G914" s="181"/>
      <c r="H914" s="181"/>
      <c r="I914" s="75"/>
      <c r="J914" s="75"/>
      <c r="K914" s="75"/>
      <c r="L914" s="75"/>
      <c r="M914" s="75"/>
      <c r="N914" s="75"/>
      <c r="O914" s="75"/>
    </row>
    <row r="915">
      <c r="F915" s="181"/>
      <c r="G915" s="181"/>
      <c r="H915" s="181"/>
      <c r="I915" s="75"/>
      <c r="J915" s="75"/>
      <c r="K915" s="75"/>
      <c r="L915" s="75"/>
      <c r="M915" s="75"/>
      <c r="N915" s="75"/>
      <c r="O915" s="75"/>
    </row>
    <row r="916">
      <c r="F916" s="181"/>
      <c r="G916" s="181"/>
      <c r="H916" s="181"/>
      <c r="I916" s="75"/>
      <c r="J916" s="75"/>
      <c r="K916" s="75"/>
      <c r="L916" s="75"/>
      <c r="M916" s="75"/>
      <c r="N916" s="75"/>
      <c r="O916" s="75"/>
    </row>
    <row r="917">
      <c r="F917" s="181"/>
      <c r="G917" s="181"/>
      <c r="H917" s="181"/>
      <c r="I917" s="75"/>
      <c r="J917" s="75"/>
      <c r="K917" s="75"/>
      <c r="L917" s="75"/>
      <c r="M917" s="75"/>
      <c r="N917" s="75"/>
      <c r="O917" s="75"/>
    </row>
    <row r="918">
      <c r="F918" s="181"/>
      <c r="G918" s="181"/>
      <c r="H918" s="181"/>
      <c r="I918" s="75"/>
      <c r="J918" s="75"/>
      <c r="K918" s="75"/>
      <c r="L918" s="75"/>
      <c r="M918" s="75"/>
      <c r="N918" s="75"/>
      <c r="O918" s="75"/>
    </row>
    <row r="919">
      <c r="F919" s="181"/>
      <c r="G919" s="181"/>
      <c r="H919" s="181"/>
      <c r="I919" s="75"/>
      <c r="J919" s="75"/>
      <c r="K919" s="75"/>
      <c r="L919" s="75"/>
      <c r="M919" s="75"/>
      <c r="N919" s="75"/>
      <c r="O919" s="75"/>
    </row>
    <row r="920">
      <c r="F920" s="181"/>
      <c r="G920" s="181"/>
      <c r="H920" s="181"/>
      <c r="I920" s="75"/>
      <c r="J920" s="75"/>
      <c r="K920" s="75"/>
      <c r="L920" s="75"/>
      <c r="M920" s="75"/>
      <c r="N920" s="75"/>
      <c r="O920" s="75"/>
    </row>
    <row r="921">
      <c r="F921" s="181"/>
      <c r="G921" s="181"/>
      <c r="H921" s="181"/>
      <c r="I921" s="75"/>
      <c r="J921" s="75"/>
      <c r="K921" s="75"/>
      <c r="L921" s="75"/>
      <c r="M921" s="75"/>
      <c r="N921" s="75"/>
      <c r="O921" s="75"/>
    </row>
    <row r="922">
      <c r="F922" s="181"/>
      <c r="G922" s="181"/>
      <c r="H922" s="181"/>
      <c r="I922" s="75"/>
      <c r="J922" s="75"/>
      <c r="K922" s="75"/>
      <c r="L922" s="75"/>
      <c r="M922" s="75"/>
      <c r="N922" s="75"/>
      <c r="O922" s="75"/>
    </row>
    <row r="923">
      <c r="F923" s="181"/>
      <c r="G923" s="181"/>
      <c r="H923" s="181"/>
      <c r="I923" s="75"/>
      <c r="J923" s="75"/>
      <c r="K923" s="75"/>
      <c r="L923" s="75"/>
      <c r="M923" s="75"/>
      <c r="N923" s="75"/>
      <c r="O923" s="75"/>
    </row>
    <row r="924">
      <c r="F924" s="181"/>
      <c r="G924" s="181"/>
      <c r="H924" s="181"/>
      <c r="I924" s="75"/>
      <c r="J924" s="75"/>
      <c r="K924" s="75"/>
      <c r="L924" s="75"/>
      <c r="M924" s="75"/>
      <c r="N924" s="75"/>
      <c r="O924" s="75"/>
    </row>
    <row r="925">
      <c r="F925" s="181"/>
      <c r="G925" s="181"/>
      <c r="H925" s="181"/>
      <c r="I925" s="75"/>
      <c r="J925" s="75"/>
      <c r="K925" s="75"/>
      <c r="L925" s="75"/>
      <c r="M925" s="75"/>
      <c r="N925" s="75"/>
      <c r="O925" s="75"/>
    </row>
    <row r="926">
      <c r="F926" s="181"/>
      <c r="G926" s="181"/>
      <c r="H926" s="181"/>
      <c r="I926" s="75"/>
      <c r="J926" s="75"/>
      <c r="K926" s="75"/>
      <c r="L926" s="75"/>
      <c r="M926" s="75"/>
      <c r="N926" s="75"/>
      <c r="O926" s="75"/>
    </row>
    <row r="927">
      <c r="F927" s="181"/>
      <c r="G927" s="181"/>
      <c r="H927" s="181"/>
      <c r="I927" s="75"/>
      <c r="J927" s="75"/>
      <c r="K927" s="75"/>
      <c r="L927" s="75"/>
      <c r="M927" s="75"/>
      <c r="N927" s="75"/>
      <c r="O927" s="75"/>
    </row>
    <row r="928">
      <c r="F928" s="181"/>
      <c r="G928" s="181"/>
      <c r="H928" s="181"/>
      <c r="I928" s="75"/>
      <c r="J928" s="75"/>
      <c r="K928" s="75"/>
      <c r="L928" s="75"/>
      <c r="M928" s="75"/>
      <c r="N928" s="75"/>
      <c r="O928" s="75"/>
    </row>
    <row r="929">
      <c r="F929" s="181"/>
      <c r="G929" s="181"/>
      <c r="H929" s="181"/>
      <c r="I929" s="75"/>
      <c r="J929" s="75"/>
      <c r="K929" s="75"/>
      <c r="L929" s="75"/>
      <c r="M929" s="75"/>
      <c r="N929" s="75"/>
      <c r="O929" s="75"/>
    </row>
    <row r="930">
      <c r="F930" s="181"/>
      <c r="G930" s="181"/>
      <c r="H930" s="181"/>
      <c r="I930" s="75"/>
      <c r="J930" s="75"/>
      <c r="K930" s="75"/>
      <c r="L930" s="75"/>
      <c r="M930" s="75"/>
      <c r="N930" s="75"/>
      <c r="O930" s="75"/>
    </row>
    <row r="931">
      <c r="F931" s="181"/>
      <c r="G931" s="181"/>
      <c r="H931" s="181"/>
      <c r="I931" s="75"/>
      <c r="J931" s="75"/>
      <c r="K931" s="75"/>
      <c r="L931" s="75"/>
      <c r="M931" s="75"/>
      <c r="N931" s="75"/>
      <c r="O931" s="75"/>
    </row>
    <row r="932">
      <c r="F932" s="181"/>
      <c r="G932" s="181"/>
      <c r="H932" s="181"/>
      <c r="I932" s="75"/>
      <c r="J932" s="75"/>
      <c r="K932" s="75"/>
      <c r="L932" s="75"/>
      <c r="M932" s="75"/>
      <c r="N932" s="75"/>
      <c r="O932" s="75"/>
    </row>
    <row r="933">
      <c r="F933" s="181"/>
      <c r="G933" s="181"/>
      <c r="H933" s="181"/>
      <c r="I933" s="75"/>
      <c r="J933" s="75"/>
      <c r="K933" s="75"/>
      <c r="L933" s="75"/>
      <c r="M933" s="75"/>
      <c r="N933" s="75"/>
      <c r="O933" s="75"/>
    </row>
    <row r="934">
      <c r="F934" s="181"/>
      <c r="G934" s="181"/>
      <c r="H934" s="181"/>
      <c r="I934" s="75"/>
      <c r="J934" s="75"/>
      <c r="K934" s="75"/>
      <c r="L934" s="75"/>
      <c r="M934" s="75"/>
      <c r="N934" s="75"/>
      <c r="O934" s="75"/>
    </row>
    <row r="935">
      <c r="F935" s="181"/>
      <c r="G935" s="181"/>
      <c r="H935" s="181"/>
      <c r="I935" s="75"/>
      <c r="J935" s="75"/>
      <c r="K935" s="75"/>
      <c r="L935" s="75"/>
      <c r="M935" s="75"/>
      <c r="N935" s="75"/>
      <c r="O935" s="75"/>
    </row>
    <row r="936">
      <c r="F936" s="181"/>
      <c r="G936" s="181"/>
      <c r="H936" s="181"/>
      <c r="I936" s="75"/>
      <c r="J936" s="75"/>
      <c r="K936" s="75"/>
      <c r="L936" s="75"/>
      <c r="M936" s="75"/>
      <c r="N936" s="75"/>
      <c r="O936" s="75"/>
    </row>
    <row r="937">
      <c r="F937" s="181"/>
      <c r="G937" s="181"/>
      <c r="H937" s="181"/>
      <c r="I937" s="75"/>
      <c r="J937" s="75"/>
      <c r="K937" s="75"/>
      <c r="L937" s="75"/>
      <c r="M937" s="75"/>
      <c r="N937" s="75"/>
      <c r="O937" s="75"/>
    </row>
    <row r="938">
      <c r="F938" s="181"/>
      <c r="G938" s="181"/>
      <c r="H938" s="181"/>
      <c r="I938" s="75"/>
      <c r="J938" s="75"/>
      <c r="K938" s="75"/>
      <c r="L938" s="75"/>
      <c r="M938" s="75"/>
      <c r="N938" s="75"/>
      <c r="O938" s="75"/>
    </row>
    <row r="939">
      <c r="F939" s="181"/>
      <c r="G939" s="181"/>
      <c r="H939" s="181"/>
      <c r="I939" s="75"/>
      <c r="J939" s="75"/>
      <c r="K939" s="75"/>
      <c r="L939" s="75"/>
      <c r="M939" s="75"/>
      <c r="N939" s="75"/>
      <c r="O939" s="75"/>
    </row>
    <row r="940">
      <c r="F940" s="181"/>
      <c r="G940" s="181"/>
      <c r="H940" s="181"/>
      <c r="I940" s="75"/>
      <c r="J940" s="75"/>
      <c r="K940" s="75"/>
      <c r="L940" s="75"/>
      <c r="M940" s="75"/>
      <c r="N940" s="75"/>
      <c r="O940" s="75"/>
    </row>
    <row r="941">
      <c r="F941" s="181"/>
      <c r="G941" s="181"/>
      <c r="H941" s="181"/>
      <c r="I941" s="75"/>
      <c r="J941" s="75"/>
      <c r="K941" s="75"/>
      <c r="L941" s="75"/>
      <c r="M941" s="75"/>
      <c r="N941" s="75"/>
      <c r="O941" s="75"/>
    </row>
    <row r="942">
      <c r="F942" s="181"/>
      <c r="G942" s="181"/>
      <c r="H942" s="181"/>
      <c r="I942" s="75"/>
      <c r="J942" s="75"/>
      <c r="K942" s="75"/>
      <c r="L942" s="75"/>
      <c r="M942" s="75"/>
      <c r="N942" s="75"/>
      <c r="O942" s="75"/>
    </row>
    <row r="943">
      <c r="F943" s="181"/>
      <c r="G943" s="181"/>
      <c r="H943" s="181"/>
      <c r="I943" s="75"/>
      <c r="J943" s="75"/>
      <c r="K943" s="75"/>
      <c r="L943" s="75"/>
      <c r="M943" s="75"/>
      <c r="N943" s="75"/>
      <c r="O943" s="75"/>
    </row>
    <row r="944">
      <c r="F944" s="181"/>
      <c r="G944" s="181"/>
      <c r="H944" s="181"/>
      <c r="I944" s="75"/>
      <c r="J944" s="75"/>
      <c r="K944" s="75"/>
      <c r="L944" s="75"/>
      <c r="M944" s="75"/>
      <c r="N944" s="75"/>
      <c r="O944" s="75"/>
    </row>
    <row r="945">
      <c r="F945" s="181"/>
      <c r="G945" s="181"/>
      <c r="H945" s="181"/>
      <c r="I945" s="75"/>
      <c r="J945" s="75"/>
      <c r="K945" s="75"/>
      <c r="L945" s="75"/>
      <c r="M945" s="75"/>
      <c r="N945" s="75"/>
      <c r="O945" s="75"/>
    </row>
    <row r="946">
      <c r="F946" s="181"/>
      <c r="G946" s="181"/>
      <c r="H946" s="181"/>
      <c r="I946" s="75"/>
      <c r="J946" s="75"/>
      <c r="K946" s="75"/>
      <c r="L946" s="75"/>
      <c r="M946" s="75"/>
      <c r="N946" s="75"/>
      <c r="O946" s="75"/>
    </row>
    <row r="947">
      <c r="F947" s="181"/>
      <c r="G947" s="181"/>
      <c r="H947" s="181"/>
      <c r="I947" s="75"/>
      <c r="J947" s="75"/>
      <c r="K947" s="75"/>
      <c r="L947" s="75"/>
      <c r="M947" s="75"/>
      <c r="N947" s="75"/>
      <c r="O947" s="75"/>
    </row>
    <row r="948">
      <c r="F948" s="181"/>
      <c r="G948" s="181"/>
      <c r="H948" s="181"/>
      <c r="I948" s="75"/>
      <c r="J948" s="75"/>
      <c r="K948" s="75"/>
      <c r="L948" s="75"/>
      <c r="M948" s="75"/>
      <c r="N948" s="75"/>
      <c r="O948" s="75"/>
    </row>
    <row r="949">
      <c r="F949" s="181"/>
      <c r="G949" s="181"/>
      <c r="H949" s="181"/>
      <c r="I949" s="75"/>
      <c r="J949" s="75"/>
      <c r="K949" s="75"/>
      <c r="L949" s="75"/>
      <c r="M949" s="75"/>
      <c r="N949" s="75"/>
      <c r="O949" s="75"/>
    </row>
    <row r="950">
      <c r="F950" s="181"/>
      <c r="G950" s="181"/>
      <c r="H950" s="181"/>
      <c r="I950" s="75"/>
      <c r="J950" s="75"/>
      <c r="K950" s="75"/>
      <c r="L950" s="75"/>
      <c r="M950" s="75"/>
      <c r="N950" s="75"/>
      <c r="O950" s="75"/>
    </row>
    <row r="951">
      <c r="F951" s="181"/>
      <c r="G951" s="181"/>
      <c r="H951" s="181"/>
      <c r="I951" s="75"/>
      <c r="J951" s="75"/>
      <c r="K951" s="75"/>
      <c r="L951" s="75"/>
      <c r="M951" s="75"/>
      <c r="N951" s="75"/>
      <c r="O951" s="75"/>
    </row>
    <row r="952">
      <c r="F952" s="181"/>
      <c r="G952" s="181"/>
      <c r="H952" s="181"/>
      <c r="I952" s="75"/>
      <c r="J952" s="75"/>
      <c r="K952" s="75"/>
      <c r="L952" s="75"/>
      <c r="M952" s="75"/>
      <c r="N952" s="75"/>
      <c r="O952" s="75"/>
    </row>
    <row r="953">
      <c r="F953" s="181"/>
      <c r="G953" s="181"/>
      <c r="H953" s="181"/>
      <c r="I953" s="75"/>
      <c r="J953" s="75"/>
      <c r="K953" s="75"/>
      <c r="L953" s="75"/>
      <c r="M953" s="75"/>
      <c r="N953" s="75"/>
      <c r="O953" s="75"/>
    </row>
    <row r="954">
      <c r="F954" s="181"/>
      <c r="G954" s="181"/>
      <c r="H954" s="181"/>
      <c r="I954" s="75"/>
      <c r="J954" s="75"/>
      <c r="K954" s="75"/>
      <c r="L954" s="75"/>
      <c r="M954" s="75"/>
      <c r="N954" s="75"/>
      <c r="O954" s="75"/>
    </row>
    <row r="955">
      <c r="F955" s="181"/>
      <c r="G955" s="181"/>
      <c r="H955" s="181"/>
      <c r="I955" s="75"/>
      <c r="J955" s="75"/>
      <c r="K955" s="75"/>
      <c r="L955" s="75"/>
      <c r="M955" s="75"/>
      <c r="N955" s="75"/>
      <c r="O955" s="75"/>
    </row>
    <row r="956">
      <c r="F956" s="181"/>
      <c r="G956" s="181"/>
      <c r="H956" s="181"/>
      <c r="I956" s="75"/>
      <c r="J956" s="75"/>
      <c r="K956" s="75"/>
      <c r="L956" s="75"/>
      <c r="M956" s="75"/>
      <c r="N956" s="75"/>
      <c r="O956" s="75"/>
    </row>
    <row r="957">
      <c r="F957" s="181"/>
      <c r="G957" s="181"/>
      <c r="H957" s="181"/>
      <c r="I957" s="75"/>
      <c r="J957" s="75"/>
      <c r="K957" s="75"/>
      <c r="L957" s="75"/>
      <c r="M957" s="75"/>
      <c r="N957" s="75"/>
      <c r="O957" s="75"/>
    </row>
    <row r="958">
      <c r="F958" s="181"/>
      <c r="G958" s="181"/>
      <c r="H958" s="181"/>
      <c r="I958" s="75"/>
      <c r="J958" s="75"/>
      <c r="K958" s="75"/>
      <c r="L958" s="75"/>
      <c r="M958" s="75"/>
      <c r="N958" s="75"/>
      <c r="O958" s="75"/>
    </row>
    <row r="959">
      <c r="F959" s="181"/>
      <c r="G959" s="181"/>
      <c r="H959" s="181"/>
      <c r="I959" s="75"/>
      <c r="J959" s="75"/>
      <c r="K959" s="75"/>
      <c r="L959" s="75"/>
      <c r="M959" s="75"/>
      <c r="N959" s="75"/>
      <c r="O959" s="75"/>
    </row>
    <row r="960">
      <c r="F960" s="181"/>
      <c r="G960" s="181"/>
      <c r="H960" s="181"/>
      <c r="I960" s="75"/>
      <c r="J960" s="75"/>
      <c r="K960" s="75"/>
      <c r="L960" s="75"/>
      <c r="M960" s="75"/>
      <c r="N960" s="75"/>
      <c r="O960" s="75"/>
    </row>
    <row r="961">
      <c r="F961" s="181"/>
      <c r="G961" s="181"/>
      <c r="H961" s="181"/>
      <c r="I961" s="75"/>
      <c r="J961" s="75"/>
      <c r="K961" s="75"/>
      <c r="L961" s="75"/>
      <c r="M961" s="75"/>
      <c r="N961" s="75"/>
      <c r="O961" s="75"/>
    </row>
    <row r="962">
      <c r="F962" s="181"/>
      <c r="G962" s="181"/>
      <c r="H962" s="181"/>
      <c r="I962" s="75"/>
      <c r="J962" s="75"/>
      <c r="K962" s="75"/>
      <c r="L962" s="75"/>
      <c r="M962" s="75"/>
      <c r="N962" s="75"/>
      <c r="O962" s="75"/>
    </row>
    <row r="963">
      <c r="F963" s="181"/>
      <c r="G963" s="181"/>
      <c r="H963" s="181"/>
      <c r="I963" s="75"/>
      <c r="J963" s="75"/>
      <c r="K963" s="75"/>
      <c r="L963" s="75"/>
      <c r="M963" s="75"/>
      <c r="N963" s="75"/>
      <c r="O963" s="75"/>
    </row>
    <row r="964">
      <c r="F964" s="181"/>
      <c r="G964" s="181"/>
      <c r="H964" s="181"/>
      <c r="I964" s="75"/>
      <c r="J964" s="75"/>
      <c r="K964" s="75"/>
      <c r="L964" s="75"/>
      <c r="M964" s="75"/>
      <c r="N964" s="75"/>
      <c r="O964" s="75"/>
    </row>
    <row r="965">
      <c r="F965" s="181"/>
      <c r="G965" s="181"/>
      <c r="H965" s="181"/>
      <c r="I965" s="75"/>
      <c r="J965" s="75"/>
      <c r="K965" s="75"/>
      <c r="L965" s="75"/>
      <c r="M965" s="75"/>
      <c r="N965" s="75"/>
      <c r="O965" s="75"/>
    </row>
    <row r="966">
      <c r="F966" s="181"/>
      <c r="G966" s="181"/>
      <c r="H966" s="181"/>
      <c r="I966" s="75"/>
      <c r="J966" s="75"/>
      <c r="K966" s="75"/>
      <c r="L966" s="75"/>
      <c r="M966" s="75"/>
      <c r="N966" s="75"/>
      <c r="O966" s="75"/>
    </row>
    <row r="967">
      <c r="F967" s="181"/>
      <c r="G967" s="181"/>
      <c r="H967" s="181"/>
      <c r="I967" s="75"/>
      <c r="J967" s="75"/>
      <c r="K967" s="75"/>
      <c r="L967" s="75"/>
      <c r="M967" s="75"/>
      <c r="N967" s="75"/>
      <c r="O967" s="75"/>
    </row>
    <row r="968">
      <c r="F968" s="181"/>
      <c r="G968" s="181"/>
      <c r="H968" s="181"/>
      <c r="I968" s="75"/>
      <c r="J968" s="75"/>
      <c r="K968" s="75"/>
      <c r="L968" s="75"/>
      <c r="M968" s="75"/>
      <c r="N968" s="75"/>
      <c r="O968" s="75"/>
    </row>
    <row r="969">
      <c r="F969" s="181"/>
      <c r="G969" s="181"/>
      <c r="H969" s="181"/>
      <c r="I969" s="75"/>
      <c r="J969" s="75"/>
      <c r="K969" s="75"/>
      <c r="L969" s="75"/>
      <c r="M969" s="75"/>
      <c r="N969" s="75"/>
      <c r="O969" s="75"/>
    </row>
    <row r="970">
      <c r="F970" s="181"/>
      <c r="G970" s="181"/>
      <c r="H970" s="181"/>
      <c r="I970" s="75"/>
      <c r="J970" s="75"/>
      <c r="K970" s="75"/>
      <c r="L970" s="75"/>
      <c r="M970" s="75"/>
      <c r="N970" s="75"/>
      <c r="O970" s="75"/>
    </row>
    <row r="971">
      <c r="F971" s="181"/>
      <c r="G971" s="181"/>
      <c r="H971" s="181"/>
      <c r="I971" s="75"/>
      <c r="J971" s="75"/>
      <c r="K971" s="75"/>
      <c r="L971" s="75"/>
      <c r="M971" s="75"/>
      <c r="N971" s="75"/>
      <c r="O971" s="75"/>
    </row>
    <row r="972">
      <c r="F972" s="181"/>
      <c r="G972" s="181"/>
      <c r="H972" s="181"/>
      <c r="I972" s="75"/>
      <c r="J972" s="75"/>
      <c r="K972" s="75"/>
      <c r="L972" s="75"/>
      <c r="M972" s="75"/>
      <c r="N972" s="75"/>
      <c r="O972" s="75"/>
    </row>
    <row r="973">
      <c r="F973" s="181"/>
      <c r="G973" s="181"/>
      <c r="H973" s="181"/>
      <c r="I973" s="75"/>
      <c r="J973" s="75"/>
      <c r="K973" s="75"/>
      <c r="L973" s="75"/>
      <c r="M973" s="75"/>
      <c r="N973" s="75"/>
      <c r="O973" s="75"/>
    </row>
    <row r="974">
      <c r="F974" s="181"/>
      <c r="G974" s="181"/>
      <c r="H974" s="181"/>
      <c r="I974" s="75"/>
      <c r="J974" s="75"/>
      <c r="K974" s="75"/>
      <c r="L974" s="75"/>
      <c r="M974" s="75"/>
      <c r="N974" s="75"/>
      <c r="O974" s="75"/>
    </row>
    <row r="975">
      <c r="F975" s="181"/>
      <c r="G975" s="181"/>
      <c r="H975" s="181"/>
      <c r="I975" s="75"/>
      <c r="J975" s="75"/>
      <c r="K975" s="75"/>
      <c r="L975" s="75"/>
      <c r="M975" s="75"/>
      <c r="N975" s="75"/>
      <c r="O975" s="75"/>
    </row>
    <row r="976">
      <c r="F976" s="181"/>
      <c r="G976" s="181"/>
      <c r="H976" s="181"/>
      <c r="I976" s="75"/>
      <c r="J976" s="75"/>
      <c r="K976" s="75"/>
      <c r="L976" s="75"/>
      <c r="M976" s="75"/>
      <c r="N976" s="75"/>
      <c r="O976" s="75"/>
    </row>
    <row r="977">
      <c r="F977" s="181"/>
      <c r="G977" s="181"/>
      <c r="H977" s="181"/>
      <c r="I977" s="75"/>
      <c r="J977" s="75"/>
      <c r="K977" s="75"/>
      <c r="L977" s="75"/>
      <c r="M977" s="75"/>
      <c r="N977" s="75"/>
      <c r="O977" s="75"/>
    </row>
    <row r="978">
      <c r="F978" s="181"/>
      <c r="G978" s="181"/>
      <c r="H978" s="181"/>
      <c r="I978" s="75"/>
      <c r="J978" s="75"/>
      <c r="K978" s="75"/>
      <c r="L978" s="75"/>
      <c r="M978" s="75"/>
      <c r="N978" s="75"/>
      <c r="O978" s="75"/>
    </row>
    <row r="979">
      <c r="F979" s="181"/>
      <c r="G979" s="181"/>
      <c r="H979" s="181"/>
      <c r="I979" s="75"/>
      <c r="J979" s="75"/>
      <c r="K979" s="75"/>
      <c r="L979" s="75"/>
      <c r="M979" s="75"/>
      <c r="N979" s="75"/>
      <c r="O979" s="75"/>
    </row>
    <row r="980">
      <c r="F980" s="181"/>
      <c r="G980" s="181"/>
      <c r="H980" s="181"/>
      <c r="I980" s="75"/>
      <c r="J980" s="75"/>
      <c r="K980" s="75"/>
      <c r="L980" s="75"/>
      <c r="M980" s="75"/>
      <c r="N980" s="75"/>
      <c r="O980" s="75"/>
    </row>
    <row r="981">
      <c r="F981" s="181"/>
      <c r="G981" s="181"/>
      <c r="H981" s="181"/>
      <c r="I981" s="75"/>
      <c r="J981" s="75"/>
      <c r="K981" s="75"/>
      <c r="L981" s="75"/>
      <c r="M981" s="75"/>
      <c r="N981" s="75"/>
      <c r="O981" s="75"/>
    </row>
    <row r="982">
      <c r="F982" s="181"/>
      <c r="G982" s="181"/>
      <c r="H982" s="181"/>
      <c r="I982" s="75"/>
      <c r="J982" s="75"/>
      <c r="K982" s="75"/>
      <c r="L982" s="75"/>
      <c r="M982" s="75"/>
      <c r="N982" s="75"/>
      <c r="O982" s="75"/>
    </row>
    <row r="983">
      <c r="F983" s="181"/>
      <c r="G983" s="181"/>
      <c r="H983" s="181"/>
      <c r="I983" s="75"/>
      <c r="J983" s="75"/>
      <c r="K983" s="75"/>
      <c r="L983" s="75"/>
      <c r="M983" s="75"/>
      <c r="N983" s="75"/>
      <c r="O983" s="75"/>
    </row>
    <row r="984">
      <c r="F984" s="181"/>
      <c r="G984" s="181"/>
      <c r="H984" s="181"/>
      <c r="I984" s="75"/>
      <c r="J984" s="75"/>
      <c r="K984" s="75"/>
      <c r="L984" s="75"/>
      <c r="M984" s="75"/>
      <c r="N984" s="75"/>
      <c r="O984" s="75"/>
    </row>
    <row r="985">
      <c r="F985" s="181"/>
      <c r="G985" s="181"/>
      <c r="H985" s="181"/>
      <c r="I985" s="75"/>
      <c r="J985" s="75"/>
      <c r="K985" s="75"/>
      <c r="L985" s="75"/>
      <c r="M985" s="75"/>
      <c r="N985" s="75"/>
      <c r="O985" s="75"/>
    </row>
    <row r="986">
      <c r="F986" s="181"/>
      <c r="G986" s="181"/>
      <c r="H986" s="181"/>
      <c r="I986" s="75"/>
      <c r="J986" s="75"/>
      <c r="K986" s="75"/>
      <c r="L986" s="75"/>
      <c r="M986" s="75"/>
      <c r="N986" s="75"/>
      <c r="O986" s="75"/>
    </row>
    <row r="987">
      <c r="F987" s="181"/>
      <c r="G987" s="181"/>
      <c r="H987" s="181"/>
      <c r="I987" s="75"/>
      <c r="J987" s="75"/>
      <c r="K987" s="75"/>
      <c r="L987" s="75"/>
      <c r="M987" s="75"/>
      <c r="N987" s="75"/>
      <c r="O987" s="75"/>
    </row>
    <row r="988">
      <c r="F988" s="181"/>
      <c r="G988" s="181"/>
      <c r="H988" s="181"/>
      <c r="I988" s="75"/>
      <c r="J988" s="75"/>
      <c r="K988" s="75"/>
      <c r="L988" s="75"/>
      <c r="M988" s="75"/>
      <c r="N988" s="75"/>
      <c r="O988" s="75"/>
    </row>
    <row r="989">
      <c r="F989" s="181"/>
      <c r="G989" s="181"/>
      <c r="H989" s="181"/>
      <c r="I989" s="75"/>
      <c r="J989" s="75"/>
      <c r="K989" s="75"/>
      <c r="L989" s="75"/>
      <c r="M989" s="75"/>
      <c r="N989" s="75"/>
      <c r="O989" s="75"/>
    </row>
    <row r="990">
      <c r="F990" s="181"/>
      <c r="G990" s="181"/>
      <c r="H990" s="181"/>
      <c r="I990" s="75"/>
      <c r="J990" s="75"/>
      <c r="K990" s="75"/>
      <c r="L990" s="75"/>
      <c r="M990" s="75"/>
      <c r="N990" s="75"/>
      <c r="O990" s="75"/>
    </row>
    <row r="991">
      <c r="F991" s="181"/>
      <c r="G991" s="181"/>
      <c r="H991" s="181"/>
      <c r="I991" s="75"/>
      <c r="J991" s="75"/>
      <c r="K991" s="75"/>
      <c r="L991" s="75"/>
      <c r="M991" s="75"/>
      <c r="N991" s="75"/>
      <c r="O991" s="75"/>
    </row>
    <row r="992">
      <c r="F992" s="181"/>
      <c r="G992" s="181"/>
      <c r="H992" s="181"/>
      <c r="I992" s="75"/>
      <c r="J992" s="75"/>
      <c r="K992" s="75"/>
      <c r="L992" s="75"/>
      <c r="M992" s="75"/>
      <c r="N992" s="75"/>
      <c r="O992" s="75"/>
    </row>
    <row r="993">
      <c r="F993" s="181"/>
      <c r="G993" s="181"/>
      <c r="H993" s="181"/>
      <c r="I993" s="75"/>
      <c r="J993" s="75"/>
      <c r="K993" s="75"/>
      <c r="L993" s="75"/>
      <c r="M993" s="75"/>
      <c r="N993" s="75"/>
      <c r="O993" s="75"/>
    </row>
    <row r="994">
      <c r="F994" s="181"/>
      <c r="G994" s="181"/>
      <c r="H994" s="181"/>
      <c r="I994" s="75"/>
      <c r="J994" s="75"/>
      <c r="K994" s="75"/>
      <c r="L994" s="75"/>
      <c r="M994" s="75"/>
      <c r="N994" s="75"/>
      <c r="O994" s="75"/>
    </row>
    <row r="995">
      <c r="F995" s="181"/>
      <c r="G995" s="181"/>
      <c r="H995" s="181"/>
      <c r="I995" s="75"/>
      <c r="J995" s="75"/>
      <c r="K995" s="75"/>
      <c r="L995" s="75"/>
      <c r="M995" s="75"/>
      <c r="N995" s="75"/>
      <c r="O995" s="75"/>
    </row>
    <row r="996">
      <c r="F996" s="181"/>
      <c r="G996" s="181"/>
      <c r="H996" s="181"/>
      <c r="I996" s="75"/>
      <c r="J996" s="75"/>
      <c r="K996" s="75"/>
      <c r="L996" s="75"/>
      <c r="M996" s="75"/>
      <c r="N996" s="75"/>
      <c r="O996" s="75"/>
    </row>
    <row r="997">
      <c r="F997" s="181"/>
      <c r="G997" s="181"/>
      <c r="H997" s="181"/>
      <c r="I997" s="75"/>
      <c r="J997" s="75"/>
      <c r="K997" s="75"/>
      <c r="L997" s="75"/>
      <c r="M997" s="75"/>
      <c r="N997" s="75"/>
      <c r="O997" s="75"/>
    </row>
    <row r="998">
      <c r="F998" s="181"/>
      <c r="G998" s="181"/>
      <c r="H998" s="181"/>
      <c r="I998" s="75"/>
      <c r="J998" s="75"/>
      <c r="K998" s="75"/>
      <c r="L998" s="75"/>
      <c r="M998" s="75"/>
      <c r="N998" s="75"/>
      <c r="O998" s="75"/>
    </row>
    <row r="999">
      <c r="F999" s="181"/>
      <c r="G999" s="181"/>
      <c r="H999" s="181"/>
      <c r="I999" s="75"/>
      <c r="J999" s="75"/>
      <c r="K999" s="75"/>
      <c r="L999" s="75"/>
      <c r="M999" s="75"/>
      <c r="N999" s="75"/>
      <c r="O999" s="75"/>
    </row>
    <row r="1000">
      <c r="F1000" s="181"/>
      <c r="G1000" s="181"/>
      <c r="H1000" s="181"/>
      <c r="I1000" s="75"/>
      <c r="J1000" s="75"/>
      <c r="K1000" s="75"/>
      <c r="L1000" s="75"/>
      <c r="M1000" s="75"/>
      <c r="N1000" s="75"/>
      <c r="O1000" s="75"/>
    </row>
    <row r="1001">
      <c r="F1001" s="181"/>
      <c r="G1001" s="181"/>
      <c r="H1001" s="181"/>
      <c r="I1001" s="75"/>
      <c r="J1001" s="75"/>
      <c r="K1001" s="75"/>
      <c r="L1001" s="75"/>
      <c r="M1001" s="75"/>
      <c r="N1001" s="75"/>
      <c r="O1001" s="75"/>
    </row>
    <row r="1002">
      <c r="F1002" s="181"/>
      <c r="G1002" s="181"/>
      <c r="H1002" s="181"/>
      <c r="I1002" s="75"/>
      <c r="J1002" s="75"/>
      <c r="K1002" s="75"/>
      <c r="L1002" s="75"/>
      <c r="M1002" s="75"/>
      <c r="N1002" s="75"/>
      <c r="O1002" s="75"/>
    </row>
    <row r="1003">
      <c r="F1003" s="181"/>
      <c r="G1003" s="181"/>
      <c r="H1003" s="181"/>
      <c r="I1003" s="75"/>
      <c r="J1003" s="75"/>
      <c r="K1003" s="75"/>
      <c r="L1003" s="75"/>
      <c r="M1003" s="75"/>
      <c r="N1003" s="75"/>
      <c r="O1003" s="75"/>
    </row>
    <row r="1004">
      <c r="F1004" s="181"/>
      <c r="G1004" s="181"/>
      <c r="H1004" s="181"/>
      <c r="I1004" s="75"/>
      <c r="J1004" s="75"/>
      <c r="K1004" s="75"/>
      <c r="L1004" s="75"/>
      <c r="M1004" s="75"/>
      <c r="N1004" s="75"/>
      <c r="O1004" s="75"/>
    </row>
    <row r="1005">
      <c r="F1005" s="181"/>
      <c r="G1005" s="181"/>
      <c r="H1005" s="181"/>
      <c r="I1005" s="75"/>
      <c r="J1005" s="75"/>
      <c r="K1005" s="75"/>
      <c r="L1005" s="75"/>
      <c r="M1005" s="75"/>
      <c r="N1005" s="75"/>
      <c r="O1005" s="75"/>
    </row>
    <row r="1006">
      <c r="F1006" s="181"/>
      <c r="G1006" s="181"/>
      <c r="H1006" s="181"/>
      <c r="I1006" s="75"/>
      <c r="J1006" s="75"/>
      <c r="K1006" s="75"/>
      <c r="L1006" s="75"/>
      <c r="M1006" s="75"/>
      <c r="N1006" s="75"/>
      <c r="O1006" s="75"/>
    </row>
    <row r="1007">
      <c r="F1007" s="181"/>
      <c r="G1007" s="181"/>
      <c r="H1007" s="181"/>
      <c r="I1007" s="75"/>
      <c r="J1007" s="75"/>
      <c r="K1007" s="75"/>
      <c r="L1007" s="75"/>
      <c r="M1007" s="75"/>
      <c r="N1007" s="75"/>
      <c r="O1007" s="75"/>
    </row>
    <row r="1008">
      <c r="F1008" s="181"/>
      <c r="G1008" s="181"/>
      <c r="H1008" s="181"/>
      <c r="I1008" s="75"/>
      <c r="J1008" s="75"/>
      <c r="K1008" s="75"/>
      <c r="L1008" s="75"/>
      <c r="M1008" s="75"/>
      <c r="N1008" s="75"/>
      <c r="O1008" s="75"/>
    </row>
    <row r="1009">
      <c r="F1009" s="181"/>
      <c r="G1009" s="181"/>
      <c r="H1009" s="181"/>
      <c r="I1009" s="75"/>
      <c r="J1009" s="75"/>
      <c r="K1009" s="75"/>
      <c r="L1009" s="75"/>
      <c r="M1009" s="75"/>
      <c r="N1009" s="75"/>
      <c r="O1009" s="75"/>
    </row>
    <row r="1010">
      <c r="F1010" s="181"/>
      <c r="G1010" s="181"/>
      <c r="H1010" s="181"/>
      <c r="I1010" s="75"/>
      <c r="J1010" s="75"/>
      <c r="K1010" s="75"/>
      <c r="L1010" s="75"/>
      <c r="M1010" s="75"/>
      <c r="N1010" s="75"/>
      <c r="O1010" s="75"/>
    </row>
    <row r="1011">
      <c r="F1011" s="181"/>
      <c r="G1011" s="181"/>
      <c r="H1011" s="181"/>
      <c r="I1011" s="75"/>
      <c r="J1011" s="75"/>
      <c r="K1011" s="75"/>
      <c r="L1011" s="75"/>
      <c r="M1011" s="75"/>
      <c r="N1011" s="75"/>
      <c r="O1011" s="75"/>
    </row>
    <row r="1012">
      <c r="F1012" s="181"/>
      <c r="G1012" s="181"/>
      <c r="H1012" s="181"/>
      <c r="I1012" s="75"/>
      <c r="J1012" s="75"/>
      <c r="K1012" s="75"/>
      <c r="L1012" s="75"/>
      <c r="M1012" s="75"/>
      <c r="N1012" s="75"/>
      <c r="O1012" s="75"/>
    </row>
    <row r="1013">
      <c r="F1013" s="181"/>
      <c r="G1013" s="181"/>
      <c r="H1013" s="181"/>
      <c r="I1013" s="75"/>
      <c r="J1013" s="75"/>
      <c r="K1013" s="75"/>
      <c r="L1013" s="75"/>
      <c r="M1013" s="75"/>
      <c r="N1013" s="75"/>
      <c r="O1013" s="75"/>
    </row>
  </sheetData>
  <mergeCells count="4">
    <mergeCell ref="B1:C1"/>
    <mergeCell ref="D1:F1"/>
    <mergeCell ref="G1:K1"/>
    <mergeCell ref="L1:O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row>
    <row r="2">
      <c r="A2" s="14" t="s">
        <v>12</v>
      </c>
      <c r="B2" s="16"/>
      <c r="C2" s="16"/>
      <c r="D2" s="16"/>
      <c r="E2" s="16"/>
      <c r="F2" s="19"/>
    </row>
    <row r="3">
      <c r="A3" s="15" t="s">
        <v>14</v>
      </c>
      <c r="B3" s="17" t="s">
        <v>15</v>
      </c>
      <c r="C3" s="15" t="s">
        <v>16</v>
      </c>
      <c r="D3" s="15" t="s">
        <v>17</v>
      </c>
      <c r="E3" s="15" t="s">
        <v>19</v>
      </c>
      <c r="F3" s="15" t="s">
        <v>20</v>
      </c>
    </row>
  </sheetData>
  <mergeCells count="2">
    <mergeCell ref="A1:F1"/>
    <mergeCell ref="A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38"/>
    <col customWidth="1" min="3" max="3" width="28.63"/>
  </cols>
  <sheetData>
    <row r="1">
      <c r="A1" s="2" t="s">
        <v>2</v>
      </c>
      <c r="O1" s="2"/>
      <c r="P1" s="4"/>
      <c r="Q1" s="4"/>
      <c r="R1" s="4"/>
    </row>
    <row r="2">
      <c r="A2" s="7" t="s">
        <v>6</v>
      </c>
      <c r="O2" s="2"/>
      <c r="P2" s="4"/>
      <c r="Q2" s="4"/>
      <c r="R2" s="4"/>
    </row>
    <row r="3">
      <c r="A3" s="7" t="s">
        <v>9</v>
      </c>
      <c r="O3" s="10"/>
    </row>
    <row r="4">
      <c r="A4" s="7" t="s">
        <v>11</v>
      </c>
      <c r="O4" s="10"/>
    </row>
    <row r="5">
      <c r="A5" s="15" t="s">
        <v>14</v>
      </c>
      <c r="B5" s="17" t="s">
        <v>15</v>
      </c>
      <c r="C5" s="15" t="s">
        <v>16</v>
      </c>
      <c r="D5" s="15" t="s">
        <v>17</v>
      </c>
      <c r="E5" s="15" t="s">
        <v>19</v>
      </c>
      <c r="F5" s="15" t="s">
        <v>20</v>
      </c>
      <c r="G5" s="15" t="s">
        <v>21</v>
      </c>
      <c r="H5" s="15" t="s">
        <v>23</v>
      </c>
      <c r="I5" s="15" t="s">
        <v>25</v>
      </c>
      <c r="J5" s="17" t="s">
        <v>15</v>
      </c>
      <c r="K5" s="15" t="s">
        <v>27</v>
      </c>
      <c r="L5" s="15" t="s">
        <v>29</v>
      </c>
      <c r="M5" s="15" t="s">
        <v>30</v>
      </c>
      <c r="N5" s="15" t="s">
        <v>31</v>
      </c>
      <c r="O5" s="15" t="s">
        <v>32</v>
      </c>
    </row>
    <row r="6">
      <c r="A6" s="26" t="s">
        <v>33</v>
      </c>
      <c r="B6" s="28">
        <v>26.0</v>
      </c>
      <c r="C6" s="29" t="s">
        <v>39</v>
      </c>
      <c r="D6" s="29" t="s">
        <v>41</v>
      </c>
      <c r="E6" s="35" t="str">
        <f>CONCATENATE("CMMZ_P",CONTROLE!$B$3,"_A")</f>
        <v>CMMZ_P18_A</v>
      </c>
      <c r="F6" s="37">
        <v>24.6</v>
      </c>
      <c r="G6" s="41">
        <f t="shared" ref="G6:G15" si="1">50/F6</f>
        <v>2.032520325</v>
      </c>
      <c r="H6" s="42">
        <v>1.5</v>
      </c>
      <c r="I6" s="44">
        <f t="shared" ref="I6:I17" si="2">$H$6*G6</f>
        <v>3.048780488</v>
      </c>
      <c r="J6" s="28">
        <v>26.0</v>
      </c>
      <c r="K6" s="41">
        <f>SUM(I6:I17)</f>
        <v>53.31767528</v>
      </c>
      <c r="L6" s="46"/>
      <c r="M6" s="41"/>
      <c r="N6" s="47"/>
      <c r="O6" s="48"/>
    </row>
    <row r="7">
      <c r="B7" s="28">
        <v>5.0</v>
      </c>
      <c r="C7" s="29" t="s">
        <v>72</v>
      </c>
      <c r="D7" s="29" t="s">
        <v>73</v>
      </c>
      <c r="F7" s="37">
        <v>15.5</v>
      </c>
      <c r="G7" s="41">
        <f t="shared" si="1"/>
        <v>3.225806452</v>
      </c>
      <c r="I7" s="44">
        <f t="shared" si="2"/>
        <v>4.838709677</v>
      </c>
      <c r="J7" s="28">
        <v>5.0</v>
      </c>
      <c r="N7" s="49"/>
      <c r="O7" s="50"/>
    </row>
    <row r="8">
      <c r="B8" s="28">
        <v>12.0</v>
      </c>
      <c r="C8" s="29" t="s">
        <v>76</v>
      </c>
      <c r="D8" s="29" t="s">
        <v>78</v>
      </c>
      <c r="F8" s="37">
        <v>27.0</v>
      </c>
      <c r="G8" s="41">
        <f t="shared" si="1"/>
        <v>1.851851852</v>
      </c>
      <c r="I8" s="44">
        <f t="shared" si="2"/>
        <v>2.777777778</v>
      </c>
      <c r="J8" s="28">
        <v>12.0</v>
      </c>
      <c r="N8" s="49"/>
      <c r="O8" s="50"/>
    </row>
    <row r="9">
      <c r="B9" s="28">
        <v>39.0</v>
      </c>
      <c r="C9" s="29" t="s">
        <v>81</v>
      </c>
      <c r="D9" s="29" t="s">
        <v>82</v>
      </c>
      <c r="F9" s="37">
        <v>31.6</v>
      </c>
      <c r="G9" s="41">
        <f t="shared" si="1"/>
        <v>1.582278481</v>
      </c>
      <c r="I9" s="44">
        <f t="shared" si="2"/>
        <v>2.373417722</v>
      </c>
      <c r="J9" s="28">
        <v>39.0</v>
      </c>
      <c r="N9" s="49"/>
      <c r="O9" s="50"/>
    </row>
    <row r="10">
      <c r="B10" s="28">
        <v>38.0</v>
      </c>
      <c r="C10" s="29" t="s">
        <v>87</v>
      </c>
      <c r="D10" s="29" t="s">
        <v>88</v>
      </c>
      <c r="F10" s="37">
        <v>19.6</v>
      </c>
      <c r="G10" s="41">
        <f t="shared" si="1"/>
        <v>2.551020408</v>
      </c>
      <c r="I10" s="44">
        <f t="shared" si="2"/>
        <v>3.826530612</v>
      </c>
      <c r="J10" s="28">
        <v>38.0</v>
      </c>
      <c r="N10" s="49"/>
      <c r="O10" s="50"/>
    </row>
    <row r="11">
      <c r="A11" s="26" t="s">
        <v>91</v>
      </c>
      <c r="B11" s="28">
        <v>27.0</v>
      </c>
      <c r="C11" s="29" t="s">
        <v>92</v>
      </c>
      <c r="D11" s="54" t="s">
        <v>93</v>
      </c>
      <c r="F11" s="55">
        <v>18.2</v>
      </c>
      <c r="G11" s="41">
        <f t="shared" si="1"/>
        <v>2.747252747</v>
      </c>
      <c r="I11" s="44">
        <f t="shared" si="2"/>
        <v>4.120879121</v>
      </c>
      <c r="J11" s="28">
        <v>27.0</v>
      </c>
      <c r="N11" s="49"/>
      <c r="O11" s="50"/>
    </row>
    <row r="12">
      <c r="B12" s="28">
        <v>55.0</v>
      </c>
      <c r="C12" s="29" t="s">
        <v>96</v>
      </c>
      <c r="D12" s="54" t="s">
        <v>97</v>
      </c>
      <c r="F12" s="55">
        <v>21.8</v>
      </c>
      <c r="G12" s="41">
        <f t="shared" si="1"/>
        <v>2.293577982</v>
      </c>
      <c r="I12" s="44">
        <f t="shared" si="2"/>
        <v>3.440366972</v>
      </c>
      <c r="J12" s="28">
        <v>55.0</v>
      </c>
      <c r="N12" s="49"/>
      <c r="O12" s="50"/>
    </row>
    <row r="13">
      <c r="B13" s="28">
        <v>59.0</v>
      </c>
      <c r="C13" s="29" t="s">
        <v>99</v>
      </c>
      <c r="D13" s="54" t="s">
        <v>101</v>
      </c>
      <c r="F13" s="55">
        <v>5.82</v>
      </c>
      <c r="G13" s="41">
        <f t="shared" si="1"/>
        <v>8.591065292</v>
      </c>
      <c r="I13" s="44">
        <f t="shared" si="2"/>
        <v>12.88659794</v>
      </c>
      <c r="J13" s="28">
        <v>59.0</v>
      </c>
      <c r="N13" s="49"/>
      <c r="O13" s="50"/>
    </row>
    <row r="14">
      <c r="B14" s="28">
        <v>72.0</v>
      </c>
      <c r="C14" s="29" t="s">
        <v>103</v>
      </c>
      <c r="D14" s="54" t="s">
        <v>105</v>
      </c>
      <c r="F14" s="55">
        <v>6.68</v>
      </c>
      <c r="G14" s="41">
        <f t="shared" si="1"/>
        <v>7.48502994</v>
      </c>
      <c r="I14" s="44">
        <f t="shared" si="2"/>
        <v>11.22754491</v>
      </c>
      <c r="J14" s="28">
        <v>72.0</v>
      </c>
      <c r="N14" s="49"/>
      <c r="O14" s="50"/>
    </row>
    <row r="15">
      <c r="B15" s="28">
        <v>92.0</v>
      </c>
      <c r="C15" s="29" t="s">
        <v>107</v>
      </c>
      <c r="D15" s="54" t="s">
        <v>108</v>
      </c>
      <c r="F15" s="55">
        <v>15.7</v>
      </c>
      <c r="G15" s="41">
        <f t="shared" si="1"/>
        <v>3.184713376</v>
      </c>
      <c r="I15" s="44">
        <f t="shared" si="2"/>
        <v>4.777070064</v>
      </c>
      <c r="J15" s="28">
        <v>92.0</v>
      </c>
      <c r="N15" s="49"/>
      <c r="O15" s="50"/>
    </row>
    <row r="16">
      <c r="A16" s="57">
        <v>11.0</v>
      </c>
      <c r="B16" s="58"/>
      <c r="C16" s="59"/>
      <c r="D16" s="59"/>
      <c r="F16" s="26">
        <v>0.0</v>
      </c>
      <c r="G16" s="60">
        <v>0.0</v>
      </c>
      <c r="I16" s="44">
        <f t="shared" si="2"/>
        <v>0</v>
      </c>
      <c r="J16" s="58"/>
      <c r="N16" s="49"/>
      <c r="O16" s="50"/>
    </row>
    <row r="17">
      <c r="A17" s="61">
        <v>12.0</v>
      </c>
      <c r="B17" s="62"/>
      <c r="C17" s="63"/>
      <c r="D17" s="63"/>
      <c r="E17" s="64"/>
      <c r="F17" s="65">
        <v>0.0</v>
      </c>
      <c r="G17" s="66">
        <v>0.0</v>
      </c>
      <c r="H17" s="64"/>
      <c r="I17" s="67">
        <f t="shared" si="2"/>
        <v>0</v>
      </c>
      <c r="J17" s="62"/>
      <c r="K17" s="64"/>
      <c r="L17" s="64"/>
      <c r="M17" s="64"/>
      <c r="N17" s="68"/>
      <c r="O17" s="69"/>
    </row>
    <row r="18">
      <c r="A18" s="26" t="s">
        <v>114</v>
      </c>
      <c r="B18" s="28">
        <v>76.0</v>
      </c>
      <c r="C18" s="70" t="s">
        <v>116</v>
      </c>
      <c r="D18" s="70" t="s">
        <v>117</v>
      </c>
      <c r="E18" s="35" t="str">
        <f>CONCATENATE("CMMZ_P",CONTROLE!$B$3,"_B")</f>
        <v>CMMZ_P18_B</v>
      </c>
      <c r="F18" s="70">
        <v>7.22</v>
      </c>
      <c r="G18" s="41">
        <f t="shared" ref="G18:G27" si="3">50/F18</f>
        <v>6.925207756</v>
      </c>
      <c r="H18" s="42">
        <v>1.5</v>
      </c>
      <c r="I18" s="44">
        <f t="shared" ref="I18:I29" si="4">$H$18*G18</f>
        <v>10.38781163</v>
      </c>
      <c r="J18" s="28">
        <v>76.0</v>
      </c>
      <c r="K18" s="41">
        <f>SUM(I18:I29)</f>
        <v>131.9465267</v>
      </c>
      <c r="L18" s="46"/>
      <c r="M18" s="41"/>
      <c r="N18" s="47"/>
      <c r="O18" s="48"/>
    </row>
    <row r="19">
      <c r="B19" s="28">
        <v>77.0</v>
      </c>
      <c r="C19" s="70" t="s">
        <v>119</v>
      </c>
      <c r="D19" s="70" t="s">
        <v>120</v>
      </c>
      <c r="F19" s="70">
        <v>15.5</v>
      </c>
      <c r="G19" s="41">
        <f t="shared" si="3"/>
        <v>3.225806452</v>
      </c>
      <c r="I19" s="44">
        <f t="shared" si="4"/>
        <v>4.838709677</v>
      </c>
      <c r="J19" s="28">
        <v>77.0</v>
      </c>
      <c r="N19" s="49"/>
      <c r="O19" s="50"/>
    </row>
    <row r="20">
      <c r="B20" s="28">
        <v>78.0</v>
      </c>
      <c r="C20" s="70" t="s">
        <v>121</v>
      </c>
      <c r="D20" s="70" t="s">
        <v>122</v>
      </c>
      <c r="F20" s="70">
        <v>27.6</v>
      </c>
      <c r="G20" s="41">
        <f t="shared" si="3"/>
        <v>1.811594203</v>
      </c>
      <c r="I20" s="44">
        <f t="shared" si="4"/>
        <v>2.717391304</v>
      </c>
      <c r="J20" s="28">
        <v>78.0</v>
      </c>
      <c r="N20" s="49"/>
      <c r="O20" s="50"/>
    </row>
    <row r="21">
      <c r="B21" s="28">
        <v>79.0</v>
      </c>
      <c r="C21" s="70" t="s">
        <v>123</v>
      </c>
      <c r="D21" s="70" t="s">
        <v>124</v>
      </c>
      <c r="F21" s="70">
        <v>9.6</v>
      </c>
      <c r="G21" s="41">
        <f t="shared" si="3"/>
        <v>5.208333333</v>
      </c>
      <c r="I21" s="44">
        <f t="shared" si="4"/>
        <v>7.8125</v>
      </c>
      <c r="J21" s="28">
        <v>79.0</v>
      </c>
      <c r="N21" s="49"/>
      <c r="O21" s="50"/>
    </row>
    <row r="22">
      <c r="B22" s="28">
        <v>80.0</v>
      </c>
      <c r="C22" s="70" t="s">
        <v>125</v>
      </c>
      <c r="D22" s="70" t="s">
        <v>126</v>
      </c>
      <c r="F22" s="70">
        <v>25.0</v>
      </c>
      <c r="G22" s="41">
        <f t="shared" si="3"/>
        <v>2</v>
      </c>
      <c r="I22" s="44">
        <f t="shared" si="4"/>
        <v>3</v>
      </c>
      <c r="J22" s="28">
        <v>80.0</v>
      </c>
      <c r="N22" s="49"/>
      <c r="O22" s="50"/>
    </row>
    <row r="23">
      <c r="A23" s="26" t="s">
        <v>127</v>
      </c>
      <c r="B23" s="28">
        <v>4.0</v>
      </c>
      <c r="C23" s="70" t="s">
        <v>128</v>
      </c>
      <c r="D23" s="70" t="s">
        <v>129</v>
      </c>
      <c r="F23" s="74">
        <v>6.26</v>
      </c>
      <c r="G23" s="41">
        <f t="shared" si="3"/>
        <v>7.987220447</v>
      </c>
      <c r="I23" s="44">
        <f t="shared" si="4"/>
        <v>11.98083067</v>
      </c>
      <c r="J23" s="28">
        <v>4.0</v>
      </c>
      <c r="N23" s="49"/>
      <c r="O23" s="50"/>
    </row>
    <row r="24">
      <c r="B24" s="28">
        <v>14.0</v>
      </c>
      <c r="C24" s="70" t="s">
        <v>130</v>
      </c>
      <c r="D24" s="70" t="s">
        <v>131</v>
      </c>
      <c r="F24" s="74">
        <v>2.64</v>
      </c>
      <c r="G24" s="41">
        <f t="shared" si="3"/>
        <v>18.93939394</v>
      </c>
      <c r="I24" s="44">
        <f t="shared" si="4"/>
        <v>28.40909091</v>
      </c>
      <c r="J24" s="28">
        <v>14.0</v>
      </c>
      <c r="N24" s="49"/>
      <c r="O24" s="50"/>
    </row>
    <row r="25">
      <c r="B25" s="28">
        <v>16.0</v>
      </c>
      <c r="C25" s="70" t="s">
        <v>132</v>
      </c>
      <c r="D25" s="70" t="s">
        <v>133</v>
      </c>
      <c r="F25" s="74">
        <v>4.16</v>
      </c>
      <c r="G25" s="41">
        <f t="shared" si="3"/>
        <v>12.01923077</v>
      </c>
      <c r="I25" s="44">
        <f t="shared" si="4"/>
        <v>18.02884615</v>
      </c>
      <c r="J25" s="28">
        <v>16.0</v>
      </c>
      <c r="N25" s="49"/>
      <c r="O25" s="50"/>
    </row>
    <row r="26">
      <c r="B26" s="28">
        <v>22.0</v>
      </c>
      <c r="C26" s="70" t="s">
        <v>134</v>
      </c>
      <c r="D26" s="70" t="s">
        <v>135</v>
      </c>
      <c r="F26" s="76">
        <v>3.54</v>
      </c>
      <c r="G26" s="41">
        <f t="shared" si="3"/>
        <v>14.12429379</v>
      </c>
      <c r="I26" s="44">
        <f t="shared" si="4"/>
        <v>21.18644068</v>
      </c>
      <c r="J26" s="28">
        <v>22.0</v>
      </c>
      <c r="N26" s="49"/>
      <c r="O26" s="50"/>
    </row>
    <row r="27">
      <c r="B27" s="28">
        <v>23.0</v>
      </c>
      <c r="C27" s="70" t="s">
        <v>136</v>
      </c>
      <c r="D27" s="79" t="s">
        <v>137</v>
      </c>
      <c r="F27" s="76">
        <v>3.18</v>
      </c>
      <c r="G27" s="41">
        <f t="shared" si="3"/>
        <v>15.72327044</v>
      </c>
      <c r="I27" s="44">
        <f t="shared" si="4"/>
        <v>23.58490566</v>
      </c>
      <c r="J27" s="28">
        <v>23.0</v>
      </c>
      <c r="N27" s="49"/>
      <c r="O27" s="50"/>
    </row>
    <row r="28">
      <c r="A28" s="57">
        <v>23.0</v>
      </c>
      <c r="B28" s="58"/>
      <c r="C28" s="59"/>
      <c r="D28" s="59"/>
      <c r="F28" s="57"/>
      <c r="G28" s="60">
        <v>0.0</v>
      </c>
      <c r="I28" s="44">
        <f t="shared" si="4"/>
        <v>0</v>
      </c>
      <c r="J28" s="58"/>
      <c r="N28" s="49"/>
      <c r="O28" s="50"/>
    </row>
    <row r="29">
      <c r="A29" s="61">
        <v>24.0</v>
      </c>
      <c r="B29" s="62"/>
      <c r="C29" s="63"/>
      <c r="D29" s="63"/>
      <c r="E29" s="64"/>
      <c r="F29" s="61"/>
      <c r="G29" s="66">
        <v>0.0</v>
      </c>
      <c r="H29" s="64"/>
      <c r="I29" s="67">
        <f t="shared" si="4"/>
        <v>0</v>
      </c>
      <c r="J29" s="62"/>
      <c r="K29" s="64"/>
      <c r="L29" s="64"/>
      <c r="M29" s="64"/>
      <c r="N29" s="68"/>
      <c r="O29" s="69"/>
    </row>
    <row r="30">
      <c r="A30" s="82">
        <v>25.0</v>
      </c>
      <c r="B30" s="83"/>
      <c r="C30" s="84"/>
      <c r="D30" s="84"/>
      <c r="E30" s="35" t="str">
        <f>CONCATENATE("CMMZ_P",CONTROLE!$B$3,"_C")</f>
        <v>CMMZ_P18_C</v>
      </c>
      <c r="F30" s="82"/>
      <c r="G30" s="87" t="str">
        <f t="shared" ref="G30:G101" si="5">45/F30</f>
        <v>#DIV/0!</v>
      </c>
      <c r="H30" s="88"/>
      <c r="I30" s="89" t="str">
        <f t="shared" ref="I30:I41" si="6">$H$30*G30</f>
        <v>#DIV/0!</v>
      </c>
      <c r="J30" s="83"/>
      <c r="K30" s="90" t="str">
        <f>SUM(I30:I41)</f>
        <v>#DIV/0!</v>
      </c>
      <c r="L30" s="92"/>
      <c r="M30" s="90"/>
      <c r="N30" s="93"/>
      <c r="O30" s="95"/>
    </row>
    <row r="31">
      <c r="A31" s="82">
        <v>26.0</v>
      </c>
      <c r="B31" s="83"/>
      <c r="C31" s="84"/>
      <c r="D31" s="84"/>
      <c r="F31" s="82"/>
      <c r="G31" s="87" t="str">
        <f t="shared" si="5"/>
        <v>#DIV/0!</v>
      </c>
      <c r="I31" s="89" t="str">
        <f t="shared" si="6"/>
        <v>#DIV/0!</v>
      </c>
      <c r="J31" s="83"/>
      <c r="N31" s="49"/>
      <c r="O31" s="50"/>
    </row>
    <row r="32">
      <c r="A32" s="82">
        <v>27.0</v>
      </c>
      <c r="B32" s="83"/>
      <c r="C32" s="84"/>
      <c r="D32" s="84"/>
      <c r="F32" s="82"/>
      <c r="G32" s="87" t="str">
        <f t="shared" si="5"/>
        <v>#DIV/0!</v>
      </c>
      <c r="I32" s="89" t="str">
        <f t="shared" si="6"/>
        <v>#DIV/0!</v>
      </c>
      <c r="J32" s="83"/>
      <c r="N32" s="49"/>
      <c r="O32" s="50"/>
    </row>
    <row r="33">
      <c r="A33" s="82">
        <v>28.0</v>
      </c>
      <c r="B33" s="83"/>
      <c r="C33" s="84"/>
      <c r="D33" s="84"/>
      <c r="F33" s="82"/>
      <c r="G33" s="87" t="str">
        <f t="shared" si="5"/>
        <v>#DIV/0!</v>
      </c>
      <c r="I33" s="89" t="str">
        <f t="shared" si="6"/>
        <v>#DIV/0!</v>
      </c>
      <c r="J33" s="83"/>
      <c r="N33" s="49"/>
      <c r="O33" s="50"/>
    </row>
    <row r="34">
      <c r="A34" s="82">
        <v>29.0</v>
      </c>
      <c r="B34" s="83"/>
      <c r="C34" s="84"/>
      <c r="D34" s="84"/>
      <c r="F34" s="82"/>
      <c r="G34" s="87" t="str">
        <f t="shared" si="5"/>
        <v>#DIV/0!</v>
      </c>
      <c r="I34" s="89" t="str">
        <f t="shared" si="6"/>
        <v>#DIV/0!</v>
      </c>
      <c r="J34" s="83"/>
      <c r="N34" s="49"/>
      <c r="O34" s="50"/>
    </row>
    <row r="35">
      <c r="A35" s="82">
        <v>30.0</v>
      </c>
      <c r="B35" s="83"/>
      <c r="C35" s="84"/>
      <c r="D35" s="84"/>
      <c r="F35" s="82"/>
      <c r="G35" s="87" t="str">
        <f t="shared" si="5"/>
        <v>#DIV/0!</v>
      </c>
      <c r="I35" s="89" t="str">
        <f t="shared" si="6"/>
        <v>#DIV/0!</v>
      </c>
      <c r="J35" s="83"/>
      <c r="N35" s="49"/>
      <c r="O35" s="50"/>
    </row>
    <row r="36">
      <c r="A36" s="82">
        <v>31.0</v>
      </c>
      <c r="B36" s="83"/>
      <c r="C36" s="84"/>
      <c r="D36" s="84"/>
      <c r="F36" s="82"/>
      <c r="G36" s="87" t="str">
        <f t="shared" si="5"/>
        <v>#DIV/0!</v>
      </c>
      <c r="I36" s="89" t="str">
        <f t="shared" si="6"/>
        <v>#DIV/0!</v>
      </c>
      <c r="J36" s="83"/>
      <c r="N36" s="49"/>
      <c r="O36" s="50"/>
    </row>
    <row r="37">
      <c r="A37" s="82">
        <v>32.0</v>
      </c>
      <c r="B37" s="83"/>
      <c r="C37" s="84"/>
      <c r="D37" s="84"/>
      <c r="F37" s="82"/>
      <c r="G37" s="87" t="str">
        <f t="shared" si="5"/>
        <v>#DIV/0!</v>
      </c>
      <c r="I37" s="89" t="str">
        <f t="shared" si="6"/>
        <v>#DIV/0!</v>
      </c>
      <c r="J37" s="83"/>
      <c r="N37" s="49"/>
      <c r="O37" s="50"/>
    </row>
    <row r="38">
      <c r="A38" s="82">
        <v>33.0</v>
      </c>
      <c r="B38" s="83"/>
      <c r="C38" s="84"/>
      <c r="D38" s="84"/>
      <c r="F38" s="82"/>
      <c r="G38" s="87" t="str">
        <f t="shared" si="5"/>
        <v>#DIV/0!</v>
      </c>
      <c r="I38" s="89" t="str">
        <f t="shared" si="6"/>
        <v>#DIV/0!</v>
      </c>
      <c r="J38" s="83"/>
      <c r="N38" s="49"/>
      <c r="O38" s="50"/>
    </row>
    <row r="39">
      <c r="A39" s="82">
        <v>34.0</v>
      </c>
      <c r="B39" s="83"/>
      <c r="C39" s="84"/>
      <c r="D39" s="84"/>
      <c r="F39" s="82"/>
      <c r="G39" s="87" t="str">
        <f t="shared" si="5"/>
        <v>#DIV/0!</v>
      </c>
      <c r="I39" s="89" t="str">
        <f t="shared" si="6"/>
        <v>#DIV/0!</v>
      </c>
      <c r="J39" s="83"/>
      <c r="N39" s="49"/>
      <c r="O39" s="50"/>
    </row>
    <row r="40">
      <c r="A40" s="82">
        <v>35.0</v>
      </c>
      <c r="B40" s="83"/>
      <c r="C40" s="84"/>
      <c r="D40" s="84"/>
      <c r="F40" s="82"/>
      <c r="G40" s="87" t="str">
        <f t="shared" si="5"/>
        <v>#DIV/0!</v>
      </c>
      <c r="I40" s="89" t="str">
        <f t="shared" si="6"/>
        <v>#DIV/0!</v>
      </c>
      <c r="J40" s="83"/>
      <c r="N40" s="49"/>
      <c r="O40" s="50"/>
    </row>
    <row r="41">
      <c r="A41" s="105">
        <v>36.0</v>
      </c>
      <c r="B41" s="106"/>
      <c r="C41" s="107"/>
      <c r="D41" s="107"/>
      <c r="E41" s="64"/>
      <c r="F41" s="105"/>
      <c r="G41" s="108" t="str">
        <f t="shared" si="5"/>
        <v>#DIV/0!</v>
      </c>
      <c r="H41" s="64"/>
      <c r="I41" s="110" t="str">
        <f t="shared" si="6"/>
        <v>#DIV/0!</v>
      </c>
      <c r="J41" s="106"/>
      <c r="K41" s="64"/>
      <c r="L41" s="64"/>
      <c r="M41" s="64"/>
      <c r="N41" s="68"/>
      <c r="O41" s="69"/>
    </row>
    <row r="42">
      <c r="A42" s="82">
        <v>37.0</v>
      </c>
      <c r="B42" s="83"/>
      <c r="C42" s="84"/>
      <c r="D42" s="84"/>
      <c r="E42" s="35" t="str">
        <f>CONCATENATE("CMMZ_P",CONTROLE!$B$3,"_D")</f>
        <v>CMMZ_P18_D</v>
      </c>
      <c r="F42" s="82"/>
      <c r="G42" s="87" t="str">
        <f t="shared" si="5"/>
        <v>#DIV/0!</v>
      </c>
      <c r="H42" s="88"/>
      <c r="I42" s="89" t="str">
        <f t="shared" ref="I42:I53" si="7">$H$42*G42</f>
        <v>#DIV/0!</v>
      </c>
      <c r="J42" s="83"/>
      <c r="K42" s="90" t="str">
        <f>SUM(I42:I53)</f>
        <v>#DIV/0!</v>
      </c>
      <c r="L42" s="92"/>
      <c r="M42" s="90"/>
      <c r="N42" s="93"/>
      <c r="O42" s="95"/>
    </row>
    <row r="43">
      <c r="A43" s="82">
        <v>38.0</v>
      </c>
      <c r="B43" s="83"/>
      <c r="C43" s="84"/>
      <c r="D43" s="84"/>
      <c r="F43" s="82"/>
      <c r="G43" s="87" t="str">
        <f t="shared" si="5"/>
        <v>#DIV/0!</v>
      </c>
      <c r="I43" s="89" t="str">
        <f t="shared" si="7"/>
        <v>#DIV/0!</v>
      </c>
      <c r="J43" s="83"/>
      <c r="N43" s="49"/>
      <c r="O43" s="50"/>
    </row>
    <row r="44">
      <c r="A44" s="82">
        <v>39.0</v>
      </c>
      <c r="B44" s="83"/>
      <c r="C44" s="84"/>
      <c r="D44" s="84"/>
      <c r="F44" s="82"/>
      <c r="G44" s="87" t="str">
        <f t="shared" si="5"/>
        <v>#DIV/0!</v>
      </c>
      <c r="I44" s="89" t="str">
        <f t="shared" si="7"/>
        <v>#DIV/0!</v>
      </c>
      <c r="J44" s="83"/>
      <c r="N44" s="49"/>
      <c r="O44" s="50"/>
    </row>
    <row r="45">
      <c r="A45" s="82">
        <v>40.0</v>
      </c>
      <c r="B45" s="83"/>
      <c r="C45" s="84"/>
      <c r="D45" s="84"/>
      <c r="F45" s="82"/>
      <c r="G45" s="87" t="str">
        <f t="shared" si="5"/>
        <v>#DIV/0!</v>
      </c>
      <c r="I45" s="89" t="str">
        <f t="shared" si="7"/>
        <v>#DIV/0!</v>
      </c>
      <c r="J45" s="83"/>
      <c r="N45" s="49"/>
      <c r="O45" s="50"/>
    </row>
    <row r="46">
      <c r="A46" s="82">
        <v>41.0</v>
      </c>
      <c r="B46" s="83"/>
      <c r="C46" s="84"/>
      <c r="D46" s="84"/>
      <c r="F46" s="82"/>
      <c r="G46" s="87" t="str">
        <f t="shared" si="5"/>
        <v>#DIV/0!</v>
      </c>
      <c r="I46" s="89" t="str">
        <f t="shared" si="7"/>
        <v>#DIV/0!</v>
      </c>
      <c r="J46" s="83"/>
      <c r="N46" s="49"/>
      <c r="O46" s="50"/>
    </row>
    <row r="47">
      <c r="A47" s="82">
        <v>42.0</v>
      </c>
      <c r="B47" s="83"/>
      <c r="C47" s="84"/>
      <c r="D47" s="84"/>
      <c r="F47" s="82"/>
      <c r="G47" s="87" t="str">
        <f t="shared" si="5"/>
        <v>#DIV/0!</v>
      </c>
      <c r="I47" s="89" t="str">
        <f t="shared" si="7"/>
        <v>#DIV/0!</v>
      </c>
      <c r="J47" s="83"/>
      <c r="N47" s="49"/>
      <c r="O47" s="50"/>
    </row>
    <row r="48">
      <c r="A48" s="82">
        <v>43.0</v>
      </c>
      <c r="B48" s="83"/>
      <c r="C48" s="84"/>
      <c r="D48" s="84"/>
      <c r="F48" s="82"/>
      <c r="G48" s="87" t="str">
        <f t="shared" si="5"/>
        <v>#DIV/0!</v>
      </c>
      <c r="I48" s="89" t="str">
        <f t="shared" si="7"/>
        <v>#DIV/0!</v>
      </c>
      <c r="J48" s="83"/>
      <c r="N48" s="49"/>
      <c r="O48" s="50"/>
    </row>
    <row r="49">
      <c r="A49" s="82">
        <v>44.0</v>
      </c>
      <c r="B49" s="83"/>
      <c r="C49" s="84"/>
      <c r="D49" s="84"/>
      <c r="F49" s="82"/>
      <c r="G49" s="87" t="str">
        <f t="shared" si="5"/>
        <v>#DIV/0!</v>
      </c>
      <c r="I49" s="89" t="str">
        <f t="shared" si="7"/>
        <v>#DIV/0!</v>
      </c>
      <c r="J49" s="83"/>
      <c r="N49" s="49"/>
      <c r="O49" s="50"/>
    </row>
    <row r="50">
      <c r="A50" s="82">
        <v>45.0</v>
      </c>
      <c r="B50" s="83"/>
      <c r="C50" s="84"/>
      <c r="D50" s="84"/>
      <c r="F50" s="82"/>
      <c r="G50" s="87" t="str">
        <f t="shared" si="5"/>
        <v>#DIV/0!</v>
      </c>
      <c r="I50" s="89" t="str">
        <f t="shared" si="7"/>
        <v>#DIV/0!</v>
      </c>
      <c r="J50" s="83"/>
      <c r="N50" s="49"/>
      <c r="O50" s="50"/>
    </row>
    <row r="51">
      <c r="A51" s="82">
        <v>46.0</v>
      </c>
      <c r="B51" s="83"/>
      <c r="C51" s="84"/>
      <c r="D51" s="84"/>
      <c r="F51" s="82"/>
      <c r="G51" s="87" t="str">
        <f t="shared" si="5"/>
        <v>#DIV/0!</v>
      </c>
      <c r="I51" s="89" t="str">
        <f t="shared" si="7"/>
        <v>#DIV/0!</v>
      </c>
      <c r="J51" s="83"/>
      <c r="N51" s="49"/>
      <c r="O51" s="50"/>
    </row>
    <row r="52">
      <c r="A52" s="82">
        <v>47.0</v>
      </c>
      <c r="B52" s="83"/>
      <c r="C52" s="84"/>
      <c r="D52" s="84"/>
      <c r="F52" s="82"/>
      <c r="G52" s="87" t="str">
        <f t="shared" si="5"/>
        <v>#DIV/0!</v>
      </c>
      <c r="I52" s="89" t="str">
        <f t="shared" si="7"/>
        <v>#DIV/0!</v>
      </c>
      <c r="J52" s="83"/>
      <c r="N52" s="49"/>
      <c r="O52" s="50"/>
    </row>
    <row r="53">
      <c r="A53" s="105">
        <v>48.0</v>
      </c>
      <c r="B53" s="106"/>
      <c r="C53" s="107"/>
      <c r="D53" s="107"/>
      <c r="E53" s="64"/>
      <c r="F53" s="105"/>
      <c r="G53" s="108" t="str">
        <f t="shared" si="5"/>
        <v>#DIV/0!</v>
      </c>
      <c r="H53" s="64"/>
      <c r="I53" s="110" t="str">
        <f t="shared" si="7"/>
        <v>#DIV/0!</v>
      </c>
      <c r="J53" s="106"/>
      <c r="K53" s="64"/>
      <c r="L53" s="64"/>
      <c r="M53" s="64"/>
      <c r="N53" s="68"/>
      <c r="O53" s="69"/>
    </row>
    <row r="54">
      <c r="A54" s="82">
        <v>49.0</v>
      </c>
      <c r="B54" s="83"/>
      <c r="C54" s="84"/>
      <c r="D54" s="84"/>
      <c r="E54" s="35" t="str">
        <f>CONCATENATE("CMMZ_P",CONTROLE!$B$3,"_E")</f>
        <v>CMMZ_P18_E</v>
      </c>
      <c r="F54" s="82"/>
      <c r="G54" s="87" t="str">
        <f t="shared" si="5"/>
        <v>#DIV/0!</v>
      </c>
      <c r="H54" s="88"/>
      <c r="I54" s="89" t="str">
        <f t="shared" ref="I54:I65" si="8">$H$54*G54</f>
        <v>#DIV/0!</v>
      </c>
      <c r="J54" s="83"/>
      <c r="K54" s="90" t="str">
        <f>SUM(I54:I65)</f>
        <v>#DIV/0!</v>
      </c>
      <c r="L54" s="92"/>
      <c r="M54" s="90"/>
      <c r="N54" s="93"/>
      <c r="O54" s="95"/>
    </row>
    <row r="55">
      <c r="A55" s="82">
        <v>50.0</v>
      </c>
      <c r="B55" s="83"/>
      <c r="C55" s="84"/>
      <c r="D55" s="84"/>
      <c r="F55" s="82"/>
      <c r="G55" s="87" t="str">
        <f t="shared" si="5"/>
        <v>#DIV/0!</v>
      </c>
      <c r="I55" s="89" t="str">
        <f t="shared" si="8"/>
        <v>#DIV/0!</v>
      </c>
      <c r="J55" s="83"/>
      <c r="N55" s="49"/>
      <c r="O55" s="50"/>
    </row>
    <row r="56">
      <c r="A56" s="82">
        <v>51.0</v>
      </c>
      <c r="B56" s="83"/>
      <c r="C56" s="84"/>
      <c r="D56" s="84"/>
      <c r="F56" s="82"/>
      <c r="G56" s="87" t="str">
        <f t="shared" si="5"/>
        <v>#DIV/0!</v>
      </c>
      <c r="I56" s="89" t="str">
        <f t="shared" si="8"/>
        <v>#DIV/0!</v>
      </c>
      <c r="J56" s="83"/>
      <c r="N56" s="49"/>
      <c r="O56" s="50"/>
    </row>
    <row r="57">
      <c r="A57" s="82">
        <v>52.0</v>
      </c>
      <c r="B57" s="83"/>
      <c r="C57" s="84"/>
      <c r="D57" s="84"/>
      <c r="F57" s="82"/>
      <c r="G57" s="87" t="str">
        <f t="shared" si="5"/>
        <v>#DIV/0!</v>
      </c>
      <c r="I57" s="89" t="str">
        <f t="shared" si="8"/>
        <v>#DIV/0!</v>
      </c>
      <c r="J57" s="83"/>
      <c r="N57" s="49"/>
      <c r="O57" s="50"/>
    </row>
    <row r="58">
      <c r="A58" s="82">
        <v>53.0</v>
      </c>
      <c r="B58" s="83"/>
      <c r="C58" s="84"/>
      <c r="D58" s="84"/>
      <c r="F58" s="82"/>
      <c r="G58" s="87" t="str">
        <f t="shared" si="5"/>
        <v>#DIV/0!</v>
      </c>
      <c r="I58" s="89" t="str">
        <f t="shared" si="8"/>
        <v>#DIV/0!</v>
      </c>
      <c r="J58" s="83"/>
      <c r="N58" s="49"/>
      <c r="O58" s="50"/>
    </row>
    <row r="59">
      <c r="A59" s="82">
        <v>54.0</v>
      </c>
      <c r="B59" s="83"/>
      <c r="C59" s="84"/>
      <c r="D59" s="84"/>
      <c r="F59" s="82"/>
      <c r="G59" s="87" t="str">
        <f t="shared" si="5"/>
        <v>#DIV/0!</v>
      </c>
      <c r="I59" s="89" t="str">
        <f t="shared" si="8"/>
        <v>#DIV/0!</v>
      </c>
      <c r="J59" s="83"/>
      <c r="N59" s="49"/>
      <c r="O59" s="50"/>
    </row>
    <row r="60">
      <c r="A60" s="82">
        <v>55.0</v>
      </c>
      <c r="B60" s="83"/>
      <c r="C60" s="84"/>
      <c r="D60" s="84"/>
      <c r="F60" s="82"/>
      <c r="G60" s="87" t="str">
        <f t="shared" si="5"/>
        <v>#DIV/0!</v>
      </c>
      <c r="I60" s="89" t="str">
        <f t="shared" si="8"/>
        <v>#DIV/0!</v>
      </c>
      <c r="J60" s="83"/>
      <c r="N60" s="49"/>
      <c r="O60" s="50"/>
    </row>
    <row r="61">
      <c r="A61" s="82">
        <v>56.0</v>
      </c>
      <c r="B61" s="83"/>
      <c r="C61" s="84"/>
      <c r="D61" s="84"/>
      <c r="F61" s="82"/>
      <c r="G61" s="87" t="str">
        <f t="shared" si="5"/>
        <v>#DIV/0!</v>
      </c>
      <c r="I61" s="89" t="str">
        <f t="shared" si="8"/>
        <v>#DIV/0!</v>
      </c>
      <c r="J61" s="83"/>
      <c r="N61" s="49"/>
      <c r="O61" s="50"/>
    </row>
    <row r="62">
      <c r="A62" s="82">
        <v>57.0</v>
      </c>
      <c r="B62" s="83"/>
      <c r="C62" s="84"/>
      <c r="D62" s="84"/>
      <c r="F62" s="82"/>
      <c r="G62" s="87" t="str">
        <f t="shared" si="5"/>
        <v>#DIV/0!</v>
      </c>
      <c r="I62" s="89" t="str">
        <f t="shared" si="8"/>
        <v>#DIV/0!</v>
      </c>
      <c r="J62" s="83"/>
      <c r="N62" s="49"/>
      <c r="O62" s="50"/>
    </row>
    <row r="63">
      <c r="A63" s="82">
        <v>58.0</v>
      </c>
      <c r="B63" s="83"/>
      <c r="C63" s="84"/>
      <c r="D63" s="84"/>
      <c r="F63" s="82"/>
      <c r="G63" s="87" t="str">
        <f t="shared" si="5"/>
        <v>#DIV/0!</v>
      </c>
      <c r="I63" s="89" t="str">
        <f t="shared" si="8"/>
        <v>#DIV/0!</v>
      </c>
      <c r="J63" s="83"/>
      <c r="N63" s="49"/>
      <c r="O63" s="50"/>
    </row>
    <row r="64">
      <c r="A64" s="82">
        <v>59.0</v>
      </c>
      <c r="B64" s="83"/>
      <c r="C64" s="84"/>
      <c r="D64" s="84"/>
      <c r="F64" s="82"/>
      <c r="G64" s="87" t="str">
        <f t="shared" si="5"/>
        <v>#DIV/0!</v>
      </c>
      <c r="I64" s="89" t="str">
        <f t="shared" si="8"/>
        <v>#DIV/0!</v>
      </c>
      <c r="J64" s="83"/>
      <c r="N64" s="49"/>
      <c r="O64" s="50"/>
    </row>
    <row r="65">
      <c r="A65" s="105">
        <v>60.0</v>
      </c>
      <c r="B65" s="106"/>
      <c r="C65" s="107"/>
      <c r="D65" s="107"/>
      <c r="E65" s="64"/>
      <c r="F65" s="105"/>
      <c r="G65" s="108" t="str">
        <f t="shared" si="5"/>
        <v>#DIV/0!</v>
      </c>
      <c r="H65" s="64"/>
      <c r="I65" s="110" t="str">
        <f t="shared" si="8"/>
        <v>#DIV/0!</v>
      </c>
      <c r="J65" s="106"/>
      <c r="K65" s="64"/>
      <c r="L65" s="64"/>
      <c r="M65" s="64"/>
      <c r="N65" s="68"/>
      <c r="O65" s="69"/>
    </row>
    <row r="66">
      <c r="A66" s="82">
        <v>61.0</v>
      </c>
      <c r="B66" s="83"/>
      <c r="C66" s="84"/>
      <c r="D66" s="84"/>
      <c r="E66" s="35" t="str">
        <f>CONCATENATE("CMMZ_P",CONTROLE!$B$3,"_F")</f>
        <v>CMMZ_P18_F</v>
      </c>
      <c r="F66" s="82"/>
      <c r="G66" s="87" t="str">
        <f t="shared" si="5"/>
        <v>#DIV/0!</v>
      </c>
      <c r="H66" s="88"/>
      <c r="I66" s="89" t="str">
        <f t="shared" ref="I66:I77" si="9">$H$66*G66</f>
        <v>#DIV/0!</v>
      </c>
      <c r="J66" s="83"/>
      <c r="K66" s="90" t="str">
        <f>SUM(I66:I77)</f>
        <v>#DIV/0!</v>
      </c>
      <c r="L66" s="92"/>
      <c r="M66" s="90"/>
      <c r="N66" s="93"/>
      <c r="O66" s="95"/>
    </row>
    <row r="67">
      <c r="A67" s="82">
        <v>62.0</v>
      </c>
      <c r="B67" s="83"/>
      <c r="C67" s="84"/>
      <c r="D67" s="84"/>
      <c r="F67" s="82"/>
      <c r="G67" s="87" t="str">
        <f t="shared" si="5"/>
        <v>#DIV/0!</v>
      </c>
      <c r="I67" s="89" t="str">
        <f t="shared" si="9"/>
        <v>#DIV/0!</v>
      </c>
      <c r="J67" s="83"/>
      <c r="N67" s="49"/>
      <c r="O67" s="50"/>
    </row>
    <row r="68">
      <c r="A68" s="82">
        <v>63.0</v>
      </c>
      <c r="B68" s="83"/>
      <c r="C68" s="84"/>
      <c r="D68" s="84"/>
      <c r="F68" s="82"/>
      <c r="G68" s="87" t="str">
        <f t="shared" si="5"/>
        <v>#DIV/0!</v>
      </c>
      <c r="I68" s="89" t="str">
        <f t="shared" si="9"/>
        <v>#DIV/0!</v>
      </c>
      <c r="J68" s="83"/>
      <c r="N68" s="49"/>
      <c r="O68" s="50"/>
    </row>
    <row r="69">
      <c r="A69" s="82">
        <v>64.0</v>
      </c>
      <c r="B69" s="83"/>
      <c r="C69" s="84"/>
      <c r="D69" s="84"/>
      <c r="F69" s="82"/>
      <c r="G69" s="87" t="str">
        <f t="shared" si="5"/>
        <v>#DIV/0!</v>
      </c>
      <c r="I69" s="89" t="str">
        <f t="shared" si="9"/>
        <v>#DIV/0!</v>
      </c>
      <c r="J69" s="83"/>
      <c r="N69" s="49"/>
      <c r="O69" s="50"/>
    </row>
    <row r="70">
      <c r="A70" s="82">
        <v>65.0</v>
      </c>
      <c r="B70" s="83"/>
      <c r="C70" s="84"/>
      <c r="D70" s="84"/>
      <c r="F70" s="82"/>
      <c r="G70" s="87" t="str">
        <f t="shared" si="5"/>
        <v>#DIV/0!</v>
      </c>
      <c r="I70" s="89" t="str">
        <f t="shared" si="9"/>
        <v>#DIV/0!</v>
      </c>
      <c r="J70" s="83"/>
      <c r="N70" s="49"/>
      <c r="O70" s="50"/>
    </row>
    <row r="71">
      <c r="A71" s="82">
        <v>66.0</v>
      </c>
      <c r="B71" s="83"/>
      <c r="C71" s="84"/>
      <c r="D71" s="84"/>
      <c r="F71" s="82"/>
      <c r="G71" s="87" t="str">
        <f t="shared" si="5"/>
        <v>#DIV/0!</v>
      </c>
      <c r="I71" s="89" t="str">
        <f t="shared" si="9"/>
        <v>#DIV/0!</v>
      </c>
      <c r="J71" s="83"/>
      <c r="N71" s="49"/>
      <c r="O71" s="50"/>
    </row>
    <row r="72">
      <c r="A72" s="82">
        <v>67.0</v>
      </c>
      <c r="B72" s="83"/>
      <c r="C72" s="84"/>
      <c r="D72" s="84"/>
      <c r="F72" s="82"/>
      <c r="G72" s="87" t="str">
        <f t="shared" si="5"/>
        <v>#DIV/0!</v>
      </c>
      <c r="I72" s="89" t="str">
        <f t="shared" si="9"/>
        <v>#DIV/0!</v>
      </c>
      <c r="J72" s="83"/>
      <c r="N72" s="49"/>
      <c r="O72" s="50"/>
    </row>
    <row r="73">
      <c r="A73" s="82">
        <v>68.0</v>
      </c>
      <c r="B73" s="83"/>
      <c r="C73" s="84"/>
      <c r="D73" s="84"/>
      <c r="F73" s="82"/>
      <c r="G73" s="87" t="str">
        <f t="shared" si="5"/>
        <v>#DIV/0!</v>
      </c>
      <c r="I73" s="89" t="str">
        <f t="shared" si="9"/>
        <v>#DIV/0!</v>
      </c>
      <c r="J73" s="83"/>
      <c r="N73" s="49"/>
      <c r="O73" s="50"/>
    </row>
    <row r="74">
      <c r="A74" s="82">
        <v>69.0</v>
      </c>
      <c r="B74" s="83"/>
      <c r="C74" s="84"/>
      <c r="D74" s="84"/>
      <c r="F74" s="82"/>
      <c r="G74" s="87" t="str">
        <f t="shared" si="5"/>
        <v>#DIV/0!</v>
      </c>
      <c r="I74" s="89" t="str">
        <f t="shared" si="9"/>
        <v>#DIV/0!</v>
      </c>
      <c r="J74" s="83"/>
      <c r="N74" s="49"/>
      <c r="O74" s="50"/>
    </row>
    <row r="75">
      <c r="A75" s="82">
        <v>70.0</v>
      </c>
      <c r="B75" s="83"/>
      <c r="C75" s="84"/>
      <c r="D75" s="84"/>
      <c r="F75" s="82"/>
      <c r="G75" s="87" t="str">
        <f t="shared" si="5"/>
        <v>#DIV/0!</v>
      </c>
      <c r="I75" s="89" t="str">
        <f t="shared" si="9"/>
        <v>#DIV/0!</v>
      </c>
      <c r="J75" s="83"/>
      <c r="N75" s="49"/>
      <c r="O75" s="50"/>
    </row>
    <row r="76">
      <c r="A76" s="82">
        <v>71.0</v>
      </c>
      <c r="B76" s="83"/>
      <c r="C76" s="84"/>
      <c r="D76" s="84"/>
      <c r="F76" s="82"/>
      <c r="G76" s="87" t="str">
        <f t="shared" si="5"/>
        <v>#DIV/0!</v>
      </c>
      <c r="I76" s="89" t="str">
        <f t="shared" si="9"/>
        <v>#DIV/0!</v>
      </c>
      <c r="J76" s="83"/>
      <c r="N76" s="49"/>
      <c r="O76" s="50"/>
    </row>
    <row r="77">
      <c r="A77" s="105">
        <v>72.0</v>
      </c>
      <c r="B77" s="106"/>
      <c r="C77" s="107"/>
      <c r="D77" s="107"/>
      <c r="E77" s="64"/>
      <c r="F77" s="105"/>
      <c r="G77" s="108" t="str">
        <f t="shared" si="5"/>
        <v>#DIV/0!</v>
      </c>
      <c r="H77" s="64"/>
      <c r="I77" s="110" t="str">
        <f t="shared" si="9"/>
        <v>#DIV/0!</v>
      </c>
      <c r="J77" s="106"/>
      <c r="K77" s="64"/>
      <c r="L77" s="64"/>
      <c r="M77" s="64"/>
      <c r="N77" s="68"/>
      <c r="O77" s="69"/>
    </row>
    <row r="78">
      <c r="A78" s="82">
        <v>73.0</v>
      </c>
      <c r="B78" s="83"/>
      <c r="C78" s="84"/>
      <c r="D78" s="84"/>
      <c r="E78" s="35" t="str">
        <f>CONCATENATE("CMMZ_P",CONTROLE!$B$3,"_G")</f>
        <v>CMMZ_P18_G</v>
      </c>
      <c r="F78" s="82"/>
      <c r="G78" s="87" t="str">
        <f t="shared" si="5"/>
        <v>#DIV/0!</v>
      </c>
      <c r="H78" s="88"/>
      <c r="I78" s="89" t="str">
        <f t="shared" ref="I78:I89" si="10">$H$78*G78</f>
        <v>#DIV/0!</v>
      </c>
      <c r="J78" s="83"/>
      <c r="K78" s="90" t="str">
        <f>SUM(I78:I89)</f>
        <v>#DIV/0!</v>
      </c>
      <c r="L78" s="92"/>
      <c r="M78" s="90"/>
      <c r="N78" s="93"/>
      <c r="O78" s="95"/>
    </row>
    <row r="79">
      <c r="A79" s="82">
        <v>74.0</v>
      </c>
      <c r="B79" s="83"/>
      <c r="C79" s="84"/>
      <c r="D79" s="84"/>
      <c r="F79" s="82"/>
      <c r="G79" s="87" t="str">
        <f t="shared" si="5"/>
        <v>#DIV/0!</v>
      </c>
      <c r="H79" s="88"/>
      <c r="I79" s="89" t="str">
        <f t="shared" si="10"/>
        <v>#DIV/0!</v>
      </c>
      <c r="J79" s="83"/>
      <c r="N79" s="49"/>
      <c r="O79" s="50"/>
    </row>
    <row r="80">
      <c r="A80" s="82">
        <v>75.0</v>
      </c>
      <c r="B80" s="83"/>
      <c r="C80" s="84"/>
      <c r="D80" s="84"/>
      <c r="F80" s="82"/>
      <c r="G80" s="87" t="str">
        <f t="shared" si="5"/>
        <v>#DIV/0!</v>
      </c>
      <c r="H80" s="88"/>
      <c r="I80" s="89" t="str">
        <f t="shared" si="10"/>
        <v>#DIV/0!</v>
      </c>
      <c r="J80" s="83"/>
      <c r="N80" s="49"/>
      <c r="O80" s="50"/>
    </row>
    <row r="81">
      <c r="A81" s="82">
        <v>76.0</v>
      </c>
      <c r="B81" s="83"/>
      <c r="C81" s="84"/>
      <c r="D81" s="84"/>
      <c r="F81" s="82"/>
      <c r="G81" s="87" t="str">
        <f t="shared" si="5"/>
        <v>#DIV/0!</v>
      </c>
      <c r="H81" s="88"/>
      <c r="I81" s="89" t="str">
        <f t="shared" si="10"/>
        <v>#DIV/0!</v>
      </c>
      <c r="J81" s="83"/>
      <c r="N81" s="49"/>
      <c r="O81" s="50"/>
    </row>
    <row r="82">
      <c r="A82" s="82">
        <v>77.0</v>
      </c>
      <c r="B82" s="83"/>
      <c r="C82" s="84"/>
      <c r="D82" s="84"/>
      <c r="F82" s="82"/>
      <c r="G82" s="87" t="str">
        <f t="shared" si="5"/>
        <v>#DIV/0!</v>
      </c>
      <c r="H82" s="88"/>
      <c r="I82" s="89" t="str">
        <f t="shared" si="10"/>
        <v>#DIV/0!</v>
      </c>
      <c r="J82" s="83"/>
      <c r="N82" s="49"/>
      <c r="O82" s="50"/>
    </row>
    <row r="83">
      <c r="A83" s="82">
        <v>78.0</v>
      </c>
      <c r="B83" s="83"/>
      <c r="C83" s="84"/>
      <c r="D83" s="84"/>
      <c r="F83" s="82"/>
      <c r="G83" s="87" t="str">
        <f t="shared" si="5"/>
        <v>#DIV/0!</v>
      </c>
      <c r="H83" s="88"/>
      <c r="I83" s="89" t="str">
        <f t="shared" si="10"/>
        <v>#DIV/0!</v>
      </c>
      <c r="J83" s="83"/>
      <c r="N83" s="49"/>
      <c r="O83" s="50"/>
    </row>
    <row r="84">
      <c r="A84" s="82">
        <v>79.0</v>
      </c>
      <c r="B84" s="83"/>
      <c r="C84" s="84"/>
      <c r="D84" s="84"/>
      <c r="F84" s="82"/>
      <c r="G84" s="87" t="str">
        <f t="shared" si="5"/>
        <v>#DIV/0!</v>
      </c>
      <c r="H84" s="88"/>
      <c r="I84" s="89" t="str">
        <f t="shared" si="10"/>
        <v>#DIV/0!</v>
      </c>
      <c r="J84" s="83"/>
      <c r="N84" s="49"/>
      <c r="O84" s="50"/>
    </row>
    <row r="85">
      <c r="A85" s="82">
        <v>80.0</v>
      </c>
      <c r="B85" s="83"/>
      <c r="C85" s="84"/>
      <c r="D85" s="84"/>
      <c r="F85" s="82"/>
      <c r="G85" s="87" t="str">
        <f t="shared" si="5"/>
        <v>#DIV/0!</v>
      </c>
      <c r="H85" s="88"/>
      <c r="I85" s="89" t="str">
        <f t="shared" si="10"/>
        <v>#DIV/0!</v>
      </c>
      <c r="J85" s="83"/>
      <c r="N85" s="49"/>
      <c r="O85" s="50"/>
    </row>
    <row r="86">
      <c r="A86" s="82">
        <v>81.0</v>
      </c>
      <c r="B86" s="83"/>
      <c r="C86" s="84"/>
      <c r="D86" s="84"/>
      <c r="F86" s="82"/>
      <c r="G86" s="87" t="str">
        <f t="shared" si="5"/>
        <v>#DIV/0!</v>
      </c>
      <c r="H86" s="88"/>
      <c r="I86" s="89" t="str">
        <f t="shared" si="10"/>
        <v>#DIV/0!</v>
      </c>
      <c r="J86" s="83"/>
      <c r="N86" s="49"/>
      <c r="O86" s="50"/>
    </row>
    <row r="87">
      <c r="A87" s="82">
        <v>82.0</v>
      </c>
      <c r="B87" s="83"/>
      <c r="C87" s="84"/>
      <c r="D87" s="84"/>
      <c r="F87" s="82"/>
      <c r="G87" s="87" t="str">
        <f t="shared" si="5"/>
        <v>#DIV/0!</v>
      </c>
      <c r="H87" s="88"/>
      <c r="I87" s="89" t="str">
        <f t="shared" si="10"/>
        <v>#DIV/0!</v>
      </c>
      <c r="J87" s="83"/>
      <c r="N87" s="49"/>
      <c r="O87" s="50"/>
    </row>
    <row r="88">
      <c r="A88" s="82">
        <v>83.0</v>
      </c>
      <c r="B88" s="83"/>
      <c r="C88" s="84"/>
      <c r="D88" s="84"/>
      <c r="F88" s="82"/>
      <c r="G88" s="87" t="str">
        <f t="shared" si="5"/>
        <v>#DIV/0!</v>
      </c>
      <c r="H88" s="88"/>
      <c r="I88" s="89" t="str">
        <f t="shared" si="10"/>
        <v>#DIV/0!</v>
      </c>
      <c r="J88" s="83"/>
      <c r="N88" s="49"/>
      <c r="O88" s="50"/>
    </row>
    <row r="89">
      <c r="A89" s="105">
        <v>84.0</v>
      </c>
      <c r="B89" s="106"/>
      <c r="C89" s="107"/>
      <c r="D89" s="107"/>
      <c r="E89" s="64"/>
      <c r="F89" s="105"/>
      <c r="G89" s="108" t="str">
        <f t="shared" si="5"/>
        <v>#DIV/0!</v>
      </c>
      <c r="H89" s="154"/>
      <c r="I89" s="110" t="str">
        <f t="shared" si="10"/>
        <v>#DIV/0!</v>
      </c>
      <c r="J89" s="106"/>
      <c r="K89" s="64"/>
      <c r="L89" s="64"/>
      <c r="M89" s="64"/>
      <c r="N89" s="68"/>
      <c r="O89" s="69"/>
    </row>
    <row r="90">
      <c r="A90" s="82">
        <v>85.0</v>
      </c>
      <c r="B90" s="83"/>
      <c r="C90" s="84"/>
      <c r="D90" s="84"/>
      <c r="E90" s="35" t="str">
        <f>CONCATENATE("CMMZ_P",CONTROLE!$B$3,"_H")</f>
        <v>CMMZ_P18_H</v>
      </c>
      <c r="F90" s="82"/>
      <c r="G90" s="87" t="str">
        <f t="shared" si="5"/>
        <v>#DIV/0!</v>
      </c>
      <c r="H90" s="88"/>
      <c r="I90" s="89" t="str">
        <f t="shared" ref="I90:I101" si="11">$H$90*G90</f>
        <v>#DIV/0!</v>
      </c>
      <c r="J90" s="83"/>
      <c r="K90" s="90" t="str">
        <f>SUM(I90:I101)</f>
        <v>#DIV/0!</v>
      </c>
      <c r="L90" s="92"/>
      <c r="M90" s="90"/>
      <c r="N90" s="93"/>
      <c r="O90" s="95"/>
    </row>
    <row r="91">
      <c r="A91" s="82">
        <v>86.0</v>
      </c>
      <c r="B91" s="83"/>
      <c r="C91" s="84"/>
      <c r="D91" s="84"/>
      <c r="F91" s="82"/>
      <c r="G91" s="87" t="str">
        <f t="shared" si="5"/>
        <v>#DIV/0!</v>
      </c>
      <c r="I91" s="89" t="str">
        <f t="shared" si="11"/>
        <v>#DIV/0!</v>
      </c>
      <c r="J91" s="83"/>
      <c r="N91" s="49"/>
      <c r="O91" s="50"/>
    </row>
    <row r="92">
      <c r="A92" s="82">
        <v>87.0</v>
      </c>
      <c r="B92" s="83"/>
      <c r="C92" s="84"/>
      <c r="D92" s="84"/>
      <c r="F92" s="82"/>
      <c r="G92" s="87" t="str">
        <f t="shared" si="5"/>
        <v>#DIV/0!</v>
      </c>
      <c r="I92" s="89" t="str">
        <f t="shared" si="11"/>
        <v>#DIV/0!</v>
      </c>
      <c r="J92" s="83"/>
      <c r="N92" s="49"/>
      <c r="O92" s="50"/>
    </row>
    <row r="93">
      <c r="A93" s="82">
        <v>88.0</v>
      </c>
      <c r="B93" s="83"/>
      <c r="C93" s="84"/>
      <c r="D93" s="84"/>
      <c r="F93" s="82"/>
      <c r="G93" s="87" t="str">
        <f t="shared" si="5"/>
        <v>#DIV/0!</v>
      </c>
      <c r="I93" s="89" t="str">
        <f t="shared" si="11"/>
        <v>#DIV/0!</v>
      </c>
      <c r="J93" s="83"/>
      <c r="N93" s="49"/>
      <c r="O93" s="50"/>
    </row>
    <row r="94">
      <c r="A94" s="82">
        <v>89.0</v>
      </c>
      <c r="B94" s="83"/>
      <c r="C94" s="84"/>
      <c r="D94" s="84"/>
      <c r="F94" s="82"/>
      <c r="G94" s="87" t="str">
        <f t="shared" si="5"/>
        <v>#DIV/0!</v>
      </c>
      <c r="I94" s="89" t="str">
        <f t="shared" si="11"/>
        <v>#DIV/0!</v>
      </c>
      <c r="J94" s="83"/>
      <c r="N94" s="49"/>
      <c r="O94" s="50"/>
    </row>
    <row r="95">
      <c r="A95" s="82">
        <v>90.0</v>
      </c>
      <c r="B95" s="83"/>
      <c r="C95" s="84"/>
      <c r="D95" s="84"/>
      <c r="F95" s="82"/>
      <c r="G95" s="87" t="str">
        <f t="shared" si="5"/>
        <v>#DIV/0!</v>
      </c>
      <c r="I95" s="89" t="str">
        <f t="shared" si="11"/>
        <v>#DIV/0!</v>
      </c>
      <c r="J95" s="83"/>
      <c r="N95" s="49"/>
      <c r="O95" s="50"/>
    </row>
    <row r="96">
      <c r="A96" s="82">
        <v>91.0</v>
      </c>
      <c r="B96" s="83"/>
      <c r="C96" s="84"/>
      <c r="D96" s="84"/>
      <c r="F96" s="82"/>
      <c r="G96" s="87" t="str">
        <f t="shared" si="5"/>
        <v>#DIV/0!</v>
      </c>
      <c r="I96" s="89" t="str">
        <f t="shared" si="11"/>
        <v>#DIV/0!</v>
      </c>
      <c r="J96" s="83"/>
      <c r="N96" s="49"/>
      <c r="O96" s="50"/>
    </row>
    <row r="97">
      <c r="A97" s="82">
        <v>92.0</v>
      </c>
      <c r="B97" s="83"/>
      <c r="C97" s="84"/>
      <c r="D97" s="84"/>
      <c r="F97" s="82"/>
      <c r="G97" s="87" t="str">
        <f t="shared" si="5"/>
        <v>#DIV/0!</v>
      </c>
      <c r="I97" s="89" t="str">
        <f t="shared" si="11"/>
        <v>#DIV/0!</v>
      </c>
      <c r="J97" s="83"/>
      <c r="N97" s="49"/>
      <c r="O97" s="50"/>
    </row>
    <row r="98">
      <c r="A98" s="82">
        <v>93.0</v>
      </c>
      <c r="B98" s="83"/>
      <c r="C98" s="84"/>
      <c r="D98" s="84"/>
      <c r="F98" s="82"/>
      <c r="G98" s="87" t="str">
        <f t="shared" si="5"/>
        <v>#DIV/0!</v>
      </c>
      <c r="I98" s="89" t="str">
        <f t="shared" si="11"/>
        <v>#DIV/0!</v>
      </c>
      <c r="J98" s="83"/>
      <c r="N98" s="49"/>
      <c r="O98" s="50"/>
    </row>
    <row r="99">
      <c r="A99" s="82">
        <v>94.0</v>
      </c>
      <c r="B99" s="83"/>
      <c r="C99" s="84"/>
      <c r="D99" s="84"/>
      <c r="F99" s="82"/>
      <c r="G99" s="87" t="str">
        <f t="shared" si="5"/>
        <v>#DIV/0!</v>
      </c>
      <c r="I99" s="89" t="str">
        <f t="shared" si="11"/>
        <v>#DIV/0!</v>
      </c>
      <c r="J99" s="83"/>
      <c r="N99" s="49"/>
      <c r="O99" s="50"/>
    </row>
    <row r="100">
      <c r="A100" s="82">
        <v>95.0</v>
      </c>
      <c r="B100" s="83"/>
      <c r="C100" s="84"/>
      <c r="D100" s="84"/>
      <c r="F100" s="82"/>
      <c r="G100" s="87" t="str">
        <f t="shared" si="5"/>
        <v>#DIV/0!</v>
      </c>
      <c r="I100" s="89" t="str">
        <f t="shared" si="11"/>
        <v>#DIV/0!</v>
      </c>
      <c r="J100" s="83"/>
      <c r="N100" s="49"/>
      <c r="O100" s="50"/>
    </row>
    <row r="101">
      <c r="A101" s="105">
        <v>96.0</v>
      </c>
      <c r="B101" s="106"/>
      <c r="C101" s="107"/>
      <c r="D101" s="107"/>
      <c r="E101" s="64"/>
      <c r="F101" s="105"/>
      <c r="G101" s="108" t="str">
        <f t="shared" si="5"/>
        <v>#DIV/0!</v>
      </c>
      <c r="H101" s="64"/>
      <c r="I101" s="110" t="str">
        <f t="shared" si="11"/>
        <v>#DIV/0!</v>
      </c>
      <c r="J101" s="106"/>
      <c r="K101" s="64"/>
      <c r="L101" s="64"/>
      <c r="M101" s="64"/>
      <c r="N101" s="68"/>
      <c r="O101" s="69"/>
    </row>
    <row r="102">
      <c r="A102" s="75"/>
      <c r="B102" s="83"/>
      <c r="C102" s="84"/>
      <c r="D102" s="84"/>
      <c r="E102" s="35"/>
      <c r="F102" s="82"/>
      <c r="G102" s="87"/>
      <c r="H102" s="88"/>
      <c r="I102" s="87"/>
      <c r="J102" s="83"/>
      <c r="K102" s="90"/>
      <c r="L102" s="90"/>
      <c r="M102" s="90"/>
      <c r="N102" s="90"/>
    </row>
    <row r="103">
      <c r="A103" s="75"/>
      <c r="B103" s="83"/>
      <c r="C103" s="84"/>
      <c r="D103" s="84"/>
      <c r="E103" s="35"/>
      <c r="F103" s="82"/>
      <c r="G103" s="87"/>
      <c r="H103" s="88"/>
      <c r="I103" s="87"/>
      <c r="J103" s="83"/>
      <c r="K103" s="90"/>
      <c r="L103" s="90"/>
      <c r="M103" s="90"/>
      <c r="N103" s="90"/>
    </row>
    <row r="104">
      <c r="A104" s="75"/>
      <c r="B104" s="83"/>
      <c r="C104" s="84"/>
      <c r="D104" s="84"/>
      <c r="E104" s="35"/>
      <c r="F104" s="82"/>
      <c r="G104" s="87"/>
      <c r="H104" s="88"/>
      <c r="I104" s="87"/>
      <c r="J104" s="83"/>
      <c r="K104" s="90"/>
      <c r="L104" s="90"/>
      <c r="M104" s="90"/>
      <c r="N104" s="90"/>
    </row>
    <row r="105">
      <c r="A105" s="75"/>
      <c r="B105" s="178"/>
      <c r="C105" s="75"/>
      <c r="D105" s="75"/>
      <c r="E105" s="75"/>
      <c r="F105" s="181"/>
      <c r="G105" s="75"/>
      <c r="H105" s="75"/>
      <c r="I105" s="75"/>
      <c r="J105" s="178"/>
      <c r="K105" s="75"/>
      <c r="L105" s="75"/>
      <c r="M105" s="75"/>
      <c r="N105" s="75"/>
    </row>
    <row r="106">
      <c r="A106" s="75"/>
      <c r="B106" s="178"/>
      <c r="C106" s="75"/>
      <c r="D106" s="75"/>
      <c r="E106" s="75"/>
      <c r="F106" s="181"/>
      <c r="G106" s="75"/>
      <c r="H106" s="75"/>
      <c r="I106" s="75"/>
      <c r="J106" s="178"/>
      <c r="K106" s="75"/>
      <c r="L106" s="75"/>
      <c r="M106" s="75"/>
      <c r="N106" s="75"/>
    </row>
    <row r="107">
      <c r="A107" s="75"/>
      <c r="B107" s="178"/>
      <c r="C107" s="75"/>
      <c r="D107" s="75"/>
      <c r="E107" s="75"/>
      <c r="F107" s="181"/>
      <c r="G107" s="75"/>
      <c r="H107" s="75"/>
      <c r="I107" s="75"/>
      <c r="J107" s="178"/>
      <c r="K107" s="75"/>
      <c r="L107" s="75"/>
      <c r="M107" s="75"/>
      <c r="N107" s="75"/>
    </row>
    <row r="108">
      <c r="A108" s="75"/>
      <c r="B108" s="178"/>
      <c r="C108" s="75"/>
      <c r="D108" s="75"/>
      <c r="E108" s="75"/>
      <c r="F108" s="181"/>
      <c r="G108" s="75"/>
      <c r="H108" s="75"/>
      <c r="I108" s="75"/>
      <c r="J108" s="178"/>
      <c r="K108" s="75"/>
      <c r="L108" s="75"/>
      <c r="M108" s="75"/>
      <c r="N108" s="75"/>
    </row>
    <row r="109">
      <c r="A109" s="75"/>
      <c r="B109" s="178"/>
      <c r="C109" s="75"/>
      <c r="D109" s="75"/>
      <c r="E109" s="75"/>
      <c r="F109" s="181"/>
      <c r="G109" s="75"/>
      <c r="H109" s="75"/>
      <c r="I109" s="75"/>
      <c r="J109" s="178"/>
      <c r="K109" s="75"/>
      <c r="L109" s="75"/>
      <c r="M109" s="75"/>
      <c r="N109" s="75"/>
    </row>
    <row r="110">
      <c r="A110" s="75"/>
      <c r="B110" s="178"/>
      <c r="C110" s="75"/>
      <c r="D110" s="75"/>
      <c r="E110" s="75"/>
      <c r="F110" s="181"/>
      <c r="G110" s="75"/>
      <c r="H110" s="75"/>
      <c r="I110" s="75"/>
      <c r="J110" s="178"/>
      <c r="K110" s="75"/>
      <c r="L110" s="75"/>
      <c r="M110" s="75"/>
      <c r="N110" s="75"/>
    </row>
    <row r="111">
      <c r="A111" s="75"/>
      <c r="B111" s="178"/>
      <c r="C111" s="75"/>
      <c r="D111" s="75"/>
      <c r="E111" s="75"/>
      <c r="F111" s="181"/>
      <c r="G111" s="75"/>
      <c r="H111" s="75"/>
      <c r="I111" s="75"/>
      <c r="J111" s="178"/>
      <c r="K111" s="75"/>
      <c r="L111" s="75"/>
      <c r="M111" s="75"/>
      <c r="N111" s="75"/>
    </row>
    <row r="112">
      <c r="A112" s="75"/>
      <c r="B112" s="178"/>
      <c r="C112" s="75"/>
      <c r="D112" s="75"/>
      <c r="E112" s="75"/>
      <c r="F112" s="181"/>
      <c r="G112" s="75"/>
      <c r="H112" s="75"/>
      <c r="I112" s="75"/>
      <c r="J112" s="178"/>
      <c r="K112" s="75"/>
      <c r="L112" s="75"/>
      <c r="M112" s="75"/>
      <c r="N112" s="75"/>
    </row>
    <row r="113">
      <c r="A113" s="75"/>
      <c r="B113" s="178"/>
      <c r="C113" s="75"/>
      <c r="D113" s="75"/>
      <c r="E113" s="75"/>
      <c r="F113" s="181"/>
      <c r="G113" s="75"/>
      <c r="H113" s="75"/>
      <c r="I113" s="75"/>
      <c r="J113" s="178"/>
      <c r="K113" s="75"/>
      <c r="L113" s="75"/>
      <c r="M113" s="75"/>
      <c r="N113" s="75"/>
    </row>
    <row r="114">
      <c r="A114" s="75"/>
      <c r="B114" s="178"/>
      <c r="C114" s="75"/>
      <c r="D114" s="75"/>
      <c r="E114" s="75"/>
      <c r="F114" s="181"/>
      <c r="G114" s="75"/>
      <c r="H114" s="75"/>
      <c r="I114" s="75"/>
      <c r="J114" s="178"/>
      <c r="K114" s="75"/>
      <c r="L114" s="75"/>
      <c r="M114" s="75"/>
      <c r="N114" s="75"/>
    </row>
    <row r="115">
      <c r="A115" s="75"/>
      <c r="B115" s="178"/>
      <c r="C115" s="75"/>
      <c r="D115" s="75"/>
      <c r="E115" s="75"/>
      <c r="F115" s="181"/>
      <c r="G115" s="75"/>
      <c r="H115" s="75"/>
      <c r="I115" s="75"/>
      <c r="J115" s="178"/>
      <c r="K115" s="75"/>
      <c r="L115" s="75"/>
      <c r="M115" s="75"/>
      <c r="N115" s="75"/>
    </row>
    <row r="116">
      <c r="A116" s="75"/>
      <c r="B116" s="178"/>
      <c r="C116" s="75"/>
      <c r="D116" s="75"/>
      <c r="E116" s="75"/>
      <c r="F116" s="181"/>
      <c r="G116" s="75"/>
      <c r="H116" s="75"/>
      <c r="I116" s="75"/>
      <c r="J116" s="178"/>
      <c r="K116" s="75"/>
      <c r="L116" s="75"/>
      <c r="M116" s="75"/>
      <c r="N116" s="75"/>
    </row>
    <row r="117">
      <c r="A117" s="75"/>
      <c r="B117" s="178"/>
      <c r="C117" s="75"/>
      <c r="D117" s="75"/>
      <c r="E117" s="75"/>
      <c r="F117" s="181"/>
      <c r="G117" s="75"/>
      <c r="H117" s="75"/>
      <c r="I117" s="75"/>
      <c r="J117" s="178"/>
      <c r="K117" s="75"/>
      <c r="L117" s="75"/>
      <c r="M117" s="75"/>
      <c r="N117" s="75"/>
    </row>
    <row r="118">
      <c r="A118" s="75"/>
      <c r="B118" s="178"/>
      <c r="C118" s="75"/>
      <c r="D118" s="75"/>
      <c r="E118" s="75"/>
      <c r="F118" s="181"/>
      <c r="G118" s="75"/>
      <c r="H118" s="75"/>
      <c r="I118" s="75"/>
      <c r="J118" s="178"/>
      <c r="K118" s="75"/>
      <c r="L118" s="75"/>
      <c r="M118" s="75"/>
      <c r="N118" s="75"/>
    </row>
    <row r="119">
      <c r="A119" s="75"/>
      <c r="B119" s="178"/>
      <c r="C119" s="75"/>
      <c r="D119" s="75"/>
      <c r="E119" s="75"/>
      <c r="F119" s="181"/>
      <c r="G119" s="75"/>
      <c r="H119" s="75"/>
      <c r="I119" s="75"/>
      <c r="J119" s="178"/>
      <c r="K119" s="75"/>
      <c r="L119" s="75"/>
      <c r="M119" s="75"/>
      <c r="N119" s="75"/>
    </row>
    <row r="120">
      <c r="A120" s="75"/>
      <c r="B120" s="178"/>
      <c r="C120" s="75"/>
      <c r="D120" s="75"/>
      <c r="E120" s="75"/>
      <c r="F120" s="181"/>
      <c r="G120" s="75"/>
      <c r="H120" s="75"/>
      <c r="I120" s="75"/>
      <c r="J120" s="178"/>
      <c r="K120" s="75"/>
      <c r="L120" s="75"/>
      <c r="M120" s="75"/>
      <c r="N120" s="75"/>
    </row>
    <row r="121">
      <c r="A121" s="75"/>
      <c r="B121" s="178"/>
      <c r="C121" s="75"/>
      <c r="D121" s="75"/>
      <c r="E121" s="75"/>
      <c r="F121" s="181"/>
      <c r="G121" s="75"/>
      <c r="H121" s="75"/>
      <c r="I121" s="75"/>
      <c r="J121" s="178"/>
      <c r="K121" s="75"/>
      <c r="L121" s="75"/>
      <c r="M121" s="75"/>
      <c r="N121" s="75"/>
    </row>
    <row r="122">
      <c r="A122" s="75"/>
      <c r="B122" s="178"/>
      <c r="C122" s="75"/>
      <c r="D122" s="75"/>
      <c r="E122" s="75"/>
      <c r="F122" s="181"/>
      <c r="G122" s="75"/>
      <c r="H122" s="75"/>
      <c r="I122" s="75"/>
      <c r="J122" s="178"/>
      <c r="K122" s="75"/>
      <c r="L122" s="75"/>
      <c r="M122" s="75"/>
      <c r="N122" s="75"/>
    </row>
    <row r="123">
      <c r="A123" s="75"/>
      <c r="B123" s="178"/>
      <c r="C123" s="75"/>
      <c r="D123" s="75"/>
      <c r="E123" s="75"/>
      <c r="F123" s="181"/>
      <c r="G123" s="75"/>
      <c r="H123" s="75"/>
      <c r="I123" s="75"/>
      <c r="J123" s="178"/>
      <c r="K123" s="75"/>
      <c r="L123" s="75"/>
      <c r="M123" s="75"/>
      <c r="N123" s="75"/>
    </row>
    <row r="124">
      <c r="A124" s="75"/>
      <c r="B124" s="178"/>
      <c r="C124" s="75"/>
      <c r="D124" s="75"/>
      <c r="E124" s="75"/>
      <c r="F124" s="181"/>
      <c r="G124" s="75"/>
      <c r="H124" s="75"/>
      <c r="I124" s="75"/>
      <c r="J124" s="178"/>
      <c r="K124" s="75"/>
      <c r="L124" s="75"/>
      <c r="M124" s="75"/>
      <c r="N124" s="75"/>
    </row>
    <row r="125">
      <c r="A125" s="75"/>
      <c r="B125" s="178"/>
      <c r="C125" s="75"/>
      <c r="D125" s="75"/>
      <c r="E125" s="75"/>
      <c r="F125" s="181"/>
      <c r="G125" s="75"/>
      <c r="H125" s="75"/>
      <c r="I125" s="75"/>
      <c r="J125" s="178"/>
      <c r="K125" s="75"/>
      <c r="L125" s="75"/>
      <c r="M125" s="75"/>
      <c r="N125" s="75"/>
    </row>
    <row r="126">
      <c r="A126" s="75"/>
      <c r="B126" s="178"/>
      <c r="C126" s="75"/>
      <c r="D126" s="75"/>
      <c r="E126" s="75"/>
      <c r="F126" s="181"/>
      <c r="G126" s="75"/>
      <c r="H126" s="75"/>
      <c r="I126" s="75"/>
      <c r="J126" s="178"/>
      <c r="K126" s="75"/>
      <c r="L126" s="75"/>
      <c r="M126" s="75"/>
      <c r="N126" s="75"/>
    </row>
    <row r="127">
      <c r="A127" s="75"/>
      <c r="B127" s="178"/>
      <c r="C127" s="75"/>
      <c r="D127" s="75"/>
      <c r="E127" s="75"/>
      <c r="F127" s="181"/>
      <c r="G127" s="75"/>
      <c r="H127" s="75"/>
      <c r="I127" s="75"/>
      <c r="J127" s="178"/>
      <c r="K127" s="75"/>
      <c r="L127" s="75"/>
      <c r="M127" s="75"/>
      <c r="N127" s="75"/>
    </row>
    <row r="128">
      <c r="A128" s="75"/>
      <c r="B128" s="178"/>
      <c r="C128" s="75"/>
      <c r="D128" s="75"/>
      <c r="E128" s="75"/>
      <c r="F128" s="181"/>
      <c r="G128" s="75"/>
      <c r="H128" s="75"/>
      <c r="I128" s="75"/>
      <c r="J128" s="178"/>
      <c r="K128" s="75"/>
      <c r="L128" s="75"/>
      <c r="M128" s="75"/>
      <c r="N128" s="75"/>
    </row>
    <row r="129">
      <c r="A129" s="75"/>
      <c r="B129" s="178"/>
      <c r="C129" s="75"/>
      <c r="D129" s="75"/>
      <c r="E129" s="75"/>
      <c r="F129" s="181"/>
      <c r="G129" s="75"/>
      <c r="H129" s="75"/>
      <c r="I129" s="75"/>
      <c r="J129" s="178"/>
      <c r="K129" s="75"/>
      <c r="L129" s="75"/>
      <c r="M129" s="75"/>
      <c r="N129" s="75"/>
    </row>
    <row r="130">
      <c r="A130" s="75"/>
      <c r="B130" s="178"/>
      <c r="C130" s="75"/>
      <c r="D130" s="75"/>
      <c r="E130" s="75"/>
      <c r="F130" s="181"/>
      <c r="G130" s="75"/>
      <c r="H130" s="75"/>
      <c r="I130" s="75"/>
      <c r="J130" s="178"/>
      <c r="K130" s="75"/>
      <c r="L130" s="75"/>
      <c r="M130" s="75"/>
      <c r="N130" s="75"/>
    </row>
    <row r="131">
      <c r="A131" s="75"/>
      <c r="B131" s="178"/>
      <c r="C131" s="75"/>
      <c r="D131" s="75"/>
      <c r="E131" s="75"/>
      <c r="F131" s="181"/>
      <c r="G131" s="75"/>
      <c r="H131" s="75"/>
      <c r="I131" s="75"/>
      <c r="J131" s="178"/>
      <c r="K131" s="75"/>
      <c r="L131" s="75"/>
      <c r="M131" s="75"/>
      <c r="N131" s="75"/>
    </row>
    <row r="132">
      <c r="A132" s="75"/>
      <c r="B132" s="178"/>
      <c r="C132" s="75"/>
      <c r="D132" s="75"/>
      <c r="E132" s="75"/>
      <c r="F132" s="181"/>
      <c r="G132" s="75"/>
      <c r="H132" s="75"/>
      <c r="I132" s="75"/>
      <c r="J132" s="178"/>
      <c r="K132" s="75"/>
      <c r="L132" s="75"/>
      <c r="M132" s="75"/>
      <c r="N132" s="75"/>
    </row>
    <row r="133">
      <c r="A133" s="75"/>
      <c r="B133" s="178"/>
      <c r="C133" s="75"/>
      <c r="D133" s="75"/>
      <c r="E133" s="75"/>
      <c r="F133" s="181"/>
      <c r="G133" s="75"/>
      <c r="H133" s="75"/>
      <c r="I133" s="75"/>
      <c r="J133" s="178"/>
      <c r="K133" s="75"/>
      <c r="L133" s="75"/>
      <c r="M133" s="75"/>
      <c r="N133" s="75"/>
    </row>
    <row r="134">
      <c r="A134" s="75"/>
      <c r="B134" s="178"/>
      <c r="C134" s="75"/>
      <c r="D134" s="75"/>
      <c r="E134" s="75"/>
      <c r="F134" s="181"/>
      <c r="G134" s="75"/>
      <c r="H134" s="75"/>
      <c r="I134" s="75"/>
      <c r="J134" s="178"/>
      <c r="K134" s="75"/>
      <c r="L134" s="75"/>
      <c r="M134" s="75"/>
      <c r="N134" s="75"/>
    </row>
    <row r="135">
      <c r="A135" s="75"/>
      <c r="B135" s="178"/>
      <c r="C135" s="75"/>
      <c r="D135" s="75"/>
      <c r="E135" s="75"/>
      <c r="F135" s="181"/>
      <c r="G135" s="75"/>
      <c r="H135" s="75"/>
      <c r="I135" s="75"/>
      <c r="J135" s="178"/>
      <c r="K135" s="75"/>
      <c r="L135" s="75"/>
      <c r="M135" s="75"/>
      <c r="N135" s="75"/>
    </row>
    <row r="136">
      <c r="A136" s="75"/>
      <c r="B136" s="178"/>
      <c r="C136" s="75"/>
      <c r="D136" s="75"/>
      <c r="E136" s="75"/>
      <c r="F136" s="181"/>
      <c r="G136" s="75"/>
      <c r="H136" s="75"/>
      <c r="I136" s="75"/>
      <c r="J136" s="178"/>
      <c r="K136" s="75"/>
      <c r="L136" s="75"/>
      <c r="M136" s="75"/>
      <c r="N136" s="75"/>
    </row>
    <row r="137">
      <c r="A137" s="75"/>
      <c r="B137" s="178"/>
      <c r="C137" s="75"/>
      <c r="D137" s="75"/>
      <c r="E137" s="75"/>
      <c r="F137" s="181"/>
      <c r="G137" s="75"/>
      <c r="H137" s="75"/>
      <c r="I137" s="75"/>
      <c r="J137" s="178"/>
      <c r="K137" s="75"/>
      <c r="L137" s="75"/>
      <c r="M137" s="75"/>
      <c r="N137" s="75"/>
    </row>
    <row r="138">
      <c r="A138" s="75"/>
      <c r="B138" s="178"/>
      <c r="C138" s="75"/>
      <c r="D138" s="75"/>
      <c r="E138" s="75"/>
      <c r="F138" s="181"/>
      <c r="G138" s="75"/>
      <c r="H138" s="75"/>
      <c r="I138" s="75"/>
      <c r="J138" s="178"/>
      <c r="K138" s="75"/>
      <c r="L138" s="75"/>
      <c r="M138" s="75"/>
      <c r="N138" s="75"/>
    </row>
    <row r="139">
      <c r="A139" s="75"/>
      <c r="B139" s="178"/>
      <c r="C139" s="75"/>
      <c r="D139" s="75"/>
      <c r="E139" s="75"/>
      <c r="F139" s="181"/>
      <c r="G139" s="75"/>
      <c r="H139" s="75"/>
      <c r="I139" s="75"/>
      <c r="J139" s="178"/>
      <c r="K139" s="75"/>
      <c r="L139" s="75"/>
      <c r="M139" s="75"/>
      <c r="N139" s="75"/>
    </row>
    <row r="140">
      <c r="A140" s="75"/>
      <c r="B140" s="178"/>
      <c r="C140" s="75"/>
      <c r="D140" s="75"/>
      <c r="E140" s="75"/>
      <c r="F140" s="181"/>
      <c r="G140" s="75"/>
      <c r="H140" s="75"/>
      <c r="I140" s="75"/>
      <c r="J140" s="178"/>
      <c r="K140" s="75"/>
      <c r="L140" s="75"/>
      <c r="M140" s="75"/>
      <c r="N140" s="75"/>
    </row>
    <row r="141">
      <c r="A141" s="75"/>
      <c r="B141" s="178"/>
      <c r="C141" s="75"/>
      <c r="D141" s="75"/>
      <c r="E141" s="75"/>
      <c r="F141" s="181"/>
      <c r="G141" s="75"/>
      <c r="H141" s="75"/>
      <c r="I141" s="75"/>
      <c r="J141" s="178"/>
      <c r="K141" s="75"/>
      <c r="L141" s="75"/>
      <c r="M141" s="75"/>
      <c r="N141" s="75"/>
    </row>
    <row r="142">
      <c r="A142" s="75"/>
      <c r="B142" s="178"/>
      <c r="C142" s="75"/>
      <c r="D142" s="75"/>
      <c r="E142" s="75"/>
      <c r="F142" s="181"/>
      <c r="G142" s="75"/>
      <c r="H142" s="75"/>
      <c r="I142" s="75"/>
      <c r="J142" s="178"/>
      <c r="K142" s="75"/>
      <c r="L142" s="75"/>
      <c r="M142" s="75"/>
      <c r="N142" s="75"/>
    </row>
    <row r="143">
      <c r="A143" s="75"/>
      <c r="B143" s="178"/>
      <c r="C143" s="75"/>
      <c r="D143" s="75"/>
      <c r="E143" s="75"/>
      <c r="F143" s="181"/>
      <c r="G143" s="75"/>
      <c r="H143" s="75"/>
      <c r="I143" s="75"/>
      <c r="J143" s="178"/>
      <c r="K143" s="75"/>
      <c r="L143" s="75"/>
      <c r="M143" s="75"/>
      <c r="N143" s="75"/>
    </row>
    <row r="144">
      <c r="A144" s="75"/>
      <c r="B144" s="178"/>
      <c r="C144" s="75"/>
      <c r="D144" s="75"/>
      <c r="E144" s="75"/>
      <c r="F144" s="181"/>
      <c r="G144" s="75"/>
      <c r="H144" s="75"/>
      <c r="I144" s="75"/>
      <c r="J144" s="178"/>
      <c r="K144" s="75"/>
      <c r="L144" s="75"/>
      <c r="M144" s="75"/>
      <c r="N144" s="75"/>
    </row>
    <row r="145">
      <c r="A145" s="75"/>
      <c r="B145" s="178"/>
      <c r="C145" s="75"/>
      <c r="D145" s="75"/>
      <c r="E145" s="75"/>
      <c r="F145" s="181"/>
      <c r="G145" s="75"/>
      <c r="H145" s="75"/>
      <c r="I145" s="75"/>
      <c r="J145" s="178"/>
      <c r="K145" s="75"/>
      <c r="L145" s="75"/>
      <c r="M145" s="75"/>
      <c r="N145" s="75"/>
    </row>
    <row r="146">
      <c r="A146" s="75"/>
      <c r="B146" s="178"/>
      <c r="C146" s="75"/>
      <c r="D146" s="75"/>
      <c r="E146" s="75"/>
      <c r="F146" s="181"/>
      <c r="G146" s="75"/>
      <c r="H146" s="75"/>
      <c r="I146" s="75"/>
      <c r="J146" s="178"/>
      <c r="K146" s="75"/>
      <c r="L146" s="75"/>
      <c r="M146" s="75"/>
      <c r="N146" s="75"/>
    </row>
    <row r="147">
      <c r="A147" s="75"/>
      <c r="B147" s="178"/>
      <c r="C147" s="75"/>
      <c r="D147" s="75"/>
      <c r="E147" s="75"/>
      <c r="F147" s="181"/>
      <c r="G147" s="75"/>
      <c r="H147" s="75"/>
      <c r="I147" s="75"/>
      <c r="J147" s="178"/>
      <c r="K147" s="75"/>
      <c r="L147" s="75"/>
      <c r="M147" s="75"/>
      <c r="N147" s="75"/>
    </row>
    <row r="148">
      <c r="A148" s="75"/>
      <c r="B148" s="178"/>
      <c r="C148" s="75"/>
      <c r="D148" s="75"/>
      <c r="E148" s="75"/>
      <c r="F148" s="181"/>
      <c r="G148" s="75"/>
      <c r="H148" s="75"/>
      <c r="I148" s="75"/>
      <c r="J148" s="178"/>
      <c r="K148" s="75"/>
      <c r="L148" s="75"/>
      <c r="M148" s="75"/>
      <c r="N148" s="75"/>
    </row>
    <row r="149">
      <c r="A149" s="75"/>
      <c r="B149" s="178"/>
      <c r="C149" s="75"/>
      <c r="D149" s="75"/>
      <c r="E149" s="75"/>
      <c r="F149" s="181"/>
      <c r="G149" s="75"/>
      <c r="H149" s="75"/>
      <c r="I149" s="75"/>
      <c r="J149" s="178"/>
      <c r="K149" s="75"/>
      <c r="L149" s="75"/>
      <c r="M149" s="75"/>
      <c r="N149" s="75"/>
    </row>
    <row r="150">
      <c r="A150" s="75"/>
      <c r="B150" s="178"/>
      <c r="C150" s="75"/>
      <c r="D150" s="75"/>
      <c r="E150" s="75"/>
      <c r="F150" s="181"/>
      <c r="G150" s="75"/>
      <c r="H150" s="75"/>
      <c r="I150" s="75"/>
      <c r="J150" s="178"/>
      <c r="K150" s="75"/>
      <c r="L150" s="75"/>
      <c r="M150" s="75"/>
      <c r="N150" s="75"/>
    </row>
    <row r="151">
      <c r="A151" s="75"/>
      <c r="B151" s="178"/>
      <c r="C151" s="75"/>
      <c r="D151" s="75"/>
      <c r="E151" s="75"/>
      <c r="F151" s="181"/>
      <c r="G151" s="75"/>
      <c r="H151" s="75"/>
      <c r="I151" s="75"/>
      <c r="J151" s="178"/>
      <c r="K151" s="75"/>
      <c r="L151" s="75"/>
      <c r="M151" s="75"/>
      <c r="N151" s="75"/>
    </row>
    <row r="152">
      <c r="A152" s="75"/>
      <c r="B152" s="178"/>
      <c r="C152" s="75"/>
      <c r="D152" s="75"/>
      <c r="E152" s="75"/>
      <c r="F152" s="181"/>
      <c r="G152" s="75"/>
      <c r="H152" s="75"/>
      <c r="I152" s="75"/>
      <c r="J152" s="178"/>
      <c r="K152" s="75"/>
      <c r="L152" s="75"/>
      <c r="M152" s="75"/>
      <c r="N152" s="75"/>
    </row>
    <row r="153">
      <c r="A153" s="75"/>
      <c r="B153" s="178"/>
      <c r="C153" s="75"/>
      <c r="D153" s="75"/>
      <c r="E153" s="75"/>
      <c r="F153" s="181"/>
      <c r="G153" s="75"/>
      <c r="H153" s="75"/>
      <c r="I153" s="75"/>
      <c r="J153" s="178"/>
      <c r="K153" s="75"/>
      <c r="L153" s="75"/>
      <c r="M153" s="75"/>
      <c r="N153" s="75"/>
    </row>
    <row r="154">
      <c r="A154" s="75"/>
      <c r="B154" s="178"/>
      <c r="C154" s="75"/>
      <c r="D154" s="75"/>
      <c r="E154" s="75"/>
      <c r="F154" s="181"/>
      <c r="G154" s="75"/>
      <c r="H154" s="75"/>
      <c r="I154" s="75"/>
      <c r="J154" s="178"/>
      <c r="K154" s="75"/>
      <c r="L154" s="75"/>
      <c r="M154" s="75"/>
      <c r="N154" s="75"/>
    </row>
    <row r="155">
      <c r="A155" s="75"/>
      <c r="B155" s="178"/>
      <c r="C155" s="75"/>
      <c r="D155" s="75"/>
      <c r="E155" s="75"/>
      <c r="F155" s="181"/>
      <c r="G155" s="75"/>
      <c r="H155" s="75"/>
      <c r="I155" s="75"/>
      <c r="J155" s="178"/>
      <c r="K155" s="75"/>
      <c r="L155" s="75"/>
      <c r="M155" s="75"/>
      <c r="N155" s="75"/>
    </row>
    <row r="156">
      <c r="A156" s="75"/>
      <c r="B156" s="178"/>
      <c r="C156" s="75"/>
      <c r="D156" s="75"/>
      <c r="E156" s="75"/>
      <c r="F156" s="181"/>
      <c r="G156" s="75"/>
      <c r="H156" s="75"/>
      <c r="I156" s="75"/>
      <c r="J156" s="178"/>
      <c r="K156" s="75"/>
      <c r="L156" s="75"/>
      <c r="M156" s="75"/>
      <c r="N156" s="75"/>
    </row>
    <row r="157">
      <c r="A157" s="75"/>
      <c r="B157" s="178"/>
      <c r="C157" s="75"/>
      <c r="D157" s="75"/>
      <c r="E157" s="75"/>
      <c r="F157" s="181"/>
      <c r="G157" s="75"/>
      <c r="H157" s="75"/>
      <c r="I157" s="75"/>
      <c r="J157" s="178"/>
      <c r="K157" s="75"/>
      <c r="L157" s="75"/>
      <c r="M157" s="75"/>
      <c r="N157" s="75"/>
    </row>
    <row r="158">
      <c r="A158" s="75"/>
      <c r="B158" s="178"/>
      <c r="C158" s="75"/>
      <c r="D158" s="75"/>
      <c r="E158" s="75"/>
      <c r="F158" s="181"/>
      <c r="G158" s="75"/>
      <c r="H158" s="75"/>
      <c r="I158" s="75"/>
      <c r="J158" s="178"/>
      <c r="K158" s="75"/>
      <c r="L158" s="75"/>
      <c r="M158" s="75"/>
      <c r="N158" s="75"/>
    </row>
    <row r="159">
      <c r="A159" s="75"/>
      <c r="B159" s="178"/>
      <c r="C159" s="75"/>
      <c r="D159" s="75"/>
      <c r="E159" s="75"/>
      <c r="F159" s="181"/>
      <c r="G159" s="75"/>
      <c r="H159" s="75"/>
      <c r="I159" s="75"/>
      <c r="J159" s="178"/>
      <c r="K159" s="75"/>
      <c r="L159" s="75"/>
      <c r="M159" s="75"/>
      <c r="N159" s="75"/>
    </row>
    <row r="160">
      <c r="A160" s="75"/>
      <c r="B160" s="178"/>
      <c r="C160" s="75"/>
      <c r="D160" s="75"/>
      <c r="E160" s="75"/>
      <c r="F160" s="181"/>
      <c r="G160" s="75"/>
      <c r="H160" s="75"/>
      <c r="I160" s="75"/>
      <c r="J160" s="178"/>
      <c r="K160" s="75"/>
      <c r="L160" s="75"/>
      <c r="M160" s="75"/>
      <c r="N160" s="75"/>
    </row>
    <row r="161">
      <c r="A161" s="75"/>
      <c r="B161" s="178"/>
      <c r="C161" s="75"/>
      <c r="D161" s="75"/>
      <c r="E161" s="75"/>
      <c r="F161" s="181"/>
      <c r="G161" s="75"/>
      <c r="H161" s="75"/>
      <c r="I161" s="75"/>
      <c r="J161" s="178"/>
      <c r="K161" s="75"/>
      <c r="L161" s="75"/>
      <c r="M161" s="75"/>
      <c r="N161" s="75"/>
    </row>
    <row r="162">
      <c r="A162" s="75"/>
      <c r="B162" s="178"/>
      <c r="C162" s="75"/>
      <c r="D162" s="75"/>
      <c r="E162" s="75"/>
      <c r="F162" s="181"/>
      <c r="G162" s="75"/>
      <c r="H162" s="75"/>
      <c r="I162" s="75"/>
      <c r="J162" s="178"/>
      <c r="K162" s="75"/>
      <c r="L162" s="75"/>
      <c r="M162" s="75"/>
      <c r="N162" s="75"/>
    </row>
    <row r="163">
      <c r="A163" s="75"/>
      <c r="B163" s="178"/>
      <c r="C163" s="75"/>
      <c r="D163" s="75"/>
      <c r="E163" s="75"/>
      <c r="F163" s="181"/>
      <c r="G163" s="75"/>
      <c r="H163" s="75"/>
      <c r="I163" s="75"/>
      <c r="J163" s="178"/>
      <c r="K163" s="75"/>
      <c r="L163" s="75"/>
      <c r="M163" s="75"/>
      <c r="N163" s="75"/>
    </row>
    <row r="164">
      <c r="A164" s="75"/>
      <c r="B164" s="178"/>
      <c r="C164" s="75"/>
      <c r="D164" s="75"/>
      <c r="E164" s="75"/>
      <c r="F164" s="181"/>
      <c r="G164" s="75"/>
      <c r="H164" s="75"/>
      <c r="I164" s="75"/>
      <c r="J164" s="178"/>
      <c r="K164" s="75"/>
      <c r="L164" s="75"/>
      <c r="M164" s="75"/>
      <c r="N164" s="75"/>
    </row>
    <row r="165">
      <c r="A165" s="75"/>
      <c r="B165" s="178"/>
      <c r="C165" s="75"/>
      <c r="D165" s="75"/>
      <c r="E165" s="75"/>
      <c r="F165" s="181"/>
      <c r="G165" s="75"/>
      <c r="H165" s="75"/>
      <c r="I165" s="75"/>
      <c r="J165" s="178"/>
      <c r="K165" s="75"/>
      <c r="L165" s="75"/>
      <c r="M165" s="75"/>
      <c r="N165" s="75"/>
    </row>
    <row r="166">
      <c r="A166" s="75"/>
      <c r="B166" s="178"/>
      <c r="C166" s="75"/>
      <c r="D166" s="75"/>
      <c r="E166" s="75"/>
      <c r="F166" s="181"/>
      <c r="G166" s="75"/>
      <c r="H166" s="75"/>
      <c r="I166" s="75"/>
      <c r="J166" s="178"/>
      <c r="K166" s="75"/>
      <c r="L166" s="75"/>
      <c r="M166" s="75"/>
      <c r="N166" s="75"/>
    </row>
    <row r="167">
      <c r="A167" s="75"/>
      <c r="B167" s="178"/>
      <c r="C167" s="75"/>
      <c r="D167" s="75"/>
      <c r="E167" s="75"/>
      <c r="F167" s="181"/>
      <c r="G167" s="75"/>
      <c r="H167" s="75"/>
      <c r="I167" s="75"/>
      <c r="J167" s="178"/>
      <c r="K167" s="75"/>
      <c r="L167" s="75"/>
      <c r="M167" s="75"/>
      <c r="N167" s="75"/>
    </row>
    <row r="168">
      <c r="A168" s="75"/>
      <c r="B168" s="178"/>
      <c r="C168" s="75"/>
      <c r="D168" s="75"/>
      <c r="E168" s="75"/>
      <c r="F168" s="181"/>
      <c r="G168" s="75"/>
      <c r="H168" s="75"/>
      <c r="I168" s="75"/>
      <c r="J168" s="178"/>
      <c r="K168" s="75"/>
      <c r="L168" s="75"/>
      <c r="M168" s="75"/>
      <c r="N168" s="75"/>
    </row>
    <row r="169">
      <c r="A169" s="75"/>
      <c r="B169" s="178"/>
      <c r="C169" s="75"/>
      <c r="D169" s="75"/>
      <c r="E169" s="75"/>
      <c r="F169" s="181"/>
      <c r="G169" s="75"/>
      <c r="H169" s="75"/>
      <c r="I169" s="75"/>
      <c r="J169" s="178"/>
      <c r="K169" s="75"/>
      <c r="L169" s="75"/>
      <c r="M169" s="75"/>
      <c r="N169" s="75"/>
    </row>
    <row r="170">
      <c r="A170" s="75"/>
      <c r="B170" s="178"/>
      <c r="C170" s="75"/>
      <c r="D170" s="75"/>
      <c r="E170" s="75"/>
      <c r="F170" s="181"/>
      <c r="G170" s="75"/>
      <c r="H170" s="75"/>
      <c r="I170" s="75"/>
      <c r="J170" s="178"/>
      <c r="K170" s="75"/>
      <c r="L170" s="75"/>
      <c r="M170" s="75"/>
      <c r="N170" s="75"/>
    </row>
    <row r="171">
      <c r="A171" s="75"/>
      <c r="B171" s="178"/>
      <c r="C171" s="75"/>
      <c r="D171" s="75"/>
      <c r="E171" s="75"/>
      <c r="F171" s="181"/>
      <c r="G171" s="75"/>
      <c r="H171" s="75"/>
      <c r="I171" s="75"/>
      <c r="J171" s="178"/>
      <c r="K171" s="75"/>
      <c r="L171" s="75"/>
      <c r="M171" s="75"/>
      <c r="N171" s="75"/>
    </row>
    <row r="172">
      <c r="A172" s="75"/>
      <c r="B172" s="178"/>
      <c r="C172" s="75"/>
      <c r="D172" s="75"/>
      <c r="E172" s="75"/>
      <c r="F172" s="181"/>
      <c r="G172" s="75"/>
      <c r="H172" s="75"/>
      <c r="I172" s="75"/>
      <c r="J172" s="178"/>
      <c r="K172" s="75"/>
      <c r="L172" s="75"/>
      <c r="M172" s="75"/>
      <c r="N172" s="75"/>
    </row>
    <row r="173">
      <c r="A173" s="75"/>
      <c r="B173" s="178"/>
      <c r="C173" s="75"/>
      <c r="D173" s="75"/>
      <c r="E173" s="75"/>
      <c r="F173" s="181"/>
      <c r="G173" s="75"/>
      <c r="H173" s="75"/>
      <c r="I173" s="75"/>
      <c r="J173" s="178"/>
      <c r="K173" s="75"/>
      <c r="L173" s="75"/>
      <c r="M173" s="75"/>
      <c r="N173" s="75"/>
    </row>
    <row r="174">
      <c r="A174" s="75"/>
      <c r="B174" s="178"/>
      <c r="C174" s="75"/>
      <c r="D174" s="75"/>
      <c r="E174" s="75"/>
      <c r="F174" s="181"/>
      <c r="G174" s="75"/>
      <c r="H174" s="75"/>
      <c r="I174" s="75"/>
      <c r="J174" s="178"/>
      <c r="K174" s="75"/>
      <c r="L174" s="75"/>
      <c r="M174" s="75"/>
      <c r="N174" s="75"/>
    </row>
    <row r="175">
      <c r="A175" s="75"/>
      <c r="B175" s="178"/>
      <c r="C175" s="75"/>
      <c r="D175" s="75"/>
      <c r="E175" s="75"/>
      <c r="F175" s="181"/>
      <c r="G175" s="75"/>
      <c r="H175" s="75"/>
      <c r="I175" s="75"/>
      <c r="J175" s="178"/>
      <c r="K175" s="75"/>
      <c r="L175" s="75"/>
      <c r="M175" s="75"/>
      <c r="N175" s="75"/>
    </row>
    <row r="176">
      <c r="A176" s="75"/>
      <c r="B176" s="178"/>
      <c r="C176" s="75"/>
      <c r="D176" s="75"/>
      <c r="E176" s="75"/>
      <c r="F176" s="181"/>
      <c r="G176" s="75"/>
      <c r="H176" s="75"/>
      <c r="I176" s="75"/>
      <c r="J176" s="178"/>
      <c r="K176" s="75"/>
      <c r="L176" s="75"/>
      <c r="M176" s="75"/>
      <c r="N176" s="75"/>
    </row>
    <row r="177">
      <c r="A177" s="75"/>
      <c r="B177" s="178"/>
      <c r="C177" s="75"/>
      <c r="D177" s="75"/>
      <c r="E177" s="75"/>
      <c r="F177" s="181"/>
      <c r="G177" s="75"/>
      <c r="H177" s="75"/>
      <c r="I177" s="75"/>
      <c r="J177" s="178"/>
      <c r="K177" s="75"/>
      <c r="L177" s="75"/>
      <c r="M177" s="75"/>
      <c r="N177" s="75"/>
    </row>
    <row r="178">
      <c r="A178" s="75"/>
      <c r="B178" s="178"/>
      <c r="C178" s="75"/>
      <c r="D178" s="75"/>
      <c r="E178" s="75"/>
      <c r="F178" s="181"/>
      <c r="G178" s="75"/>
      <c r="H178" s="75"/>
      <c r="I178" s="75"/>
      <c r="J178" s="178"/>
      <c r="K178" s="75"/>
      <c r="L178" s="75"/>
      <c r="M178" s="75"/>
      <c r="N178" s="75"/>
    </row>
    <row r="179">
      <c r="A179" s="75"/>
      <c r="B179" s="178"/>
      <c r="C179" s="75"/>
      <c r="D179" s="75"/>
      <c r="E179" s="75"/>
      <c r="F179" s="181"/>
      <c r="G179" s="75"/>
      <c r="H179" s="75"/>
      <c r="I179" s="75"/>
      <c r="J179" s="178"/>
      <c r="K179" s="75"/>
      <c r="L179" s="75"/>
      <c r="M179" s="75"/>
      <c r="N179" s="75"/>
    </row>
    <row r="180">
      <c r="A180" s="75"/>
      <c r="B180" s="178"/>
      <c r="C180" s="75"/>
      <c r="D180" s="75"/>
      <c r="E180" s="75"/>
      <c r="F180" s="181"/>
      <c r="G180" s="75"/>
      <c r="H180" s="75"/>
      <c r="I180" s="75"/>
      <c r="J180" s="178"/>
      <c r="K180" s="75"/>
      <c r="L180" s="75"/>
      <c r="M180" s="75"/>
      <c r="N180" s="75"/>
    </row>
    <row r="181">
      <c r="A181" s="75"/>
      <c r="B181" s="178"/>
      <c r="C181" s="75"/>
      <c r="D181" s="75"/>
      <c r="E181" s="75"/>
      <c r="F181" s="181"/>
      <c r="G181" s="75"/>
      <c r="H181" s="75"/>
      <c r="I181" s="75"/>
      <c r="J181" s="178"/>
      <c r="K181" s="75"/>
      <c r="L181" s="75"/>
      <c r="M181" s="75"/>
      <c r="N181" s="75"/>
    </row>
    <row r="182">
      <c r="A182" s="75"/>
      <c r="B182" s="178"/>
      <c r="C182" s="75"/>
      <c r="D182" s="75"/>
      <c r="E182" s="75"/>
      <c r="F182" s="181"/>
      <c r="G182" s="75"/>
      <c r="H182" s="75"/>
      <c r="I182" s="75"/>
      <c r="J182" s="178"/>
      <c r="K182" s="75"/>
      <c r="L182" s="75"/>
      <c r="M182" s="75"/>
      <c r="N182" s="75"/>
    </row>
    <row r="183">
      <c r="A183" s="75"/>
      <c r="B183" s="178"/>
      <c r="C183" s="75"/>
      <c r="D183" s="75"/>
      <c r="E183" s="75"/>
      <c r="F183" s="181"/>
      <c r="G183" s="75"/>
      <c r="H183" s="75"/>
      <c r="I183" s="75"/>
      <c r="J183" s="178"/>
      <c r="K183" s="75"/>
      <c r="L183" s="75"/>
      <c r="M183" s="75"/>
      <c r="N183" s="75"/>
    </row>
    <row r="184">
      <c r="A184" s="75"/>
      <c r="B184" s="178"/>
      <c r="C184" s="75"/>
      <c r="D184" s="75"/>
      <c r="E184" s="75"/>
      <c r="F184" s="181"/>
      <c r="G184" s="75"/>
      <c r="H184" s="75"/>
      <c r="I184" s="75"/>
      <c r="J184" s="178"/>
      <c r="K184" s="75"/>
      <c r="L184" s="75"/>
      <c r="M184" s="75"/>
      <c r="N184" s="75"/>
    </row>
    <row r="185">
      <c r="A185" s="75"/>
      <c r="B185" s="178"/>
      <c r="C185" s="75"/>
      <c r="D185" s="75"/>
      <c r="E185" s="75"/>
      <c r="F185" s="181"/>
      <c r="G185" s="75"/>
      <c r="H185" s="75"/>
      <c r="I185" s="75"/>
      <c r="J185" s="178"/>
      <c r="K185" s="75"/>
      <c r="L185" s="75"/>
      <c r="M185" s="75"/>
      <c r="N185" s="75"/>
    </row>
    <row r="186">
      <c r="A186" s="75"/>
      <c r="B186" s="178"/>
      <c r="C186" s="75"/>
      <c r="D186" s="75"/>
      <c r="E186" s="75"/>
      <c r="F186" s="181"/>
      <c r="G186" s="75"/>
      <c r="H186" s="75"/>
      <c r="I186" s="75"/>
      <c r="J186" s="178"/>
      <c r="K186" s="75"/>
      <c r="L186" s="75"/>
      <c r="M186" s="75"/>
      <c r="N186" s="75"/>
    </row>
    <row r="187">
      <c r="A187" s="75"/>
      <c r="B187" s="178"/>
      <c r="C187" s="75"/>
      <c r="D187" s="75"/>
      <c r="E187" s="75"/>
      <c r="F187" s="181"/>
      <c r="G187" s="75"/>
      <c r="H187" s="75"/>
      <c r="I187" s="75"/>
      <c r="J187" s="178"/>
      <c r="K187" s="75"/>
      <c r="L187" s="75"/>
      <c r="M187" s="75"/>
      <c r="N187" s="75"/>
    </row>
    <row r="188">
      <c r="A188" s="75"/>
      <c r="B188" s="178"/>
      <c r="C188" s="75"/>
      <c r="D188" s="75"/>
      <c r="E188" s="75"/>
      <c r="F188" s="181"/>
      <c r="G188" s="75"/>
      <c r="H188" s="75"/>
      <c r="I188" s="75"/>
      <c r="J188" s="178"/>
      <c r="K188" s="75"/>
      <c r="L188" s="75"/>
      <c r="M188" s="75"/>
      <c r="N188" s="75"/>
    </row>
    <row r="189">
      <c r="A189" s="75"/>
      <c r="B189" s="178"/>
      <c r="C189" s="75"/>
      <c r="D189" s="75"/>
      <c r="E189" s="75"/>
      <c r="F189" s="181"/>
      <c r="G189" s="75"/>
      <c r="H189" s="75"/>
      <c r="I189" s="75"/>
      <c r="J189" s="178"/>
      <c r="K189" s="75"/>
      <c r="L189" s="75"/>
      <c r="M189" s="75"/>
      <c r="N189" s="75"/>
    </row>
    <row r="190">
      <c r="A190" s="75"/>
      <c r="B190" s="178"/>
      <c r="C190" s="75"/>
      <c r="D190" s="75"/>
      <c r="E190" s="75"/>
      <c r="F190" s="181"/>
      <c r="G190" s="75"/>
      <c r="H190" s="75"/>
      <c r="I190" s="75"/>
      <c r="J190" s="178"/>
      <c r="K190" s="75"/>
      <c r="L190" s="75"/>
      <c r="M190" s="75"/>
      <c r="N190" s="75"/>
    </row>
    <row r="191">
      <c r="A191" s="75"/>
      <c r="B191" s="178"/>
      <c r="C191" s="75"/>
      <c r="D191" s="75"/>
      <c r="E191" s="75"/>
      <c r="F191" s="181"/>
      <c r="G191" s="75"/>
      <c r="H191" s="75"/>
      <c r="I191" s="75"/>
      <c r="J191" s="178"/>
      <c r="K191" s="75"/>
      <c r="L191" s="75"/>
      <c r="M191" s="75"/>
      <c r="N191" s="75"/>
    </row>
    <row r="192">
      <c r="A192" s="75"/>
      <c r="B192" s="178"/>
      <c r="C192" s="75"/>
      <c r="D192" s="75"/>
      <c r="E192" s="75"/>
      <c r="F192" s="181"/>
      <c r="G192" s="75"/>
      <c r="H192" s="75"/>
      <c r="I192" s="75"/>
      <c r="J192" s="178"/>
      <c r="K192" s="75"/>
      <c r="L192" s="75"/>
      <c r="M192" s="75"/>
      <c r="N192" s="75"/>
    </row>
    <row r="193">
      <c r="A193" s="75"/>
      <c r="B193" s="178"/>
      <c r="C193" s="75"/>
      <c r="D193" s="75"/>
      <c r="E193" s="75"/>
      <c r="F193" s="181"/>
      <c r="G193" s="75"/>
      <c r="H193" s="75"/>
      <c r="I193" s="75"/>
      <c r="J193" s="178"/>
      <c r="K193" s="75"/>
      <c r="L193" s="75"/>
      <c r="M193" s="75"/>
      <c r="N193" s="75"/>
    </row>
    <row r="194">
      <c r="A194" s="75"/>
      <c r="B194" s="178"/>
      <c r="C194" s="75"/>
      <c r="D194" s="75"/>
      <c r="E194" s="75"/>
      <c r="F194" s="181"/>
      <c r="G194" s="75"/>
      <c r="H194" s="75"/>
      <c r="I194" s="75"/>
      <c r="J194" s="178"/>
      <c r="K194" s="75"/>
      <c r="L194" s="75"/>
      <c r="M194" s="75"/>
      <c r="N194" s="75"/>
    </row>
    <row r="195">
      <c r="A195" s="75"/>
      <c r="B195" s="178"/>
      <c r="C195" s="75"/>
      <c r="D195" s="75"/>
      <c r="E195" s="75"/>
      <c r="F195" s="181"/>
      <c r="G195" s="75"/>
      <c r="H195" s="75"/>
      <c r="I195" s="75"/>
      <c r="J195" s="178"/>
      <c r="K195" s="75"/>
      <c r="L195" s="75"/>
      <c r="M195" s="75"/>
      <c r="N195" s="75"/>
    </row>
    <row r="196">
      <c r="A196" s="75"/>
      <c r="B196" s="178"/>
      <c r="C196" s="75"/>
      <c r="D196" s="75"/>
      <c r="E196" s="75"/>
      <c r="F196" s="181"/>
      <c r="G196" s="75"/>
      <c r="H196" s="75"/>
      <c r="I196" s="75"/>
      <c r="J196" s="178"/>
      <c r="K196" s="75"/>
      <c r="L196" s="75"/>
      <c r="M196" s="75"/>
      <c r="N196" s="75"/>
    </row>
    <row r="197">
      <c r="A197" s="75"/>
      <c r="B197" s="178"/>
      <c r="C197" s="75"/>
      <c r="D197" s="75"/>
      <c r="E197" s="75"/>
      <c r="F197" s="181"/>
      <c r="G197" s="75"/>
      <c r="H197" s="75"/>
      <c r="I197" s="75"/>
      <c r="J197" s="178"/>
      <c r="K197" s="75"/>
      <c r="L197" s="75"/>
      <c r="M197" s="75"/>
      <c r="N197" s="75"/>
    </row>
    <row r="198">
      <c r="A198" s="75"/>
      <c r="B198" s="178"/>
      <c r="C198" s="75"/>
      <c r="D198" s="75"/>
      <c r="E198" s="75"/>
      <c r="F198" s="181"/>
      <c r="G198" s="75"/>
      <c r="H198" s="75"/>
      <c r="I198" s="75"/>
      <c r="J198" s="178"/>
      <c r="K198" s="75"/>
      <c r="L198" s="75"/>
      <c r="M198" s="75"/>
      <c r="N198" s="75"/>
    </row>
    <row r="199">
      <c r="A199" s="75"/>
      <c r="B199" s="178"/>
      <c r="C199" s="75"/>
      <c r="D199" s="75"/>
      <c r="E199" s="75"/>
      <c r="F199" s="181"/>
      <c r="G199" s="75"/>
      <c r="H199" s="75"/>
      <c r="I199" s="75"/>
      <c r="J199" s="178"/>
      <c r="K199" s="75"/>
      <c r="L199" s="75"/>
      <c r="M199" s="75"/>
      <c r="N199" s="75"/>
    </row>
    <row r="200">
      <c r="A200" s="75"/>
      <c r="B200" s="178"/>
      <c r="C200" s="75"/>
      <c r="D200" s="75"/>
      <c r="E200" s="75"/>
      <c r="F200" s="181"/>
      <c r="G200" s="75"/>
      <c r="H200" s="75"/>
      <c r="I200" s="75"/>
      <c r="J200" s="178"/>
      <c r="K200" s="75"/>
      <c r="L200" s="75"/>
      <c r="M200" s="75"/>
      <c r="N200" s="75"/>
    </row>
    <row r="201">
      <c r="A201" s="75"/>
      <c r="B201" s="178"/>
      <c r="C201" s="75"/>
      <c r="D201" s="75"/>
      <c r="E201" s="75"/>
      <c r="F201" s="181"/>
      <c r="G201" s="75"/>
      <c r="H201" s="75"/>
      <c r="I201" s="75"/>
      <c r="J201" s="178"/>
      <c r="K201" s="75"/>
      <c r="L201" s="75"/>
      <c r="M201" s="75"/>
      <c r="N201" s="75"/>
    </row>
    <row r="202">
      <c r="A202" s="75"/>
      <c r="B202" s="178"/>
      <c r="C202" s="75"/>
      <c r="D202" s="75"/>
      <c r="E202" s="75"/>
      <c r="F202" s="181"/>
      <c r="G202" s="75"/>
      <c r="H202" s="75"/>
      <c r="I202" s="75"/>
      <c r="J202" s="178"/>
      <c r="K202" s="75"/>
      <c r="L202" s="75"/>
      <c r="M202" s="75"/>
      <c r="N202" s="75"/>
    </row>
    <row r="203">
      <c r="A203" s="75"/>
      <c r="B203" s="178"/>
      <c r="C203" s="75"/>
      <c r="D203" s="75"/>
      <c r="E203" s="75"/>
      <c r="F203" s="181"/>
      <c r="G203" s="75"/>
      <c r="H203" s="75"/>
      <c r="I203" s="75"/>
      <c r="J203" s="178"/>
      <c r="K203" s="75"/>
      <c r="L203" s="75"/>
      <c r="M203" s="75"/>
      <c r="N203" s="75"/>
    </row>
    <row r="204">
      <c r="A204" s="75"/>
      <c r="B204" s="178"/>
      <c r="C204" s="75"/>
      <c r="D204" s="75"/>
      <c r="E204" s="75"/>
      <c r="F204" s="181"/>
      <c r="G204" s="75"/>
      <c r="H204" s="75"/>
      <c r="I204" s="75"/>
      <c r="J204" s="178"/>
      <c r="K204" s="75"/>
      <c r="L204" s="75"/>
      <c r="M204" s="75"/>
      <c r="N204" s="75"/>
    </row>
    <row r="205">
      <c r="A205" s="75"/>
      <c r="B205" s="178"/>
      <c r="C205" s="75"/>
      <c r="D205" s="75"/>
      <c r="E205" s="75"/>
      <c r="F205" s="181"/>
      <c r="G205" s="75"/>
      <c r="H205" s="75"/>
      <c r="I205" s="75"/>
      <c r="J205" s="178"/>
      <c r="K205" s="75"/>
      <c r="L205" s="75"/>
      <c r="M205" s="75"/>
      <c r="N205" s="75"/>
    </row>
    <row r="206">
      <c r="A206" s="75"/>
      <c r="B206" s="178"/>
      <c r="C206" s="75"/>
      <c r="D206" s="75"/>
      <c r="E206" s="75"/>
      <c r="F206" s="181"/>
      <c r="G206" s="75"/>
      <c r="H206" s="75"/>
      <c r="I206" s="75"/>
      <c r="J206" s="178"/>
      <c r="K206" s="75"/>
      <c r="L206" s="75"/>
      <c r="M206" s="75"/>
      <c r="N206" s="75"/>
    </row>
    <row r="207">
      <c r="A207" s="75"/>
      <c r="B207" s="178"/>
      <c r="C207" s="75"/>
      <c r="D207" s="75"/>
      <c r="E207" s="75"/>
      <c r="F207" s="181"/>
      <c r="G207" s="75"/>
      <c r="H207" s="75"/>
      <c r="I207" s="75"/>
      <c r="J207" s="178"/>
      <c r="K207" s="75"/>
      <c r="L207" s="75"/>
      <c r="M207" s="75"/>
      <c r="N207" s="75"/>
    </row>
    <row r="208">
      <c r="A208" s="75"/>
      <c r="B208" s="178"/>
      <c r="C208" s="75"/>
      <c r="D208" s="75"/>
      <c r="E208" s="75"/>
      <c r="F208" s="181"/>
      <c r="G208" s="75"/>
      <c r="H208" s="75"/>
      <c r="I208" s="75"/>
      <c r="J208" s="178"/>
      <c r="K208" s="75"/>
      <c r="L208" s="75"/>
      <c r="M208" s="75"/>
      <c r="N208" s="75"/>
    </row>
    <row r="209">
      <c r="A209" s="75"/>
      <c r="B209" s="178"/>
      <c r="C209" s="75"/>
      <c r="D209" s="75"/>
      <c r="E209" s="75"/>
      <c r="F209" s="181"/>
      <c r="G209" s="75"/>
      <c r="H209" s="75"/>
      <c r="I209" s="75"/>
      <c r="J209" s="178"/>
      <c r="K209" s="75"/>
      <c r="L209" s="75"/>
      <c r="M209" s="75"/>
      <c r="N209" s="75"/>
    </row>
    <row r="210">
      <c r="A210" s="75"/>
      <c r="B210" s="178"/>
      <c r="C210" s="75"/>
      <c r="D210" s="75"/>
      <c r="E210" s="75"/>
      <c r="F210" s="181"/>
      <c r="G210" s="75"/>
      <c r="H210" s="75"/>
      <c r="I210" s="75"/>
      <c r="J210" s="178"/>
      <c r="K210" s="75"/>
      <c r="L210" s="75"/>
      <c r="M210" s="75"/>
      <c r="N210" s="75"/>
    </row>
    <row r="211">
      <c r="A211" s="75"/>
      <c r="B211" s="178"/>
      <c r="C211" s="75"/>
      <c r="D211" s="75"/>
      <c r="E211" s="75"/>
      <c r="F211" s="181"/>
      <c r="G211" s="75"/>
      <c r="H211" s="75"/>
      <c r="I211" s="75"/>
      <c r="J211" s="178"/>
      <c r="K211" s="75"/>
      <c r="L211" s="75"/>
      <c r="M211" s="75"/>
      <c r="N211" s="75"/>
    </row>
    <row r="212">
      <c r="A212" s="75"/>
      <c r="B212" s="178"/>
      <c r="C212" s="75"/>
      <c r="D212" s="75"/>
      <c r="E212" s="75"/>
      <c r="F212" s="181"/>
      <c r="G212" s="75"/>
      <c r="H212" s="75"/>
      <c r="I212" s="75"/>
      <c r="J212" s="178"/>
      <c r="K212" s="75"/>
      <c r="L212" s="75"/>
      <c r="M212" s="75"/>
      <c r="N212" s="75"/>
    </row>
    <row r="213">
      <c r="A213" s="75"/>
      <c r="B213" s="178"/>
      <c r="C213" s="75"/>
      <c r="D213" s="75"/>
      <c r="E213" s="75"/>
      <c r="F213" s="181"/>
      <c r="G213" s="75"/>
      <c r="H213" s="75"/>
      <c r="I213" s="75"/>
      <c r="J213" s="178"/>
      <c r="K213" s="75"/>
      <c r="L213" s="75"/>
      <c r="M213" s="75"/>
      <c r="N213" s="75"/>
    </row>
    <row r="214">
      <c r="A214" s="75"/>
      <c r="B214" s="178"/>
      <c r="C214" s="75"/>
      <c r="D214" s="75"/>
      <c r="E214" s="75"/>
      <c r="F214" s="181"/>
      <c r="G214" s="75"/>
      <c r="H214" s="75"/>
      <c r="I214" s="75"/>
      <c r="J214" s="178"/>
      <c r="K214" s="75"/>
      <c r="L214" s="75"/>
      <c r="M214" s="75"/>
      <c r="N214" s="75"/>
    </row>
    <row r="215">
      <c r="A215" s="75"/>
      <c r="B215" s="178"/>
      <c r="C215" s="75"/>
      <c r="D215" s="75"/>
      <c r="E215" s="75"/>
      <c r="F215" s="181"/>
      <c r="G215" s="75"/>
      <c r="H215" s="75"/>
      <c r="I215" s="75"/>
      <c r="J215" s="178"/>
      <c r="K215" s="75"/>
      <c r="L215" s="75"/>
      <c r="M215" s="75"/>
      <c r="N215" s="75"/>
    </row>
    <row r="216">
      <c r="A216" s="75"/>
      <c r="B216" s="178"/>
      <c r="C216" s="75"/>
      <c r="D216" s="75"/>
      <c r="E216" s="75"/>
      <c r="F216" s="181"/>
      <c r="G216" s="75"/>
      <c r="H216" s="75"/>
      <c r="I216" s="75"/>
      <c r="J216" s="178"/>
      <c r="K216" s="75"/>
      <c r="L216" s="75"/>
      <c r="M216" s="75"/>
      <c r="N216" s="75"/>
    </row>
    <row r="217">
      <c r="A217" s="75"/>
      <c r="B217" s="178"/>
      <c r="C217" s="75"/>
      <c r="D217" s="75"/>
      <c r="E217" s="75"/>
      <c r="F217" s="181"/>
      <c r="G217" s="75"/>
      <c r="H217" s="75"/>
      <c r="I217" s="75"/>
      <c r="J217" s="178"/>
      <c r="K217" s="75"/>
      <c r="L217" s="75"/>
      <c r="M217" s="75"/>
      <c r="N217" s="75"/>
    </row>
    <row r="218">
      <c r="A218" s="75"/>
      <c r="B218" s="178"/>
      <c r="C218" s="75"/>
      <c r="D218" s="75"/>
      <c r="E218" s="75"/>
      <c r="F218" s="181"/>
      <c r="G218" s="75"/>
      <c r="H218" s="75"/>
      <c r="I218" s="75"/>
      <c r="J218" s="178"/>
      <c r="K218" s="75"/>
      <c r="L218" s="75"/>
      <c r="M218" s="75"/>
      <c r="N218" s="75"/>
    </row>
    <row r="219">
      <c r="A219" s="75"/>
      <c r="B219" s="178"/>
      <c r="C219" s="75"/>
      <c r="D219" s="75"/>
      <c r="E219" s="75"/>
      <c r="F219" s="181"/>
      <c r="G219" s="75"/>
      <c r="H219" s="75"/>
      <c r="I219" s="75"/>
      <c r="J219" s="178"/>
      <c r="K219" s="75"/>
      <c r="L219" s="75"/>
      <c r="M219" s="75"/>
      <c r="N219" s="75"/>
    </row>
    <row r="220">
      <c r="A220" s="75"/>
      <c r="B220" s="178"/>
      <c r="C220" s="75"/>
      <c r="D220" s="75"/>
      <c r="E220" s="75"/>
      <c r="F220" s="181"/>
      <c r="G220" s="75"/>
      <c r="H220" s="75"/>
      <c r="I220" s="75"/>
      <c r="J220" s="178"/>
      <c r="K220" s="75"/>
      <c r="L220" s="75"/>
      <c r="M220" s="75"/>
      <c r="N220" s="75"/>
    </row>
    <row r="221">
      <c r="A221" s="75"/>
      <c r="B221" s="178"/>
      <c r="C221" s="75"/>
      <c r="D221" s="75"/>
      <c r="E221" s="75"/>
      <c r="F221" s="181"/>
      <c r="G221" s="75"/>
      <c r="H221" s="75"/>
      <c r="I221" s="75"/>
      <c r="J221" s="178"/>
      <c r="K221" s="75"/>
      <c r="L221" s="75"/>
      <c r="M221" s="75"/>
      <c r="N221" s="75"/>
    </row>
    <row r="222">
      <c r="A222" s="75"/>
      <c r="B222" s="178"/>
      <c r="C222" s="75"/>
      <c r="D222" s="75"/>
      <c r="E222" s="75"/>
      <c r="F222" s="181"/>
      <c r="G222" s="75"/>
      <c r="H222" s="75"/>
      <c r="I222" s="75"/>
      <c r="J222" s="178"/>
      <c r="K222" s="75"/>
      <c r="L222" s="75"/>
      <c r="M222" s="75"/>
      <c r="N222" s="75"/>
    </row>
    <row r="223">
      <c r="A223" s="75"/>
      <c r="B223" s="178"/>
      <c r="C223" s="75"/>
      <c r="D223" s="75"/>
      <c r="E223" s="75"/>
      <c r="F223" s="181"/>
      <c r="G223" s="75"/>
      <c r="H223" s="75"/>
      <c r="I223" s="75"/>
      <c r="J223" s="178"/>
      <c r="K223" s="75"/>
      <c r="L223" s="75"/>
      <c r="M223" s="75"/>
      <c r="N223" s="75"/>
    </row>
    <row r="224">
      <c r="A224" s="75"/>
      <c r="B224" s="178"/>
      <c r="C224" s="75"/>
      <c r="D224" s="75"/>
      <c r="E224" s="75"/>
      <c r="F224" s="181"/>
      <c r="G224" s="75"/>
      <c r="H224" s="75"/>
      <c r="I224" s="75"/>
      <c r="J224" s="178"/>
      <c r="K224" s="75"/>
      <c r="L224" s="75"/>
      <c r="M224" s="75"/>
      <c r="N224" s="75"/>
    </row>
    <row r="225">
      <c r="A225" s="75"/>
      <c r="B225" s="178"/>
      <c r="C225" s="75"/>
      <c r="D225" s="75"/>
      <c r="E225" s="75"/>
      <c r="F225" s="181"/>
      <c r="G225" s="75"/>
      <c r="H225" s="75"/>
      <c r="I225" s="75"/>
      <c r="J225" s="178"/>
      <c r="K225" s="75"/>
      <c r="L225" s="75"/>
      <c r="M225" s="75"/>
      <c r="N225" s="75"/>
    </row>
    <row r="226">
      <c r="A226" s="75"/>
      <c r="B226" s="178"/>
      <c r="C226" s="75"/>
      <c r="D226" s="75"/>
      <c r="E226" s="75"/>
      <c r="F226" s="181"/>
      <c r="G226" s="75"/>
      <c r="H226" s="75"/>
      <c r="I226" s="75"/>
      <c r="J226" s="178"/>
      <c r="K226" s="75"/>
      <c r="L226" s="75"/>
      <c r="M226" s="75"/>
      <c r="N226" s="75"/>
    </row>
    <row r="227">
      <c r="A227" s="75"/>
      <c r="B227" s="178"/>
      <c r="C227" s="75"/>
      <c r="D227" s="75"/>
      <c r="E227" s="75"/>
      <c r="F227" s="181"/>
      <c r="G227" s="75"/>
      <c r="H227" s="75"/>
      <c r="I227" s="75"/>
      <c r="J227" s="178"/>
      <c r="K227" s="75"/>
      <c r="L227" s="75"/>
      <c r="M227" s="75"/>
      <c r="N227" s="75"/>
    </row>
    <row r="228">
      <c r="A228" s="75"/>
      <c r="B228" s="178"/>
      <c r="C228" s="75"/>
      <c r="D228" s="75"/>
      <c r="E228" s="75"/>
      <c r="F228" s="181"/>
      <c r="G228" s="75"/>
      <c r="H228" s="75"/>
      <c r="I228" s="75"/>
      <c r="J228" s="178"/>
      <c r="K228" s="75"/>
      <c r="L228" s="75"/>
      <c r="M228" s="75"/>
      <c r="N228" s="75"/>
    </row>
    <row r="229">
      <c r="A229" s="75"/>
      <c r="B229" s="178"/>
      <c r="C229" s="75"/>
      <c r="D229" s="75"/>
      <c r="E229" s="75"/>
      <c r="F229" s="181"/>
      <c r="G229" s="75"/>
      <c r="H229" s="75"/>
      <c r="I229" s="75"/>
      <c r="J229" s="178"/>
      <c r="K229" s="75"/>
      <c r="L229" s="75"/>
      <c r="M229" s="75"/>
      <c r="N229" s="75"/>
    </row>
    <row r="230">
      <c r="A230" s="75"/>
      <c r="B230" s="178"/>
      <c r="C230" s="75"/>
      <c r="D230" s="75"/>
      <c r="E230" s="75"/>
      <c r="F230" s="181"/>
      <c r="G230" s="75"/>
      <c r="H230" s="75"/>
      <c r="I230" s="75"/>
      <c r="J230" s="178"/>
      <c r="K230" s="75"/>
      <c r="L230" s="75"/>
      <c r="M230" s="75"/>
      <c r="N230" s="75"/>
    </row>
    <row r="231">
      <c r="A231" s="75"/>
      <c r="B231" s="178"/>
      <c r="C231" s="75"/>
      <c r="D231" s="75"/>
      <c r="E231" s="75"/>
      <c r="F231" s="181"/>
      <c r="G231" s="75"/>
      <c r="H231" s="75"/>
      <c r="I231" s="75"/>
      <c r="J231" s="178"/>
      <c r="K231" s="75"/>
      <c r="L231" s="75"/>
      <c r="M231" s="75"/>
      <c r="N231" s="75"/>
    </row>
    <row r="232">
      <c r="A232" s="75"/>
      <c r="B232" s="178"/>
      <c r="C232" s="75"/>
      <c r="D232" s="75"/>
      <c r="E232" s="75"/>
      <c r="F232" s="181"/>
      <c r="G232" s="75"/>
      <c r="H232" s="75"/>
      <c r="I232" s="75"/>
      <c r="J232" s="178"/>
      <c r="K232" s="75"/>
      <c r="L232" s="75"/>
      <c r="M232" s="75"/>
      <c r="N232" s="75"/>
    </row>
    <row r="233">
      <c r="A233" s="75"/>
      <c r="B233" s="178"/>
      <c r="C233" s="75"/>
      <c r="D233" s="75"/>
      <c r="E233" s="75"/>
      <c r="F233" s="181"/>
      <c r="G233" s="75"/>
      <c r="H233" s="75"/>
      <c r="I233" s="75"/>
      <c r="J233" s="178"/>
      <c r="K233" s="75"/>
      <c r="L233" s="75"/>
      <c r="M233" s="75"/>
      <c r="N233" s="75"/>
    </row>
    <row r="234">
      <c r="A234" s="75"/>
      <c r="B234" s="178"/>
      <c r="C234" s="75"/>
      <c r="D234" s="75"/>
      <c r="E234" s="75"/>
      <c r="F234" s="181"/>
      <c r="G234" s="75"/>
      <c r="H234" s="75"/>
      <c r="I234" s="75"/>
      <c r="J234" s="178"/>
      <c r="K234" s="75"/>
      <c r="L234" s="75"/>
      <c r="M234" s="75"/>
      <c r="N234" s="75"/>
    </row>
    <row r="235">
      <c r="A235" s="75"/>
      <c r="B235" s="178"/>
      <c r="C235" s="75"/>
      <c r="D235" s="75"/>
      <c r="E235" s="75"/>
      <c r="F235" s="181"/>
      <c r="G235" s="75"/>
      <c r="H235" s="75"/>
      <c r="I235" s="75"/>
      <c r="J235" s="178"/>
      <c r="K235" s="75"/>
      <c r="L235" s="75"/>
      <c r="M235" s="75"/>
      <c r="N235" s="75"/>
    </row>
    <row r="236">
      <c r="A236" s="75"/>
      <c r="B236" s="178"/>
      <c r="C236" s="75"/>
      <c r="D236" s="75"/>
      <c r="E236" s="75"/>
      <c r="F236" s="181"/>
      <c r="G236" s="75"/>
      <c r="H236" s="75"/>
      <c r="I236" s="75"/>
      <c r="J236" s="178"/>
      <c r="K236" s="75"/>
      <c r="L236" s="75"/>
      <c r="M236" s="75"/>
      <c r="N236" s="75"/>
    </row>
    <row r="237">
      <c r="A237" s="75"/>
      <c r="B237" s="178"/>
      <c r="C237" s="75"/>
      <c r="D237" s="75"/>
      <c r="E237" s="75"/>
      <c r="F237" s="181"/>
      <c r="G237" s="75"/>
      <c r="H237" s="75"/>
      <c r="I237" s="75"/>
      <c r="J237" s="178"/>
      <c r="K237" s="75"/>
      <c r="L237" s="75"/>
      <c r="M237" s="75"/>
      <c r="N237" s="75"/>
    </row>
    <row r="238">
      <c r="A238" s="75"/>
      <c r="B238" s="178"/>
      <c r="C238" s="75"/>
      <c r="D238" s="75"/>
      <c r="E238" s="75"/>
      <c r="F238" s="181"/>
      <c r="G238" s="75"/>
      <c r="H238" s="75"/>
      <c r="I238" s="75"/>
      <c r="J238" s="178"/>
      <c r="K238" s="75"/>
      <c r="L238" s="75"/>
      <c r="M238" s="75"/>
      <c r="N238" s="75"/>
    </row>
    <row r="239">
      <c r="A239" s="75"/>
      <c r="B239" s="178"/>
      <c r="C239" s="75"/>
      <c r="D239" s="75"/>
      <c r="E239" s="75"/>
      <c r="F239" s="181"/>
      <c r="G239" s="75"/>
      <c r="H239" s="75"/>
      <c r="I239" s="75"/>
      <c r="J239" s="178"/>
      <c r="K239" s="75"/>
      <c r="L239" s="75"/>
      <c r="M239" s="75"/>
      <c r="N239" s="75"/>
    </row>
    <row r="240">
      <c r="A240" s="75"/>
      <c r="B240" s="178"/>
      <c r="C240" s="75"/>
      <c r="D240" s="75"/>
      <c r="E240" s="75"/>
      <c r="F240" s="181"/>
      <c r="G240" s="75"/>
      <c r="H240" s="75"/>
      <c r="I240" s="75"/>
      <c r="J240" s="178"/>
      <c r="K240" s="75"/>
      <c r="L240" s="75"/>
      <c r="M240" s="75"/>
      <c r="N240" s="75"/>
    </row>
    <row r="241">
      <c r="A241" s="75"/>
      <c r="B241" s="178"/>
      <c r="C241" s="75"/>
      <c r="D241" s="75"/>
      <c r="E241" s="75"/>
      <c r="F241" s="181"/>
      <c r="G241" s="75"/>
      <c r="H241" s="75"/>
      <c r="I241" s="75"/>
      <c r="J241" s="178"/>
      <c r="K241" s="75"/>
      <c r="L241" s="75"/>
      <c r="M241" s="75"/>
      <c r="N241" s="75"/>
    </row>
    <row r="242">
      <c r="A242" s="75"/>
      <c r="B242" s="178"/>
      <c r="C242" s="75"/>
      <c r="D242" s="75"/>
      <c r="E242" s="75"/>
      <c r="F242" s="181"/>
      <c r="G242" s="75"/>
      <c r="H242" s="75"/>
      <c r="I242" s="75"/>
      <c r="J242" s="178"/>
      <c r="K242" s="75"/>
      <c r="L242" s="75"/>
      <c r="M242" s="75"/>
      <c r="N242" s="75"/>
    </row>
    <row r="243">
      <c r="A243" s="75"/>
      <c r="B243" s="178"/>
      <c r="C243" s="75"/>
      <c r="D243" s="75"/>
      <c r="E243" s="75"/>
      <c r="F243" s="181"/>
      <c r="G243" s="75"/>
      <c r="H243" s="75"/>
      <c r="I243" s="75"/>
      <c r="J243" s="178"/>
      <c r="K243" s="75"/>
      <c r="L243" s="75"/>
      <c r="M243" s="75"/>
      <c r="N243" s="75"/>
    </row>
    <row r="244">
      <c r="A244" s="75"/>
      <c r="B244" s="178"/>
      <c r="C244" s="75"/>
      <c r="D244" s="75"/>
      <c r="E244" s="75"/>
      <c r="F244" s="181"/>
      <c r="G244" s="75"/>
      <c r="H244" s="75"/>
      <c r="I244" s="75"/>
      <c r="J244" s="178"/>
      <c r="K244" s="75"/>
      <c r="L244" s="75"/>
      <c r="M244" s="75"/>
      <c r="N244" s="75"/>
    </row>
    <row r="245">
      <c r="A245" s="75"/>
      <c r="B245" s="178"/>
      <c r="C245" s="75"/>
      <c r="D245" s="75"/>
      <c r="E245" s="75"/>
      <c r="F245" s="181"/>
      <c r="G245" s="75"/>
      <c r="H245" s="75"/>
      <c r="I245" s="75"/>
      <c r="J245" s="178"/>
      <c r="K245" s="75"/>
      <c r="L245" s="75"/>
      <c r="M245" s="75"/>
      <c r="N245" s="75"/>
    </row>
    <row r="246">
      <c r="A246" s="75"/>
      <c r="B246" s="178"/>
      <c r="C246" s="75"/>
      <c r="D246" s="75"/>
      <c r="E246" s="75"/>
      <c r="F246" s="181"/>
      <c r="G246" s="75"/>
      <c r="H246" s="75"/>
      <c r="I246" s="75"/>
      <c r="J246" s="178"/>
      <c r="K246" s="75"/>
      <c r="L246" s="75"/>
      <c r="M246" s="75"/>
      <c r="N246" s="75"/>
    </row>
    <row r="247">
      <c r="A247" s="75"/>
      <c r="B247" s="178"/>
      <c r="C247" s="75"/>
      <c r="D247" s="75"/>
      <c r="E247" s="75"/>
      <c r="F247" s="181"/>
      <c r="G247" s="75"/>
      <c r="H247" s="75"/>
      <c r="I247" s="75"/>
      <c r="J247" s="178"/>
      <c r="K247" s="75"/>
      <c r="L247" s="75"/>
      <c r="M247" s="75"/>
      <c r="N247" s="75"/>
    </row>
    <row r="248">
      <c r="A248" s="75"/>
      <c r="B248" s="178"/>
      <c r="C248" s="75"/>
      <c r="D248" s="75"/>
      <c r="E248" s="75"/>
      <c r="F248" s="181"/>
      <c r="G248" s="75"/>
      <c r="H248" s="75"/>
      <c r="I248" s="75"/>
      <c r="J248" s="178"/>
      <c r="K248" s="75"/>
      <c r="L248" s="75"/>
      <c r="M248" s="75"/>
      <c r="N248" s="75"/>
    </row>
    <row r="249">
      <c r="A249" s="75"/>
      <c r="B249" s="178"/>
      <c r="C249" s="75"/>
      <c r="D249" s="75"/>
      <c r="E249" s="75"/>
      <c r="F249" s="181"/>
      <c r="G249" s="75"/>
      <c r="H249" s="75"/>
      <c r="I249" s="75"/>
      <c r="J249" s="178"/>
      <c r="K249" s="75"/>
      <c r="L249" s="75"/>
      <c r="M249" s="75"/>
      <c r="N249" s="75"/>
    </row>
    <row r="250">
      <c r="A250" s="75"/>
      <c r="B250" s="178"/>
      <c r="C250" s="75"/>
      <c r="D250" s="75"/>
      <c r="E250" s="75"/>
      <c r="F250" s="181"/>
      <c r="G250" s="75"/>
      <c r="H250" s="75"/>
      <c r="I250" s="75"/>
      <c r="J250" s="178"/>
      <c r="K250" s="75"/>
      <c r="L250" s="75"/>
      <c r="M250" s="75"/>
      <c r="N250" s="75"/>
    </row>
    <row r="251">
      <c r="A251" s="75"/>
      <c r="B251" s="178"/>
      <c r="C251" s="75"/>
      <c r="D251" s="75"/>
      <c r="E251" s="75"/>
      <c r="F251" s="181"/>
      <c r="G251" s="75"/>
      <c r="H251" s="75"/>
      <c r="I251" s="75"/>
      <c r="J251" s="178"/>
      <c r="K251" s="75"/>
      <c r="L251" s="75"/>
      <c r="M251" s="75"/>
      <c r="N251" s="75"/>
    </row>
    <row r="252">
      <c r="A252" s="75"/>
      <c r="B252" s="178"/>
      <c r="C252" s="75"/>
      <c r="D252" s="75"/>
      <c r="E252" s="75"/>
      <c r="F252" s="181"/>
      <c r="G252" s="75"/>
      <c r="H252" s="75"/>
      <c r="I252" s="75"/>
      <c r="J252" s="178"/>
      <c r="K252" s="75"/>
      <c r="L252" s="75"/>
      <c r="M252" s="75"/>
      <c r="N252" s="75"/>
    </row>
    <row r="253">
      <c r="A253" s="75"/>
      <c r="B253" s="178"/>
      <c r="C253" s="75"/>
      <c r="D253" s="75"/>
      <c r="E253" s="75"/>
      <c r="F253" s="181"/>
      <c r="G253" s="75"/>
      <c r="H253" s="75"/>
      <c r="I253" s="75"/>
      <c r="J253" s="178"/>
      <c r="K253" s="75"/>
      <c r="L253" s="75"/>
      <c r="M253" s="75"/>
      <c r="N253" s="75"/>
    </row>
    <row r="254">
      <c r="A254" s="75"/>
      <c r="B254" s="178"/>
      <c r="C254" s="75"/>
      <c r="D254" s="75"/>
      <c r="E254" s="75"/>
      <c r="F254" s="181"/>
      <c r="G254" s="75"/>
      <c r="H254" s="75"/>
      <c r="I254" s="75"/>
      <c r="J254" s="178"/>
      <c r="K254" s="75"/>
      <c r="L254" s="75"/>
      <c r="M254" s="75"/>
      <c r="N254" s="75"/>
    </row>
    <row r="255">
      <c r="A255" s="75"/>
      <c r="B255" s="178"/>
      <c r="C255" s="75"/>
      <c r="D255" s="75"/>
      <c r="E255" s="75"/>
      <c r="F255" s="181"/>
      <c r="G255" s="75"/>
      <c r="H255" s="75"/>
      <c r="I255" s="75"/>
      <c r="J255" s="178"/>
      <c r="K255" s="75"/>
      <c r="L255" s="75"/>
      <c r="M255" s="75"/>
      <c r="N255" s="75"/>
    </row>
    <row r="256">
      <c r="A256" s="75"/>
      <c r="B256" s="178"/>
      <c r="C256" s="75"/>
      <c r="D256" s="75"/>
      <c r="E256" s="75"/>
      <c r="F256" s="181"/>
      <c r="G256" s="75"/>
      <c r="H256" s="75"/>
      <c r="I256" s="75"/>
      <c r="J256" s="178"/>
      <c r="K256" s="75"/>
      <c r="L256" s="75"/>
      <c r="M256" s="75"/>
      <c r="N256" s="75"/>
    </row>
    <row r="257">
      <c r="A257" s="75"/>
      <c r="B257" s="178"/>
      <c r="C257" s="75"/>
      <c r="D257" s="75"/>
      <c r="E257" s="75"/>
      <c r="F257" s="181"/>
      <c r="G257" s="75"/>
      <c r="H257" s="75"/>
      <c r="I257" s="75"/>
      <c r="J257" s="178"/>
      <c r="K257" s="75"/>
      <c r="L257" s="75"/>
      <c r="M257" s="75"/>
      <c r="N257" s="75"/>
    </row>
    <row r="258">
      <c r="A258" s="75"/>
      <c r="B258" s="178"/>
      <c r="C258" s="75"/>
      <c r="D258" s="75"/>
      <c r="E258" s="75"/>
      <c r="F258" s="181"/>
      <c r="G258" s="75"/>
      <c r="H258" s="75"/>
      <c r="I258" s="75"/>
      <c r="J258" s="178"/>
      <c r="K258" s="75"/>
      <c r="L258" s="75"/>
      <c r="M258" s="75"/>
      <c r="N258" s="75"/>
    </row>
    <row r="259">
      <c r="A259" s="75"/>
      <c r="B259" s="178"/>
      <c r="C259" s="75"/>
      <c r="D259" s="75"/>
      <c r="E259" s="75"/>
      <c r="F259" s="181"/>
      <c r="G259" s="75"/>
      <c r="H259" s="75"/>
      <c r="I259" s="75"/>
      <c r="J259" s="178"/>
      <c r="K259" s="75"/>
      <c r="L259" s="75"/>
      <c r="M259" s="75"/>
      <c r="N259" s="75"/>
    </row>
    <row r="260">
      <c r="A260" s="75"/>
      <c r="B260" s="178"/>
      <c r="C260" s="75"/>
      <c r="D260" s="75"/>
      <c r="E260" s="75"/>
      <c r="F260" s="181"/>
      <c r="G260" s="75"/>
      <c r="H260" s="75"/>
      <c r="I260" s="75"/>
      <c r="J260" s="178"/>
      <c r="K260" s="75"/>
      <c r="L260" s="75"/>
      <c r="M260" s="75"/>
      <c r="N260" s="75"/>
    </row>
    <row r="261">
      <c r="A261" s="75"/>
      <c r="B261" s="178"/>
      <c r="C261" s="75"/>
      <c r="D261" s="75"/>
      <c r="E261" s="75"/>
      <c r="F261" s="181"/>
      <c r="G261" s="75"/>
      <c r="H261" s="75"/>
      <c r="I261" s="75"/>
      <c r="J261" s="178"/>
      <c r="K261" s="75"/>
      <c r="L261" s="75"/>
      <c r="M261" s="75"/>
      <c r="N261" s="75"/>
    </row>
    <row r="262">
      <c r="A262" s="75"/>
      <c r="B262" s="178"/>
      <c r="C262" s="75"/>
      <c r="D262" s="75"/>
      <c r="E262" s="75"/>
      <c r="F262" s="181"/>
      <c r="G262" s="75"/>
      <c r="H262" s="75"/>
      <c r="I262" s="75"/>
      <c r="J262" s="178"/>
      <c r="K262" s="75"/>
      <c r="L262" s="75"/>
      <c r="M262" s="75"/>
      <c r="N262" s="75"/>
    </row>
    <row r="263">
      <c r="A263" s="75"/>
      <c r="B263" s="178"/>
      <c r="C263" s="75"/>
      <c r="D263" s="75"/>
      <c r="E263" s="75"/>
      <c r="F263" s="181"/>
      <c r="G263" s="75"/>
      <c r="H263" s="75"/>
      <c r="I263" s="75"/>
      <c r="J263" s="178"/>
      <c r="K263" s="75"/>
      <c r="L263" s="75"/>
      <c r="M263" s="75"/>
      <c r="N263" s="75"/>
    </row>
    <row r="264">
      <c r="A264" s="75"/>
      <c r="B264" s="178"/>
      <c r="C264" s="75"/>
      <c r="D264" s="75"/>
      <c r="E264" s="75"/>
      <c r="F264" s="181"/>
      <c r="G264" s="75"/>
      <c r="H264" s="75"/>
      <c r="I264" s="75"/>
      <c r="J264" s="178"/>
      <c r="K264" s="75"/>
      <c r="L264" s="75"/>
      <c r="M264" s="75"/>
      <c r="N264" s="75"/>
    </row>
    <row r="265">
      <c r="A265" s="75"/>
      <c r="B265" s="178"/>
      <c r="C265" s="75"/>
      <c r="D265" s="75"/>
      <c r="E265" s="75"/>
      <c r="F265" s="181"/>
      <c r="G265" s="75"/>
      <c r="H265" s="75"/>
      <c r="I265" s="75"/>
      <c r="J265" s="178"/>
      <c r="K265" s="75"/>
      <c r="L265" s="75"/>
      <c r="M265" s="75"/>
      <c r="N265" s="75"/>
    </row>
    <row r="266">
      <c r="A266" s="75"/>
      <c r="B266" s="178"/>
      <c r="C266" s="75"/>
      <c r="D266" s="75"/>
      <c r="E266" s="75"/>
      <c r="F266" s="181"/>
      <c r="G266" s="75"/>
      <c r="H266" s="75"/>
      <c r="I266" s="75"/>
      <c r="J266" s="178"/>
      <c r="K266" s="75"/>
      <c r="L266" s="75"/>
      <c r="M266" s="75"/>
      <c r="N266" s="75"/>
    </row>
    <row r="267">
      <c r="A267" s="75"/>
      <c r="B267" s="178"/>
      <c r="C267" s="75"/>
      <c r="D267" s="75"/>
      <c r="E267" s="75"/>
      <c r="F267" s="181"/>
      <c r="G267" s="75"/>
      <c r="H267" s="75"/>
      <c r="I267" s="75"/>
      <c r="J267" s="178"/>
      <c r="K267" s="75"/>
      <c r="L267" s="75"/>
      <c r="M267" s="75"/>
      <c r="N267" s="75"/>
    </row>
    <row r="268">
      <c r="A268" s="75"/>
      <c r="B268" s="178"/>
      <c r="C268" s="75"/>
      <c r="D268" s="75"/>
      <c r="E268" s="75"/>
      <c r="F268" s="181"/>
      <c r="G268" s="75"/>
      <c r="H268" s="75"/>
      <c r="I268" s="75"/>
      <c r="J268" s="178"/>
      <c r="K268" s="75"/>
      <c r="L268" s="75"/>
      <c r="M268" s="75"/>
      <c r="N268" s="75"/>
    </row>
    <row r="269">
      <c r="A269" s="75"/>
      <c r="B269" s="178"/>
      <c r="C269" s="75"/>
      <c r="D269" s="75"/>
      <c r="E269" s="75"/>
      <c r="F269" s="181"/>
      <c r="G269" s="75"/>
      <c r="H269" s="75"/>
      <c r="I269" s="75"/>
      <c r="J269" s="178"/>
      <c r="K269" s="75"/>
      <c r="L269" s="75"/>
      <c r="M269" s="75"/>
      <c r="N269" s="75"/>
    </row>
    <row r="270">
      <c r="A270" s="75"/>
      <c r="B270" s="178"/>
      <c r="C270" s="75"/>
      <c r="D270" s="75"/>
      <c r="E270" s="75"/>
      <c r="F270" s="181"/>
      <c r="G270" s="75"/>
      <c r="H270" s="75"/>
      <c r="I270" s="75"/>
      <c r="J270" s="178"/>
      <c r="K270" s="75"/>
      <c r="L270" s="75"/>
      <c r="M270" s="75"/>
      <c r="N270" s="75"/>
    </row>
    <row r="271">
      <c r="A271" s="75"/>
      <c r="B271" s="178"/>
      <c r="C271" s="75"/>
      <c r="D271" s="75"/>
      <c r="E271" s="75"/>
      <c r="F271" s="181"/>
      <c r="G271" s="75"/>
      <c r="H271" s="75"/>
      <c r="I271" s="75"/>
      <c r="J271" s="178"/>
      <c r="K271" s="75"/>
      <c r="L271" s="75"/>
      <c r="M271" s="75"/>
      <c r="N271" s="75"/>
    </row>
    <row r="272">
      <c r="A272" s="75"/>
      <c r="B272" s="178"/>
      <c r="C272" s="75"/>
      <c r="D272" s="75"/>
      <c r="E272" s="75"/>
      <c r="F272" s="181"/>
      <c r="G272" s="75"/>
      <c r="H272" s="75"/>
      <c r="I272" s="75"/>
      <c r="J272" s="178"/>
      <c r="K272" s="75"/>
      <c r="L272" s="75"/>
      <c r="M272" s="75"/>
      <c r="N272" s="75"/>
    </row>
    <row r="273">
      <c r="A273" s="75"/>
      <c r="B273" s="178"/>
      <c r="C273" s="75"/>
      <c r="D273" s="75"/>
      <c r="E273" s="75"/>
      <c r="F273" s="181"/>
      <c r="G273" s="75"/>
      <c r="H273" s="75"/>
      <c r="I273" s="75"/>
      <c r="J273" s="178"/>
      <c r="K273" s="75"/>
      <c r="L273" s="75"/>
      <c r="M273" s="75"/>
      <c r="N273" s="75"/>
    </row>
    <row r="274">
      <c r="A274" s="75"/>
      <c r="B274" s="178"/>
      <c r="C274" s="75"/>
      <c r="D274" s="75"/>
      <c r="E274" s="75"/>
      <c r="F274" s="181"/>
      <c r="G274" s="75"/>
      <c r="H274" s="75"/>
      <c r="I274" s="75"/>
      <c r="J274" s="178"/>
      <c r="K274" s="75"/>
      <c r="L274" s="75"/>
      <c r="M274" s="75"/>
      <c r="N274" s="75"/>
    </row>
    <row r="275">
      <c r="A275" s="75"/>
      <c r="B275" s="178"/>
      <c r="C275" s="75"/>
      <c r="D275" s="75"/>
      <c r="E275" s="75"/>
      <c r="F275" s="181"/>
      <c r="G275" s="75"/>
      <c r="H275" s="75"/>
      <c r="I275" s="75"/>
      <c r="J275" s="178"/>
      <c r="K275" s="75"/>
      <c r="L275" s="75"/>
      <c r="M275" s="75"/>
      <c r="N275" s="75"/>
    </row>
    <row r="276">
      <c r="A276" s="75"/>
      <c r="B276" s="178"/>
      <c r="C276" s="75"/>
      <c r="D276" s="75"/>
      <c r="E276" s="75"/>
      <c r="F276" s="181"/>
      <c r="G276" s="75"/>
      <c r="H276" s="75"/>
      <c r="I276" s="75"/>
      <c r="J276" s="178"/>
      <c r="K276" s="75"/>
      <c r="L276" s="75"/>
      <c r="M276" s="75"/>
      <c r="N276" s="75"/>
    </row>
    <row r="277">
      <c r="A277" s="75"/>
      <c r="B277" s="178"/>
      <c r="C277" s="75"/>
      <c r="D277" s="75"/>
      <c r="E277" s="75"/>
      <c r="F277" s="181"/>
      <c r="G277" s="75"/>
      <c r="H277" s="75"/>
      <c r="I277" s="75"/>
      <c r="J277" s="178"/>
      <c r="K277" s="75"/>
      <c r="L277" s="75"/>
      <c r="M277" s="75"/>
      <c r="N277" s="75"/>
    </row>
    <row r="278">
      <c r="A278" s="75"/>
      <c r="B278" s="178"/>
      <c r="C278" s="75"/>
      <c r="D278" s="75"/>
      <c r="E278" s="75"/>
      <c r="F278" s="181"/>
      <c r="G278" s="75"/>
      <c r="H278" s="75"/>
      <c r="I278" s="75"/>
      <c r="J278" s="178"/>
      <c r="K278" s="75"/>
      <c r="L278" s="75"/>
      <c r="M278" s="75"/>
      <c r="N278" s="75"/>
    </row>
    <row r="279">
      <c r="A279" s="75"/>
      <c r="B279" s="178"/>
      <c r="C279" s="75"/>
      <c r="D279" s="75"/>
      <c r="E279" s="75"/>
      <c r="F279" s="181"/>
      <c r="G279" s="75"/>
      <c r="H279" s="75"/>
      <c r="I279" s="75"/>
      <c r="J279" s="178"/>
      <c r="K279" s="75"/>
      <c r="L279" s="75"/>
      <c r="M279" s="75"/>
      <c r="N279" s="75"/>
    </row>
    <row r="280">
      <c r="A280" s="75"/>
      <c r="B280" s="178"/>
      <c r="C280" s="75"/>
      <c r="D280" s="75"/>
      <c r="E280" s="75"/>
      <c r="F280" s="181"/>
      <c r="G280" s="75"/>
      <c r="H280" s="75"/>
      <c r="I280" s="75"/>
      <c r="J280" s="178"/>
      <c r="K280" s="75"/>
      <c r="L280" s="75"/>
      <c r="M280" s="75"/>
      <c r="N280" s="75"/>
    </row>
    <row r="281">
      <c r="A281" s="75"/>
      <c r="B281" s="178"/>
      <c r="C281" s="75"/>
      <c r="D281" s="75"/>
      <c r="E281" s="75"/>
      <c r="F281" s="181"/>
      <c r="G281" s="75"/>
      <c r="H281" s="75"/>
      <c r="I281" s="75"/>
      <c r="J281" s="178"/>
      <c r="K281" s="75"/>
      <c r="L281" s="75"/>
      <c r="M281" s="75"/>
      <c r="N281" s="75"/>
    </row>
    <row r="282">
      <c r="A282" s="75"/>
      <c r="B282" s="178"/>
      <c r="C282" s="75"/>
      <c r="D282" s="75"/>
      <c r="E282" s="75"/>
      <c r="F282" s="181"/>
      <c r="G282" s="75"/>
      <c r="H282" s="75"/>
      <c r="I282" s="75"/>
      <c r="J282" s="178"/>
      <c r="K282" s="75"/>
      <c r="L282" s="75"/>
      <c r="M282" s="75"/>
      <c r="N282" s="75"/>
    </row>
    <row r="283">
      <c r="A283" s="75"/>
      <c r="B283" s="178"/>
      <c r="C283" s="75"/>
      <c r="D283" s="75"/>
      <c r="E283" s="75"/>
      <c r="F283" s="181"/>
      <c r="G283" s="75"/>
      <c r="H283" s="75"/>
      <c r="I283" s="75"/>
      <c r="J283" s="178"/>
      <c r="K283" s="75"/>
      <c r="L283" s="75"/>
      <c r="M283" s="75"/>
      <c r="N283" s="75"/>
    </row>
    <row r="284">
      <c r="A284" s="75"/>
      <c r="B284" s="178"/>
      <c r="C284" s="75"/>
      <c r="D284" s="75"/>
      <c r="E284" s="75"/>
      <c r="F284" s="181"/>
      <c r="G284" s="75"/>
      <c r="H284" s="75"/>
      <c r="I284" s="75"/>
      <c r="J284" s="178"/>
      <c r="K284" s="75"/>
      <c r="L284" s="75"/>
      <c r="M284" s="75"/>
      <c r="N284" s="75"/>
    </row>
    <row r="285">
      <c r="A285" s="75"/>
      <c r="B285" s="178"/>
      <c r="C285" s="75"/>
      <c r="D285" s="75"/>
      <c r="E285" s="75"/>
      <c r="F285" s="181"/>
      <c r="G285" s="75"/>
      <c r="H285" s="75"/>
      <c r="I285" s="75"/>
      <c r="J285" s="178"/>
      <c r="K285" s="75"/>
      <c r="L285" s="75"/>
      <c r="M285" s="75"/>
      <c r="N285" s="75"/>
    </row>
    <row r="286">
      <c r="A286" s="75"/>
      <c r="B286" s="178"/>
      <c r="C286" s="75"/>
      <c r="D286" s="75"/>
      <c r="E286" s="75"/>
      <c r="F286" s="181"/>
      <c r="G286" s="75"/>
      <c r="H286" s="75"/>
      <c r="I286" s="75"/>
      <c r="J286" s="178"/>
      <c r="K286" s="75"/>
      <c r="L286" s="75"/>
      <c r="M286" s="75"/>
      <c r="N286" s="75"/>
    </row>
    <row r="287">
      <c r="A287" s="75"/>
      <c r="B287" s="178"/>
      <c r="C287" s="75"/>
      <c r="D287" s="75"/>
      <c r="E287" s="75"/>
      <c r="F287" s="181"/>
      <c r="G287" s="75"/>
      <c r="H287" s="75"/>
      <c r="I287" s="75"/>
      <c r="J287" s="178"/>
      <c r="K287" s="75"/>
      <c r="L287" s="75"/>
      <c r="M287" s="75"/>
      <c r="N287" s="75"/>
    </row>
    <row r="288">
      <c r="A288" s="75"/>
      <c r="B288" s="178"/>
      <c r="C288" s="75"/>
      <c r="D288" s="75"/>
      <c r="E288" s="75"/>
      <c r="F288" s="181"/>
      <c r="G288" s="75"/>
      <c r="H288" s="75"/>
      <c r="I288" s="75"/>
      <c r="J288" s="178"/>
      <c r="K288" s="75"/>
      <c r="L288" s="75"/>
      <c r="M288" s="75"/>
      <c r="N288" s="75"/>
    </row>
    <row r="289">
      <c r="A289" s="75"/>
      <c r="B289" s="178"/>
      <c r="C289" s="75"/>
      <c r="D289" s="75"/>
      <c r="E289" s="75"/>
      <c r="F289" s="181"/>
      <c r="G289" s="75"/>
      <c r="H289" s="75"/>
      <c r="I289" s="75"/>
      <c r="J289" s="178"/>
      <c r="K289" s="75"/>
      <c r="L289" s="75"/>
      <c r="M289" s="75"/>
      <c r="N289" s="75"/>
    </row>
    <row r="290">
      <c r="A290" s="75"/>
      <c r="B290" s="178"/>
      <c r="C290" s="75"/>
      <c r="D290" s="75"/>
      <c r="E290" s="75"/>
      <c r="F290" s="181"/>
      <c r="G290" s="75"/>
      <c r="H290" s="75"/>
      <c r="I290" s="75"/>
      <c r="J290" s="178"/>
      <c r="K290" s="75"/>
      <c r="L290" s="75"/>
      <c r="M290" s="75"/>
      <c r="N290" s="75"/>
    </row>
    <row r="291">
      <c r="A291" s="75"/>
      <c r="B291" s="178"/>
      <c r="C291" s="75"/>
      <c r="D291" s="75"/>
      <c r="E291" s="75"/>
      <c r="F291" s="181"/>
      <c r="G291" s="75"/>
      <c r="H291" s="75"/>
      <c r="I291" s="75"/>
      <c r="J291" s="178"/>
      <c r="K291" s="75"/>
      <c r="L291" s="75"/>
      <c r="M291" s="75"/>
      <c r="N291" s="75"/>
    </row>
    <row r="292">
      <c r="A292" s="75"/>
      <c r="B292" s="178"/>
      <c r="C292" s="75"/>
      <c r="D292" s="75"/>
      <c r="E292" s="75"/>
      <c r="F292" s="181"/>
      <c r="G292" s="75"/>
      <c r="H292" s="75"/>
      <c r="I292" s="75"/>
      <c r="J292" s="178"/>
      <c r="K292" s="75"/>
      <c r="L292" s="75"/>
      <c r="M292" s="75"/>
      <c r="N292" s="75"/>
    </row>
    <row r="293">
      <c r="A293" s="75"/>
      <c r="B293" s="178"/>
      <c r="C293" s="75"/>
      <c r="D293" s="75"/>
      <c r="E293" s="75"/>
      <c r="F293" s="181"/>
      <c r="G293" s="75"/>
      <c r="H293" s="75"/>
      <c r="I293" s="75"/>
      <c r="J293" s="178"/>
      <c r="K293" s="75"/>
      <c r="L293" s="75"/>
      <c r="M293" s="75"/>
      <c r="N293" s="75"/>
    </row>
    <row r="294">
      <c r="A294" s="75"/>
      <c r="B294" s="178"/>
      <c r="C294" s="75"/>
      <c r="D294" s="75"/>
      <c r="E294" s="75"/>
      <c r="F294" s="181"/>
      <c r="G294" s="75"/>
      <c r="H294" s="75"/>
      <c r="I294" s="75"/>
      <c r="J294" s="178"/>
      <c r="K294" s="75"/>
      <c r="L294" s="75"/>
      <c r="M294" s="75"/>
      <c r="N294" s="75"/>
    </row>
    <row r="295">
      <c r="A295" s="75"/>
      <c r="B295" s="178"/>
      <c r="C295" s="75"/>
      <c r="D295" s="75"/>
      <c r="E295" s="75"/>
      <c r="F295" s="181"/>
      <c r="G295" s="75"/>
      <c r="H295" s="75"/>
      <c r="I295" s="75"/>
      <c r="J295" s="178"/>
      <c r="K295" s="75"/>
      <c r="L295" s="75"/>
      <c r="M295" s="75"/>
      <c r="N295" s="75"/>
    </row>
    <row r="296">
      <c r="A296" s="75"/>
      <c r="B296" s="178"/>
      <c r="C296" s="75"/>
      <c r="D296" s="75"/>
      <c r="E296" s="75"/>
      <c r="F296" s="181"/>
      <c r="G296" s="75"/>
      <c r="H296" s="75"/>
      <c r="I296" s="75"/>
      <c r="J296" s="178"/>
      <c r="K296" s="75"/>
      <c r="L296" s="75"/>
      <c r="M296" s="75"/>
      <c r="N296" s="75"/>
    </row>
    <row r="297">
      <c r="A297" s="75"/>
      <c r="B297" s="178"/>
      <c r="C297" s="75"/>
      <c r="D297" s="75"/>
      <c r="E297" s="75"/>
      <c r="F297" s="181"/>
      <c r="G297" s="75"/>
      <c r="H297" s="75"/>
      <c r="I297" s="75"/>
      <c r="J297" s="178"/>
      <c r="K297" s="75"/>
      <c r="L297" s="75"/>
      <c r="M297" s="75"/>
      <c r="N297" s="75"/>
    </row>
    <row r="298">
      <c r="A298" s="75"/>
      <c r="B298" s="178"/>
      <c r="C298" s="75"/>
      <c r="D298" s="75"/>
      <c r="E298" s="75"/>
      <c r="F298" s="181"/>
      <c r="G298" s="75"/>
      <c r="H298" s="75"/>
      <c r="I298" s="75"/>
      <c r="J298" s="178"/>
      <c r="K298" s="75"/>
      <c r="L298" s="75"/>
      <c r="M298" s="75"/>
      <c r="N298" s="75"/>
    </row>
    <row r="299">
      <c r="A299" s="75"/>
      <c r="B299" s="178"/>
      <c r="C299" s="75"/>
      <c r="D299" s="75"/>
      <c r="E299" s="75"/>
      <c r="F299" s="181"/>
      <c r="G299" s="75"/>
      <c r="H299" s="75"/>
      <c r="I299" s="75"/>
      <c r="J299" s="178"/>
      <c r="K299" s="75"/>
      <c r="L299" s="75"/>
      <c r="M299" s="75"/>
      <c r="N299" s="75"/>
    </row>
    <row r="300">
      <c r="A300" s="75"/>
      <c r="B300" s="178"/>
      <c r="C300" s="75"/>
      <c r="D300" s="75"/>
      <c r="E300" s="75"/>
      <c r="F300" s="181"/>
      <c r="G300" s="75"/>
      <c r="H300" s="75"/>
      <c r="I300" s="75"/>
      <c r="J300" s="178"/>
      <c r="K300" s="75"/>
      <c r="L300" s="75"/>
      <c r="M300" s="75"/>
      <c r="N300" s="75"/>
    </row>
    <row r="301">
      <c r="A301" s="75"/>
      <c r="B301" s="178"/>
      <c r="C301" s="75"/>
      <c r="D301" s="75"/>
      <c r="E301" s="75"/>
      <c r="F301" s="181"/>
      <c r="G301" s="75"/>
      <c r="H301" s="75"/>
      <c r="I301" s="75"/>
      <c r="J301" s="178"/>
      <c r="K301" s="75"/>
      <c r="L301" s="75"/>
      <c r="M301" s="75"/>
      <c r="N301" s="75"/>
    </row>
    <row r="302">
      <c r="A302" s="75"/>
      <c r="B302" s="178"/>
      <c r="C302" s="75"/>
      <c r="D302" s="75"/>
      <c r="E302" s="75"/>
      <c r="F302" s="181"/>
      <c r="G302" s="75"/>
      <c r="H302" s="75"/>
      <c r="I302" s="75"/>
      <c r="J302" s="178"/>
      <c r="K302" s="75"/>
      <c r="L302" s="75"/>
      <c r="M302" s="75"/>
      <c r="N302" s="75"/>
    </row>
    <row r="303">
      <c r="A303" s="75"/>
      <c r="B303" s="178"/>
      <c r="C303" s="75"/>
      <c r="D303" s="75"/>
      <c r="E303" s="75"/>
      <c r="F303" s="181"/>
      <c r="G303" s="75"/>
      <c r="H303" s="75"/>
      <c r="I303" s="75"/>
      <c r="J303" s="178"/>
      <c r="K303" s="75"/>
      <c r="L303" s="75"/>
      <c r="M303" s="75"/>
      <c r="N303" s="75"/>
    </row>
    <row r="304">
      <c r="A304" s="75"/>
      <c r="B304" s="178"/>
      <c r="C304" s="75"/>
      <c r="D304" s="75"/>
      <c r="E304" s="75"/>
      <c r="F304" s="181"/>
      <c r="G304" s="75"/>
      <c r="H304" s="75"/>
      <c r="I304" s="75"/>
      <c r="J304" s="178"/>
      <c r="K304" s="75"/>
      <c r="L304" s="75"/>
      <c r="M304" s="75"/>
      <c r="N304" s="75"/>
    </row>
    <row r="305">
      <c r="A305" s="75"/>
      <c r="B305" s="178"/>
      <c r="C305" s="75"/>
      <c r="D305" s="75"/>
      <c r="E305" s="75"/>
      <c r="F305" s="181"/>
      <c r="G305" s="75"/>
      <c r="H305" s="75"/>
      <c r="I305" s="75"/>
      <c r="J305" s="178"/>
      <c r="K305" s="75"/>
      <c r="L305" s="75"/>
      <c r="M305" s="75"/>
      <c r="N305" s="75"/>
    </row>
    <row r="306">
      <c r="A306" s="75"/>
      <c r="B306" s="178"/>
      <c r="C306" s="75"/>
      <c r="D306" s="75"/>
      <c r="E306" s="75"/>
      <c r="F306" s="181"/>
      <c r="G306" s="75"/>
      <c r="H306" s="75"/>
      <c r="I306" s="75"/>
      <c r="J306" s="178"/>
      <c r="K306" s="75"/>
      <c r="L306" s="75"/>
      <c r="M306" s="75"/>
      <c r="N306" s="75"/>
    </row>
    <row r="307">
      <c r="A307" s="75"/>
      <c r="B307" s="178"/>
      <c r="C307" s="75"/>
      <c r="D307" s="75"/>
      <c r="E307" s="75"/>
      <c r="F307" s="181"/>
      <c r="G307" s="75"/>
      <c r="H307" s="75"/>
      <c r="I307" s="75"/>
      <c r="J307" s="178"/>
      <c r="K307" s="75"/>
      <c r="L307" s="75"/>
      <c r="M307" s="75"/>
      <c r="N307" s="75"/>
    </row>
    <row r="308">
      <c r="A308" s="75"/>
      <c r="B308" s="178"/>
      <c r="C308" s="75"/>
      <c r="D308" s="75"/>
      <c r="E308" s="75"/>
      <c r="F308" s="181"/>
      <c r="G308" s="75"/>
      <c r="H308" s="75"/>
      <c r="I308" s="75"/>
      <c r="J308" s="178"/>
      <c r="K308" s="75"/>
      <c r="L308" s="75"/>
      <c r="M308" s="75"/>
      <c r="N308" s="75"/>
    </row>
    <row r="309">
      <c r="A309" s="75"/>
      <c r="B309" s="178"/>
      <c r="C309" s="75"/>
      <c r="D309" s="75"/>
      <c r="E309" s="75"/>
      <c r="F309" s="181"/>
      <c r="G309" s="75"/>
      <c r="H309" s="75"/>
      <c r="I309" s="75"/>
      <c r="J309" s="178"/>
      <c r="K309" s="75"/>
      <c r="L309" s="75"/>
      <c r="M309" s="75"/>
      <c r="N309" s="75"/>
    </row>
    <row r="310">
      <c r="A310" s="75"/>
      <c r="B310" s="178"/>
      <c r="C310" s="75"/>
      <c r="D310" s="75"/>
      <c r="E310" s="75"/>
      <c r="F310" s="181"/>
      <c r="G310" s="75"/>
      <c r="H310" s="75"/>
      <c r="I310" s="75"/>
      <c r="J310" s="178"/>
      <c r="K310" s="75"/>
      <c r="L310" s="75"/>
      <c r="M310" s="75"/>
      <c r="N310" s="75"/>
    </row>
    <row r="311">
      <c r="A311" s="75"/>
      <c r="B311" s="178"/>
      <c r="C311" s="75"/>
      <c r="D311" s="75"/>
      <c r="E311" s="75"/>
      <c r="F311" s="181"/>
      <c r="G311" s="75"/>
      <c r="H311" s="75"/>
      <c r="I311" s="75"/>
      <c r="J311" s="178"/>
      <c r="K311" s="75"/>
      <c r="L311" s="75"/>
      <c r="M311" s="75"/>
      <c r="N311" s="75"/>
    </row>
    <row r="312">
      <c r="A312" s="75"/>
      <c r="B312" s="178"/>
      <c r="C312" s="75"/>
      <c r="D312" s="75"/>
      <c r="E312" s="75"/>
      <c r="F312" s="181"/>
      <c r="G312" s="75"/>
      <c r="H312" s="75"/>
      <c r="I312" s="75"/>
      <c r="J312" s="178"/>
      <c r="K312" s="75"/>
      <c r="L312" s="75"/>
      <c r="M312" s="75"/>
      <c r="N312" s="75"/>
    </row>
    <row r="313">
      <c r="A313" s="75"/>
      <c r="B313" s="178"/>
      <c r="C313" s="75"/>
      <c r="D313" s="75"/>
      <c r="E313" s="75"/>
      <c r="F313" s="181"/>
      <c r="G313" s="75"/>
      <c r="H313" s="75"/>
      <c r="I313" s="75"/>
      <c r="J313" s="178"/>
      <c r="K313" s="75"/>
      <c r="L313" s="75"/>
      <c r="M313" s="75"/>
      <c r="N313" s="75"/>
    </row>
    <row r="314">
      <c r="A314" s="75"/>
      <c r="B314" s="178"/>
      <c r="C314" s="75"/>
      <c r="D314" s="75"/>
      <c r="E314" s="75"/>
      <c r="F314" s="181"/>
      <c r="G314" s="75"/>
      <c r="H314" s="75"/>
      <c r="I314" s="75"/>
      <c r="J314" s="178"/>
      <c r="K314" s="75"/>
      <c r="L314" s="75"/>
      <c r="M314" s="75"/>
      <c r="N314" s="75"/>
    </row>
    <row r="315">
      <c r="A315" s="75"/>
      <c r="B315" s="178"/>
      <c r="C315" s="75"/>
      <c r="D315" s="75"/>
      <c r="E315" s="75"/>
      <c r="F315" s="181"/>
      <c r="G315" s="75"/>
      <c r="H315" s="75"/>
      <c r="I315" s="75"/>
      <c r="J315" s="178"/>
      <c r="K315" s="75"/>
      <c r="L315" s="75"/>
      <c r="M315" s="75"/>
      <c r="N315" s="75"/>
    </row>
    <row r="316">
      <c r="A316" s="75"/>
      <c r="B316" s="178"/>
      <c r="C316" s="75"/>
      <c r="D316" s="75"/>
      <c r="E316" s="75"/>
      <c r="F316" s="181"/>
      <c r="G316" s="75"/>
      <c r="H316" s="75"/>
      <c r="I316" s="75"/>
      <c r="J316" s="178"/>
      <c r="K316" s="75"/>
      <c r="L316" s="75"/>
      <c r="M316" s="75"/>
      <c r="N316" s="75"/>
    </row>
    <row r="317">
      <c r="A317" s="75"/>
      <c r="B317" s="178"/>
      <c r="C317" s="75"/>
      <c r="D317" s="75"/>
      <c r="E317" s="75"/>
      <c r="F317" s="181"/>
      <c r="G317" s="75"/>
      <c r="H317" s="75"/>
      <c r="I317" s="75"/>
      <c r="J317" s="178"/>
      <c r="K317" s="75"/>
      <c r="L317" s="75"/>
      <c r="M317" s="75"/>
      <c r="N317" s="75"/>
    </row>
    <row r="318">
      <c r="A318" s="75"/>
      <c r="B318" s="178"/>
      <c r="C318" s="75"/>
      <c r="D318" s="75"/>
      <c r="E318" s="75"/>
      <c r="F318" s="181"/>
      <c r="G318" s="75"/>
      <c r="H318" s="75"/>
      <c r="I318" s="75"/>
      <c r="J318" s="178"/>
      <c r="K318" s="75"/>
      <c r="L318" s="75"/>
      <c r="M318" s="75"/>
      <c r="N318" s="75"/>
    </row>
    <row r="319">
      <c r="A319" s="75"/>
      <c r="B319" s="178"/>
      <c r="C319" s="75"/>
      <c r="D319" s="75"/>
      <c r="E319" s="75"/>
      <c r="F319" s="181"/>
      <c r="G319" s="75"/>
      <c r="H319" s="75"/>
      <c r="I319" s="75"/>
      <c r="J319" s="178"/>
      <c r="K319" s="75"/>
      <c r="L319" s="75"/>
      <c r="M319" s="75"/>
      <c r="N319" s="75"/>
    </row>
    <row r="320">
      <c r="A320" s="75"/>
      <c r="B320" s="178"/>
      <c r="C320" s="75"/>
      <c r="D320" s="75"/>
      <c r="E320" s="75"/>
      <c r="F320" s="181"/>
      <c r="G320" s="75"/>
      <c r="H320" s="75"/>
      <c r="I320" s="75"/>
      <c r="J320" s="178"/>
      <c r="K320" s="75"/>
      <c r="L320" s="75"/>
      <c r="M320" s="75"/>
      <c r="N320" s="75"/>
    </row>
    <row r="321">
      <c r="A321" s="75"/>
      <c r="B321" s="178"/>
      <c r="C321" s="75"/>
      <c r="D321" s="75"/>
      <c r="E321" s="75"/>
      <c r="F321" s="181"/>
      <c r="G321" s="75"/>
      <c r="H321" s="75"/>
      <c r="I321" s="75"/>
      <c r="J321" s="178"/>
      <c r="K321" s="75"/>
      <c r="L321" s="75"/>
      <c r="M321" s="75"/>
      <c r="N321" s="75"/>
    </row>
    <row r="322">
      <c r="A322" s="75"/>
      <c r="B322" s="178"/>
      <c r="C322" s="75"/>
      <c r="D322" s="75"/>
      <c r="E322" s="75"/>
      <c r="F322" s="181"/>
      <c r="G322" s="75"/>
      <c r="H322" s="75"/>
      <c r="I322" s="75"/>
      <c r="J322" s="178"/>
      <c r="K322" s="75"/>
      <c r="L322" s="75"/>
      <c r="M322" s="75"/>
      <c r="N322" s="75"/>
    </row>
    <row r="323">
      <c r="A323" s="75"/>
      <c r="B323" s="178"/>
      <c r="C323" s="75"/>
      <c r="D323" s="75"/>
      <c r="E323" s="75"/>
      <c r="F323" s="181"/>
      <c r="G323" s="75"/>
      <c r="H323" s="75"/>
      <c r="I323" s="75"/>
      <c r="J323" s="178"/>
      <c r="K323" s="75"/>
      <c r="L323" s="75"/>
      <c r="M323" s="75"/>
      <c r="N323" s="75"/>
    </row>
    <row r="324">
      <c r="A324" s="75"/>
      <c r="B324" s="178"/>
      <c r="C324" s="75"/>
      <c r="D324" s="75"/>
      <c r="E324" s="75"/>
      <c r="F324" s="181"/>
      <c r="G324" s="75"/>
      <c r="H324" s="75"/>
      <c r="I324" s="75"/>
      <c r="J324" s="178"/>
      <c r="K324" s="75"/>
      <c r="L324" s="75"/>
      <c r="M324" s="75"/>
      <c r="N324" s="75"/>
    </row>
    <row r="325">
      <c r="A325" s="75"/>
      <c r="B325" s="178"/>
      <c r="C325" s="75"/>
      <c r="D325" s="75"/>
      <c r="E325" s="75"/>
      <c r="F325" s="181"/>
      <c r="G325" s="75"/>
      <c r="H325" s="75"/>
      <c r="I325" s="75"/>
      <c r="J325" s="178"/>
      <c r="K325" s="75"/>
      <c r="L325" s="75"/>
      <c r="M325" s="75"/>
      <c r="N325" s="75"/>
    </row>
    <row r="326">
      <c r="A326" s="75"/>
      <c r="B326" s="178"/>
      <c r="C326" s="75"/>
      <c r="D326" s="75"/>
      <c r="E326" s="75"/>
      <c r="F326" s="181"/>
      <c r="G326" s="75"/>
      <c r="H326" s="75"/>
      <c r="I326" s="75"/>
      <c r="J326" s="178"/>
      <c r="K326" s="75"/>
      <c r="L326" s="75"/>
      <c r="M326" s="75"/>
      <c r="N326" s="75"/>
    </row>
    <row r="327">
      <c r="A327" s="75"/>
      <c r="B327" s="178"/>
      <c r="C327" s="75"/>
      <c r="D327" s="75"/>
      <c r="E327" s="75"/>
      <c r="F327" s="181"/>
      <c r="G327" s="75"/>
      <c r="H327" s="75"/>
      <c r="I327" s="75"/>
      <c r="J327" s="178"/>
      <c r="K327" s="75"/>
      <c r="L327" s="75"/>
      <c r="M327" s="75"/>
      <c r="N327" s="75"/>
    </row>
    <row r="328">
      <c r="A328" s="75"/>
      <c r="B328" s="178"/>
      <c r="C328" s="75"/>
      <c r="D328" s="75"/>
      <c r="E328" s="75"/>
      <c r="F328" s="181"/>
      <c r="G328" s="75"/>
      <c r="H328" s="75"/>
      <c r="I328" s="75"/>
      <c r="J328" s="178"/>
      <c r="K328" s="75"/>
      <c r="L328" s="75"/>
      <c r="M328" s="75"/>
      <c r="N328" s="75"/>
    </row>
    <row r="329">
      <c r="A329" s="75"/>
      <c r="B329" s="178"/>
      <c r="C329" s="75"/>
      <c r="D329" s="75"/>
      <c r="E329" s="75"/>
      <c r="F329" s="181"/>
      <c r="G329" s="75"/>
      <c r="H329" s="75"/>
      <c r="I329" s="75"/>
      <c r="J329" s="178"/>
      <c r="K329" s="75"/>
      <c r="L329" s="75"/>
      <c r="M329" s="75"/>
      <c r="N329" s="75"/>
    </row>
    <row r="330">
      <c r="A330" s="75"/>
      <c r="B330" s="178"/>
      <c r="C330" s="75"/>
      <c r="D330" s="75"/>
      <c r="E330" s="75"/>
      <c r="F330" s="181"/>
      <c r="G330" s="75"/>
      <c r="H330" s="75"/>
      <c r="I330" s="75"/>
      <c r="J330" s="178"/>
      <c r="K330" s="75"/>
      <c r="L330" s="75"/>
      <c r="M330" s="75"/>
      <c r="N330" s="75"/>
    </row>
    <row r="331">
      <c r="A331" s="75"/>
      <c r="B331" s="178"/>
      <c r="C331" s="75"/>
      <c r="D331" s="75"/>
      <c r="E331" s="75"/>
      <c r="F331" s="181"/>
      <c r="G331" s="75"/>
      <c r="H331" s="75"/>
      <c r="I331" s="75"/>
      <c r="J331" s="178"/>
      <c r="K331" s="75"/>
      <c r="L331" s="75"/>
      <c r="M331" s="75"/>
      <c r="N331" s="75"/>
    </row>
    <row r="332">
      <c r="A332" s="75"/>
      <c r="B332" s="178"/>
      <c r="C332" s="75"/>
      <c r="D332" s="75"/>
      <c r="E332" s="75"/>
      <c r="F332" s="181"/>
      <c r="G332" s="75"/>
      <c r="H332" s="75"/>
      <c r="I332" s="75"/>
      <c r="J332" s="178"/>
      <c r="K332" s="75"/>
      <c r="L332" s="75"/>
      <c r="M332" s="75"/>
      <c r="N332" s="75"/>
    </row>
    <row r="333">
      <c r="A333" s="75"/>
      <c r="B333" s="178"/>
      <c r="C333" s="75"/>
      <c r="D333" s="75"/>
      <c r="E333" s="75"/>
      <c r="F333" s="181"/>
      <c r="G333" s="75"/>
      <c r="H333" s="75"/>
      <c r="I333" s="75"/>
      <c r="J333" s="178"/>
      <c r="K333" s="75"/>
      <c r="L333" s="75"/>
      <c r="M333" s="75"/>
      <c r="N333" s="75"/>
    </row>
    <row r="334">
      <c r="A334" s="75"/>
      <c r="B334" s="178"/>
      <c r="C334" s="75"/>
      <c r="D334" s="75"/>
      <c r="E334" s="75"/>
      <c r="F334" s="181"/>
      <c r="G334" s="75"/>
      <c r="H334" s="75"/>
      <c r="I334" s="75"/>
      <c r="J334" s="178"/>
      <c r="K334" s="75"/>
      <c r="L334" s="75"/>
      <c r="M334" s="75"/>
      <c r="N334" s="75"/>
    </row>
    <row r="335">
      <c r="A335" s="75"/>
      <c r="B335" s="178"/>
      <c r="C335" s="75"/>
      <c r="D335" s="75"/>
      <c r="E335" s="75"/>
      <c r="F335" s="181"/>
      <c r="G335" s="75"/>
      <c r="H335" s="75"/>
      <c r="I335" s="75"/>
      <c r="J335" s="178"/>
      <c r="K335" s="75"/>
      <c r="L335" s="75"/>
      <c r="M335" s="75"/>
      <c r="N335" s="75"/>
    </row>
    <row r="336">
      <c r="A336" s="75"/>
      <c r="B336" s="178"/>
      <c r="C336" s="75"/>
      <c r="D336" s="75"/>
      <c r="E336" s="75"/>
      <c r="F336" s="181"/>
      <c r="G336" s="75"/>
      <c r="H336" s="75"/>
      <c r="I336" s="75"/>
      <c r="J336" s="178"/>
      <c r="K336" s="75"/>
      <c r="L336" s="75"/>
      <c r="M336" s="75"/>
      <c r="N336" s="75"/>
    </row>
    <row r="337">
      <c r="A337" s="75"/>
      <c r="B337" s="178"/>
      <c r="C337" s="75"/>
      <c r="D337" s="75"/>
      <c r="E337" s="75"/>
      <c r="F337" s="181"/>
      <c r="G337" s="75"/>
      <c r="H337" s="75"/>
      <c r="I337" s="75"/>
      <c r="J337" s="178"/>
      <c r="K337" s="75"/>
      <c r="L337" s="75"/>
      <c r="M337" s="75"/>
      <c r="N337" s="75"/>
    </row>
    <row r="338">
      <c r="A338" s="75"/>
      <c r="B338" s="178"/>
      <c r="C338" s="75"/>
      <c r="D338" s="75"/>
      <c r="E338" s="75"/>
      <c r="F338" s="181"/>
      <c r="G338" s="75"/>
      <c r="H338" s="75"/>
      <c r="I338" s="75"/>
      <c r="J338" s="178"/>
      <c r="K338" s="75"/>
      <c r="L338" s="75"/>
      <c r="M338" s="75"/>
      <c r="N338" s="75"/>
    </row>
    <row r="339">
      <c r="A339" s="75"/>
      <c r="B339" s="178"/>
      <c r="C339" s="75"/>
      <c r="D339" s="75"/>
      <c r="E339" s="75"/>
      <c r="F339" s="181"/>
      <c r="G339" s="75"/>
      <c r="H339" s="75"/>
      <c r="I339" s="75"/>
      <c r="J339" s="178"/>
      <c r="K339" s="75"/>
      <c r="L339" s="75"/>
      <c r="M339" s="75"/>
      <c r="N339" s="75"/>
    </row>
    <row r="340">
      <c r="A340" s="75"/>
      <c r="B340" s="178"/>
      <c r="C340" s="75"/>
      <c r="D340" s="75"/>
      <c r="E340" s="75"/>
      <c r="F340" s="181"/>
      <c r="G340" s="75"/>
      <c r="H340" s="75"/>
      <c r="I340" s="75"/>
      <c r="J340" s="178"/>
      <c r="K340" s="75"/>
      <c r="L340" s="75"/>
      <c r="M340" s="75"/>
      <c r="N340" s="75"/>
    </row>
    <row r="341">
      <c r="A341" s="75"/>
      <c r="B341" s="178"/>
      <c r="C341" s="75"/>
      <c r="D341" s="75"/>
      <c r="E341" s="75"/>
      <c r="F341" s="181"/>
      <c r="G341" s="75"/>
      <c r="H341" s="75"/>
      <c r="I341" s="75"/>
      <c r="J341" s="178"/>
      <c r="K341" s="75"/>
      <c r="L341" s="75"/>
      <c r="M341" s="75"/>
      <c r="N341" s="75"/>
    </row>
    <row r="342">
      <c r="A342" s="75"/>
      <c r="B342" s="178"/>
      <c r="C342" s="75"/>
      <c r="D342" s="75"/>
      <c r="E342" s="75"/>
      <c r="F342" s="181"/>
      <c r="G342" s="75"/>
      <c r="H342" s="75"/>
      <c r="I342" s="75"/>
      <c r="J342" s="178"/>
      <c r="K342" s="75"/>
      <c r="L342" s="75"/>
      <c r="M342" s="75"/>
      <c r="N342" s="75"/>
    </row>
    <row r="343">
      <c r="A343" s="75"/>
      <c r="B343" s="178"/>
      <c r="C343" s="75"/>
      <c r="D343" s="75"/>
      <c r="E343" s="75"/>
      <c r="F343" s="181"/>
      <c r="G343" s="75"/>
      <c r="H343" s="75"/>
      <c r="I343" s="75"/>
      <c r="J343" s="178"/>
      <c r="K343" s="75"/>
      <c r="L343" s="75"/>
      <c r="M343" s="75"/>
      <c r="N343" s="75"/>
    </row>
    <row r="344">
      <c r="A344" s="75"/>
      <c r="B344" s="178"/>
      <c r="C344" s="75"/>
      <c r="D344" s="75"/>
      <c r="E344" s="75"/>
      <c r="F344" s="181"/>
      <c r="G344" s="75"/>
      <c r="H344" s="75"/>
      <c r="I344" s="75"/>
      <c r="J344" s="178"/>
      <c r="K344" s="75"/>
      <c r="L344" s="75"/>
      <c r="M344" s="75"/>
      <c r="N344" s="75"/>
    </row>
    <row r="345">
      <c r="A345" s="75"/>
      <c r="B345" s="178"/>
      <c r="C345" s="75"/>
      <c r="D345" s="75"/>
      <c r="E345" s="75"/>
      <c r="F345" s="181"/>
      <c r="G345" s="75"/>
      <c r="H345" s="75"/>
      <c r="I345" s="75"/>
      <c r="J345" s="178"/>
      <c r="K345" s="75"/>
      <c r="L345" s="75"/>
      <c r="M345" s="75"/>
      <c r="N345" s="75"/>
    </row>
    <row r="346">
      <c r="A346" s="75"/>
      <c r="B346" s="178"/>
      <c r="C346" s="75"/>
      <c r="D346" s="75"/>
      <c r="E346" s="75"/>
      <c r="F346" s="181"/>
      <c r="G346" s="75"/>
      <c r="H346" s="75"/>
      <c r="I346" s="75"/>
      <c r="J346" s="178"/>
      <c r="K346" s="75"/>
      <c r="L346" s="75"/>
      <c r="M346" s="75"/>
      <c r="N346" s="75"/>
    </row>
    <row r="347">
      <c r="A347" s="75"/>
      <c r="B347" s="178"/>
      <c r="C347" s="75"/>
      <c r="D347" s="75"/>
      <c r="E347" s="75"/>
      <c r="F347" s="181"/>
      <c r="G347" s="75"/>
      <c r="H347" s="75"/>
      <c r="I347" s="75"/>
      <c r="J347" s="178"/>
      <c r="K347" s="75"/>
      <c r="L347" s="75"/>
      <c r="M347" s="75"/>
      <c r="N347" s="75"/>
    </row>
    <row r="348">
      <c r="A348" s="75"/>
      <c r="B348" s="178"/>
      <c r="C348" s="75"/>
      <c r="D348" s="75"/>
      <c r="E348" s="75"/>
      <c r="F348" s="181"/>
      <c r="G348" s="75"/>
      <c r="H348" s="75"/>
      <c r="I348" s="75"/>
      <c r="J348" s="178"/>
      <c r="K348" s="75"/>
      <c r="L348" s="75"/>
      <c r="M348" s="75"/>
      <c r="N348" s="75"/>
    </row>
    <row r="349">
      <c r="A349" s="75"/>
      <c r="B349" s="178"/>
      <c r="C349" s="75"/>
      <c r="D349" s="75"/>
      <c r="E349" s="75"/>
      <c r="F349" s="181"/>
      <c r="G349" s="75"/>
      <c r="H349" s="75"/>
      <c r="I349" s="75"/>
      <c r="J349" s="178"/>
      <c r="K349" s="75"/>
      <c r="L349" s="75"/>
      <c r="M349" s="75"/>
      <c r="N349" s="75"/>
    </row>
    <row r="350">
      <c r="A350" s="75"/>
      <c r="B350" s="178"/>
      <c r="C350" s="75"/>
      <c r="D350" s="75"/>
      <c r="E350" s="75"/>
      <c r="F350" s="181"/>
      <c r="G350" s="75"/>
      <c r="H350" s="75"/>
      <c r="I350" s="75"/>
      <c r="J350" s="178"/>
      <c r="K350" s="75"/>
      <c r="L350" s="75"/>
      <c r="M350" s="75"/>
      <c r="N350" s="75"/>
    </row>
    <row r="351">
      <c r="A351" s="75"/>
      <c r="B351" s="178"/>
      <c r="C351" s="75"/>
      <c r="D351" s="75"/>
      <c r="E351" s="75"/>
      <c r="F351" s="181"/>
      <c r="G351" s="75"/>
      <c r="H351" s="75"/>
      <c r="I351" s="75"/>
      <c r="J351" s="178"/>
      <c r="K351" s="75"/>
      <c r="L351" s="75"/>
      <c r="M351" s="75"/>
      <c r="N351" s="75"/>
    </row>
    <row r="352">
      <c r="A352" s="75"/>
      <c r="B352" s="178"/>
      <c r="C352" s="75"/>
      <c r="D352" s="75"/>
      <c r="E352" s="75"/>
      <c r="F352" s="181"/>
      <c r="G352" s="75"/>
      <c r="H352" s="75"/>
      <c r="I352" s="75"/>
      <c r="J352" s="178"/>
      <c r="K352" s="75"/>
      <c r="L352" s="75"/>
      <c r="M352" s="75"/>
      <c r="N352" s="75"/>
    </row>
    <row r="353">
      <c r="A353" s="75"/>
      <c r="B353" s="178"/>
      <c r="C353" s="75"/>
      <c r="D353" s="75"/>
      <c r="E353" s="75"/>
      <c r="F353" s="181"/>
      <c r="G353" s="75"/>
      <c r="H353" s="75"/>
      <c r="I353" s="75"/>
      <c r="J353" s="178"/>
      <c r="K353" s="75"/>
      <c r="L353" s="75"/>
      <c r="M353" s="75"/>
      <c r="N353" s="75"/>
    </row>
    <row r="354">
      <c r="A354" s="75"/>
      <c r="B354" s="178"/>
      <c r="C354" s="75"/>
      <c r="D354" s="75"/>
      <c r="E354" s="75"/>
      <c r="F354" s="181"/>
      <c r="G354" s="75"/>
      <c r="H354" s="75"/>
      <c r="I354" s="75"/>
      <c r="J354" s="178"/>
      <c r="K354" s="75"/>
      <c r="L354" s="75"/>
      <c r="M354" s="75"/>
      <c r="N354" s="75"/>
    </row>
    <row r="355">
      <c r="A355" s="75"/>
      <c r="B355" s="178"/>
      <c r="C355" s="75"/>
      <c r="D355" s="75"/>
      <c r="E355" s="75"/>
      <c r="F355" s="181"/>
      <c r="G355" s="75"/>
      <c r="H355" s="75"/>
      <c r="I355" s="75"/>
      <c r="J355" s="178"/>
      <c r="K355" s="75"/>
      <c r="L355" s="75"/>
      <c r="M355" s="75"/>
      <c r="N355" s="75"/>
    </row>
    <row r="356">
      <c r="A356" s="75"/>
      <c r="B356" s="178"/>
      <c r="C356" s="75"/>
      <c r="D356" s="75"/>
      <c r="E356" s="75"/>
      <c r="F356" s="181"/>
      <c r="G356" s="75"/>
      <c r="H356" s="75"/>
      <c r="I356" s="75"/>
      <c r="J356" s="178"/>
      <c r="K356" s="75"/>
      <c r="L356" s="75"/>
      <c r="M356" s="75"/>
      <c r="N356" s="75"/>
    </row>
    <row r="357">
      <c r="A357" s="75"/>
      <c r="B357" s="178"/>
      <c r="C357" s="75"/>
      <c r="D357" s="75"/>
      <c r="E357" s="75"/>
      <c r="F357" s="181"/>
      <c r="G357" s="75"/>
      <c r="H357" s="75"/>
      <c r="I357" s="75"/>
      <c r="J357" s="178"/>
      <c r="K357" s="75"/>
      <c r="L357" s="75"/>
      <c r="M357" s="75"/>
      <c r="N357" s="75"/>
    </row>
    <row r="358">
      <c r="A358" s="75"/>
      <c r="B358" s="178"/>
      <c r="C358" s="75"/>
      <c r="D358" s="75"/>
      <c r="E358" s="75"/>
      <c r="F358" s="181"/>
      <c r="G358" s="75"/>
      <c r="H358" s="75"/>
      <c r="I358" s="75"/>
      <c r="J358" s="178"/>
      <c r="K358" s="75"/>
      <c r="L358" s="75"/>
      <c r="M358" s="75"/>
      <c r="N358" s="75"/>
    </row>
    <row r="359">
      <c r="A359" s="75"/>
      <c r="B359" s="178"/>
      <c r="C359" s="75"/>
      <c r="D359" s="75"/>
      <c r="E359" s="75"/>
      <c r="F359" s="181"/>
      <c r="G359" s="75"/>
      <c r="H359" s="75"/>
      <c r="I359" s="75"/>
      <c r="J359" s="178"/>
      <c r="K359" s="75"/>
      <c r="L359" s="75"/>
      <c r="M359" s="75"/>
      <c r="N359" s="75"/>
    </row>
    <row r="360">
      <c r="A360" s="75"/>
      <c r="B360" s="178"/>
      <c r="C360" s="75"/>
      <c r="D360" s="75"/>
      <c r="E360" s="75"/>
      <c r="F360" s="181"/>
      <c r="G360" s="75"/>
      <c r="H360" s="75"/>
      <c r="I360" s="75"/>
      <c r="J360" s="178"/>
      <c r="K360" s="75"/>
      <c r="L360" s="75"/>
      <c r="M360" s="75"/>
      <c r="N360" s="75"/>
    </row>
    <row r="361">
      <c r="A361" s="75"/>
      <c r="B361" s="178"/>
      <c r="C361" s="75"/>
      <c r="D361" s="75"/>
      <c r="E361" s="75"/>
      <c r="F361" s="181"/>
      <c r="G361" s="75"/>
      <c r="H361" s="75"/>
      <c r="I361" s="75"/>
      <c r="J361" s="178"/>
      <c r="K361" s="75"/>
      <c r="L361" s="75"/>
      <c r="M361" s="75"/>
      <c r="N361" s="75"/>
    </row>
    <row r="362">
      <c r="A362" s="75"/>
      <c r="B362" s="178"/>
      <c r="C362" s="75"/>
      <c r="D362" s="75"/>
      <c r="E362" s="75"/>
      <c r="F362" s="181"/>
      <c r="G362" s="75"/>
      <c r="H362" s="75"/>
      <c r="I362" s="75"/>
      <c r="J362" s="178"/>
      <c r="K362" s="75"/>
      <c r="L362" s="75"/>
      <c r="M362" s="75"/>
      <c r="N362" s="75"/>
    </row>
    <row r="363">
      <c r="A363" s="75"/>
      <c r="B363" s="178"/>
      <c r="C363" s="75"/>
      <c r="D363" s="75"/>
      <c r="E363" s="75"/>
      <c r="F363" s="181"/>
      <c r="G363" s="75"/>
      <c r="H363" s="75"/>
      <c r="I363" s="75"/>
      <c r="J363" s="178"/>
      <c r="K363" s="75"/>
      <c r="L363" s="75"/>
      <c r="M363" s="75"/>
      <c r="N363" s="75"/>
    </row>
    <row r="364">
      <c r="A364" s="75"/>
      <c r="B364" s="178"/>
      <c r="C364" s="75"/>
      <c r="D364" s="75"/>
      <c r="E364" s="75"/>
      <c r="F364" s="181"/>
      <c r="G364" s="75"/>
      <c r="H364" s="75"/>
      <c r="I364" s="75"/>
      <c r="J364" s="178"/>
      <c r="K364" s="75"/>
      <c r="L364" s="75"/>
      <c r="M364" s="75"/>
      <c r="N364" s="75"/>
    </row>
    <row r="365">
      <c r="A365" s="75"/>
      <c r="B365" s="178"/>
      <c r="C365" s="75"/>
      <c r="D365" s="75"/>
      <c r="E365" s="75"/>
      <c r="F365" s="181"/>
      <c r="G365" s="75"/>
      <c r="H365" s="75"/>
      <c r="I365" s="75"/>
      <c r="J365" s="178"/>
      <c r="K365" s="75"/>
      <c r="L365" s="75"/>
      <c r="M365" s="75"/>
      <c r="N365" s="75"/>
    </row>
    <row r="366">
      <c r="A366" s="75"/>
      <c r="B366" s="178"/>
      <c r="C366" s="75"/>
      <c r="D366" s="75"/>
      <c r="E366" s="75"/>
      <c r="F366" s="181"/>
      <c r="G366" s="75"/>
      <c r="H366" s="75"/>
      <c r="I366" s="75"/>
      <c r="J366" s="178"/>
      <c r="K366" s="75"/>
      <c r="L366" s="75"/>
      <c r="M366" s="75"/>
      <c r="N366" s="75"/>
    </row>
    <row r="367">
      <c r="A367" s="75"/>
      <c r="B367" s="178"/>
      <c r="C367" s="75"/>
      <c r="D367" s="75"/>
      <c r="E367" s="75"/>
      <c r="F367" s="181"/>
      <c r="G367" s="75"/>
      <c r="H367" s="75"/>
      <c r="I367" s="75"/>
      <c r="J367" s="178"/>
      <c r="K367" s="75"/>
      <c r="L367" s="75"/>
      <c r="M367" s="75"/>
      <c r="N367" s="75"/>
    </row>
    <row r="368">
      <c r="A368" s="75"/>
      <c r="B368" s="178"/>
      <c r="C368" s="75"/>
      <c r="D368" s="75"/>
      <c r="E368" s="75"/>
      <c r="F368" s="181"/>
      <c r="G368" s="75"/>
      <c r="H368" s="75"/>
      <c r="I368" s="75"/>
      <c r="J368" s="178"/>
      <c r="K368" s="75"/>
      <c r="L368" s="75"/>
      <c r="M368" s="75"/>
      <c r="N368" s="75"/>
    </row>
    <row r="369">
      <c r="A369" s="75"/>
      <c r="B369" s="178"/>
      <c r="C369" s="75"/>
      <c r="D369" s="75"/>
      <c r="E369" s="75"/>
      <c r="F369" s="181"/>
      <c r="G369" s="75"/>
      <c r="H369" s="75"/>
      <c r="I369" s="75"/>
      <c r="J369" s="178"/>
      <c r="K369" s="75"/>
      <c r="L369" s="75"/>
      <c r="M369" s="75"/>
      <c r="N369" s="75"/>
    </row>
    <row r="370">
      <c r="A370" s="75"/>
      <c r="B370" s="178"/>
      <c r="C370" s="75"/>
      <c r="D370" s="75"/>
      <c r="E370" s="75"/>
      <c r="F370" s="181"/>
      <c r="G370" s="75"/>
      <c r="H370" s="75"/>
      <c r="I370" s="75"/>
      <c r="J370" s="178"/>
      <c r="K370" s="75"/>
      <c r="L370" s="75"/>
      <c r="M370" s="75"/>
      <c r="N370" s="75"/>
    </row>
    <row r="371">
      <c r="A371" s="75"/>
      <c r="B371" s="178"/>
      <c r="C371" s="75"/>
      <c r="D371" s="75"/>
      <c r="E371" s="75"/>
      <c r="F371" s="181"/>
      <c r="G371" s="75"/>
      <c r="H371" s="75"/>
      <c r="I371" s="75"/>
      <c r="J371" s="178"/>
      <c r="K371" s="75"/>
      <c r="L371" s="75"/>
      <c r="M371" s="75"/>
      <c r="N371" s="75"/>
    </row>
    <row r="372">
      <c r="A372" s="75"/>
      <c r="B372" s="178"/>
      <c r="C372" s="75"/>
      <c r="D372" s="75"/>
      <c r="E372" s="75"/>
      <c r="F372" s="181"/>
      <c r="G372" s="75"/>
      <c r="H372" s="75"/>
      <c r="I372" s="75"/>
      <c r="J372" s="178"/>
      <c r="K372" s="75"/>
      <c r="L372" s="75"/>
      <c r="M372" s="75"/>
      <c r="N372" s="75"/>
    </row>
    <row r="373">
      <c r="A373" s="75"/>
      <c r="B373" s="178"/>
      <c r="C373" s="75"/>
      <c r="D373" s="75"/>
      <c r="E373" s="75"/>
      <c r="F373" s="181"/>
      <c r="G373" s="75"/>
      <c r="H373" s="75"/>
      <c r="I373" s="75"/>
      <c r="J373" s="178"/>
      <c r="K373" s="75"/>
      <c r="L373" s="75"/>
      <c r="M373" s="75"/>
      <c r="N373" s="75"/>
    </row>
    <row r="374">
      <c r="A374" s="75"/>
      <c r="B374" s="178"/>
      <c r="C374" s="75"/>
      <c r="D374" s="75"/>
      <c r="E374" s="75"/>
      <c r="F374" s="181"/>
      <c r="G374" s="75"/>
      <c r="H374" s="75"/>
      <c r="I374" s="75"/>
      <c r="J374" s="178"/>
      <c r="K374" s="75"/>
      <c r="L374" s="75"/>
      <c r="M374" s="75"/>
      <c r="N374" s="75"/>
    </row>
    <row r="375">
      <c r="A375" s="75"/>
      <c r="B375" s="178"/>
      <c r="C375" s="75"/>
      <c r="D375" s="75"/>
      <c r="E375" s="75"/>
      <c r="F375" s="181"/>
      <c r="G375" s="75"/>
      <c r="H375" s="75"/>
      <c r="I375" s="75"/>
      <c r="J375" s="178"/>
      <c r="K375" s="75"/>
      <c r="L375" s="75"/>
      <c r="M375" s="75"/>
      <c r="N375" s="75"/>
    </row>
    <row r="376">
      <c r="A376" s="75"/>
      <c r="B376" s="178"/>
      <c r="C376" s="75"/>
      <c r="D376" s="75"/>
      <c r="E376" s="75"/>
      <c r="F376" s="181"/>
      <c r="G376" s="75"/>
      <c r="H376" s="75"/>
      <c r="I376" s="75"/>
      <c r="J376" s="178"/>
      <c r="K376" s="75"/>
      <c r="L376" s="75"/>
      <c r="M376" s="75"/>
      <c r="N376" s="75"/>
    </row>
    <row r="377">
      <c r="A377" s="75"/>
      <c r="B377" s="178"/>
      <c r="C377" s="75"/>
      <c r="D377" s="75"/>
      <c r="E377" s="75"/>
      <c r="F377" s="181"/>
      <c r="G377" s="75"/>
      <c r="H377" s="75"/>
      <c r="I377" s="75"/>
      <c r="J377" s="178"/>
      <c r="K377" s="75"/>
      <c r="L377" s="75"/>
      <c r="M377" s="75"/>
      <c r="N377" s="75"/>
    </row>
    <row r="378">
      <c r="A378" s="75"/>
      <c r="B378" s="178"/>
      <c r="C378" s="75"/>
      <c r="D378" s="75"/>
      <c r="E378" s="75"/>
      <c r="F378" s="181"/>
      <c r="G378" s="75"/>
      <c r="H378" s="75"/>
      <c r="I378" s="75"/>
      <c r="J378" s="178"/>
      <c r="K378" s="75"/>
      <c r="L378" s="75"/>
      <c r="M378" s="75"/>
      <c r="N378" s="75"/>
    </row>
    <row r="379">
      <c r="A379" s="75"/>
      <c r="B379" s="178"/>
      <c r="C379" s="75"/>
      <c r="D379" s="75"/>
      <c r="E379" s="75"/>
      <c r="F379" s="181"/>
      <c r="G379" s="75"/>
      <c r="H379" s="75"/>
      <c r="I379" s="75"/>
      <c r="J379" s="178"/>
      <c r="K379" s="75"/>
      <c r="L379" s="75"/>
      <c r="M379" s="75"/>
      <c r="N379" s="75"/>
    </row>
    <row r="380">
      <c r="A380" s="75"/>
      <c r="B380" s="178"/>
      <c r="C380" s="75"/>
      <c r="D380" s="75"/>
      <c r="E380" s="75"/>
      <c r="F380" s="181"/>
      <c r="G380" s="75"/>
      <c r="H380" s="75"/>
      <c r="I380" s="75"/>
      <c r="J380" s="178"/>
      <c r="K380" s="75"/>
      <c r="L380" s="75"/>
      <c r="M380" s="75"/>
      <c r="N380" s="75"/>
    </row>
    <row r="381">
      <c r="A381" s="75"/>
      <c r="B381" s="178"/>
      <c r="C381" s="75"/>
      <c r="D381" s="75"/>
      <c r="E381" s="75"/>
      <c r="F381" s="181"/>
      <c r="G381" s="75"/>
      <c r="H381" s="75"/>
      <c r="I381" s="75"/>
      <c r="J381" s="178"/>
      <c r="K381" s="75"/>
      <c r="L381" s="75"/>
      <c r="M381" s="75"/>
      <c r="N381" s="75"/>
    </row>
    <row r="382">
      <c r="A382" s="75"/>
      <c r="B382" s="178"/>
      <c r="C382" s="75"/>
      <c r="D382" s="75"/>
      <c r="E382" s="75"/>
      <c r="F382" s="181"/>
      <c r="G382" s="75"/>
      <c r="H382" s="75"/>
      <c r="I382" s="75"/>
      <c r="J382" s="178"/>
      <c r="K382" s="75"/>
      <c r="L382" s="75"/>
      <c r="M382" s="75"/>
      <c r="N382" s="75"/>
    </row>
    <row r="383">
      <c r="A383" s="75"/>
      <c r="B383" s="178"/>
      <c r="C383" s="75"/>
      <c r="D383" s="75"/>
      <c r="E383" s="75"/>
      <c r="F383" s="181"/>
      <c r="G383" s="75"/>
      <c r="H383" s="75"/>
      <c r="I383" s="75"/>
      <c r="J383" s="178"/>
      <c r="K383" s="75"/>
      <c r="L383" s="75"/>
      <c r="M383" s="75"/>
      <c r="N383" s="75"/>
    </row>
    <row r="384">
      <c r="A384" s="75"/>
      <c r="B384" s="178"/>
      <c r="C384" s="75"/>
      <c r="D384" s="75"/>
      <c r="E384" s="75"/>
      <c r="F384" s="181"/>
      <c r="G384" s="75"/>
      <c r="H384" s="75"/>
      <c r="I384" s="75"/>
      <c r="J384" s="178"/>
      <c r="K384" s="75"/>
      <c r="L384" s="75"/>
      <c r="M384" s="75"/>
      <c r="N384" s="75"/>
    </row>
    <row r="385">
      <c r="A385" s="75"/>
      <c r="B385" s="178"/>
      <c r="C385" s="75"/>
      <c r="D385" s="75"/>
      <c r="E385" s="75"/>
      <c r="F385" s="181"/>
      <c r="G385" s="75"/>
      <c r="H385" s="75"/>
      <c r="I385" s="75"/>
      <c r="J385" s="178"/>
      <c r="K385" s="75"/>
      <c r="L385" s="75"/>
      <c r="M385" s="75"/>
      <c r="N385" s="75"/>
    </row>
    <row r="386">
      <c r="A386" s="75"/>
      <c r="B386" s="178"/>
      <c r="C386" s="75"/>
      <c r="D386" s="75"/>
      <c r="E386" s="75"/>
      <c r="F386" s="181"/>
      <c r="G386" s="75"/>
      <c r="H386" s="75"/>
      <c r="I386" s="75"/>
      <c r="J386" s="178"/>
      <c r="K386" s="75"/>
      <c r="L386" s="75"/>
      <c r="M386" s="75"/>
      <c r="N386" s="75"/>
    </row>
    <row r="387">
      <c r="A387" s="75"/>
      <c r="B387" s="178"/>
      <c r="C387" s="75"/>
      <c r="D387" s="75"/>
      <c r="E387" s="75"/>
      <c r="F387" s="181"/>
      <c r="G387" s="75"/>
      <c r="H387" s="75"/>
      <c r="I387" s="75"/>
      <c r="J387" s="178"/>
      <c r="K387" s="75"/>
      <c r="L387" s="75"/>
      <c r="M387" s="75"/>
      <c r="N387" s="75"/>
    </row>
    <row r="388">
      <c r="A388" s="75"/>
      <c r="B388" s="178"/>
      <c r="C388" s="75"/>
      <c r="D388" s="75"/>
      <c r="E388" s="75"/>
      <c r="F388" s="181"/>
      <c r="G388" s="75"/>
      <c r="H388" s="75"/>
      <c r="I388" s="75"/>
      <c r="J388" s="178"/>
      <c r="K388" s="75"/>
      <c r="L388" s="75"/>
      <c r="M388" s="75"/>
      <c r="N388" s="75"/>
    </row>
    <row r="389">
      <c r="A389" s="75"/>
      <c r="B389" s="178"/>
      <c r="C389" s="75"/>
      <c r="D389" s="75"/>
      <c r="E389" s="75"/>
      <c r="F389" s="181"/>
      <c r="G389" s="75"/>
      <c r="H389" s="75"/>
      <c r="I389" s="75"/>
      <c r="J389" s="178"/>
      <c r="K389" s="75"/>
      <c r="L389" s="75"/>
      <c r="M389" s="75"/>
      <c r="N389" s="75"/>
    </row>
    <row r="390">
      <c r="A390" s="75"/>
      <c r="B390" s="178"/>
      <c r="C390" s="75"/>
      <c r="D390" s="75"/>
      <c r="E390" s="75"/>
      <c r="F390" s="181"/>
      <c r="G390" s="75"/>
      <c r="H390" s="75"/>
      <c r="I390" s="75"/>
      <c r="J390" s="178"/>
      <c r="K390" s="75"/>
      <c r="L390" s="75"/>
      <c r="M390" s="75"/>
      <c r="N390" s="75"/>
    </row>
    <row r="391">
      <c r="A391" s="75"/>
      <c r="B391" s="178"/>
      <c r="C391" s="75"/>
      <c r="D391" s="75"/>
      <c r="E391" s="75"/>
      <c r="F391" s="181"/>
      <c r="G391" s="75"/>
      <c r="H391" s="75"/>
      <c r="I391" s="75"/>
      <c r="J391" s="178"/>
      <c r="K391" s="75"/>
      <c r="L391" s="75"/>
      <c r="M391" s="75"/>
      <c r="N391" s="75"/>
    </row>
    <row r="392">
      <c r="A392" s="75"/>
      <c r="B392" s="178"/>
      <c r="C392" s="75"/>
      <c r="D392" s="75"/>
      <c r="E392" s="75"/>
      <c r="F392" s="181"/>
      <c r="G392" s="75"/>
      <c r="H392" s="75"/>
      <c r="I392" s="75"/>
      <c r="J392" s="178"/>
      <c r="K392" s="75"/>
      <c r="L392" s="75"/>
      <c r="M392" s="75"/>
      <c r="N392" s="75"/>
    </row>
    <row r="393">
      <c r="A393" s="75"/>
      <c r="B393" s="178"/>
      <c r="C393" s="75"/>
      <c r="D393" s="75"/>
      <c r="E393" s="75"/>
      <c r="F393" s="181"/>
      <c r="G393" s="75"/>
      <c r="H393" s="75"/>
      <c r="I393" s="75"/>
      <c r="J393" s="178"/>
      <c r="K393" s="75"/>
      <c r="L393" s="75"/>
      <c r="M393" s="75"/>
      <c r="N393" s="75"/>
    </row>
    <row r="394">
      <c r="A394" s="75"/>
      <c r="B394" s="178"/>
      <c r="C394" s="75"/>
      <c r="D394" s="75"/>
      <c r="E394" s="75"/>
      <c r="F394" s="181"/>
      <c r="G394" s="75"/>
      <c r="H394" s="75"/>
      <c r="I394" s="75"/>
      <c r="J394" s="178"/>
      <c r="K394" s="75"/>
      <c r="L394" s="75"/>
      <c r="M394" s="75"/>
      <c r="N394" s="75"/>
    </row>
    <row r="395">
      <c r="A395" s="75"/>
      <c r="B395" s="178"/>
      <c r="C395" s="75"/>
      <c r="D395" s="75"/>
      <c r="E395" s="75"/>
      <c r="F395" s="181"/>
      <c r="G395" s="75"/>
      <c r="H395" s="75"/>
      <c r="I395" s="75"/>
      <c r="J395" s="178"/>
      <c r="K395" s="75"/>
      <c r="L395" s="75"/>
      <c r="M395" s="75"/>
      <c r="N395" s="75"/>
    </row>
    <row r="396">
      <c r="A396" s="75"/>
      <c r="B396" s="178"/>
      <c r="C396" s="75"/>
      <c r="D396" s="75"/>
      <c r="E396" s="75"/>
      <c r="F396" s="181"/>
      <c r="G396" s="75"/>
      <c r="H396" s="75"/>
      <c r="I396" s="75"/>
      <c r="J396" s="178"/>
      <c r="K396" s="75"/>
      <c r="L396" s="75"/>
      <c r="M396" s="75"/>
      <c r="N396" s="75"/>
    </row>
    <row r="397">
      <c r="A397" s="75"/>
      <c r="B397" s="178"/>
      <c r="C397" s="75"/>
      <c r="D397" s="75"/>
      <c r="E397" s="75"/>
      <c r="F397" s="181"/>
      <c r="G397" s="75"/>
      <c r="H397" s="75"/>
      <c r="I397" s="75"/>
      <c r="J397" s="178"/>
      <c r="K397" s="75"/>
      <c r="L397" s="75"/>
      <c r="M397" s="75"/>
      <c r="N397" s="75"/>
    </row>
    <row r="398">
      <c r="A398" s="75"/>
      <c r="B398" s="178"/>
      <c r="C398" s="75"/>
      <c r="D398" s="75"/>
      <c r="E398" s="75"/>
      <c r="F398" s="181"/>
      <c r="G398" s="75"/>
      <c r="H398" s="75"/>
      <c r="I398" s="75"/>
      <c r="J398" s="178"/>
      <c r="K398" s="75"/>
      <c r="L398" s="75"/>
      <c r="M398" s="75"/>
      <c r="N398" s="75"/>
    </row>
    <row r="399">
      <c r="A399" s="75"/>
      <c r="B399" s="178"/>
      <c r="C399" s="75"/>
      <c r="D399" s="75"/>
      <c r="E399" s="75"/>
      <c r="F399" s="181"/>
      <c r="G399" s="75"/>
      <c r="H399" s="75"/>
      <c r="I399" s="75"/>
      <c r="J399" s="178"/>
      <c r="K399" s="75"/>
      <c r="L399" s="75"/>
      <c r="M399" s="75"/>
      <c r="N399" s="75"/>
    </row>
    <row r="400">
      <c r="A400" s="75"/>
      <c r="B400" s="178"/>
      <c r="C400" s="75"/>
      <c r="D400" s="75"/>
      <c r="E400" s="75"/>
      <c r="F400" s="181"/>
      <c r="G400" s="75"/>
      <c r="H400" s="75"/>
      <c r="I400" s="75"/>
      <c r="J400" s="178"/>
      <c r="K400" s="75"/>
      <c r="L400" s="75"/>
      <c r="M400" s="75"/>
      <c r="N400" s="75"/>
    </row>
    <row r="401">
      <c r="A401" s="75"/>
      <c r="B401" s="178"/>
      <c r="C401" s="75"/>
      <c r="D401" s="75"/>
      <c r="E401" s="75"/>
      <c r="F401" s="181"/>
      <c r="G401" s="75"/>
      <c r="H401" s="75"/>
      <c r="I401" s="75"/>
      <c r="J401" s="178"/>
      <c r="K401" s="75"/>
      <c r="L401" s="75"/>
      <c r="M401" s="75"/>
      <c r="N401" s="75"/>
    </row>
    <row r="402">
      <c r="A402" s="75"/>
      <c r="B402" s="178"/>
      <c r="C402" s="75"/>
      <c r="D402" s="75"/>
      <c r="E402" s="75"/>
      <c r="F402" s="181"/>
      <c r="G402" s="75"/>
      <c r="H402" s="75"/>
      <c r="I402" s="75"/>
      <c r="J402" s="178"/>
      <c r="K402" s="75"/>
      <c r="L402" s="75"/>
      <c r="M402" s="75"/>
      <c r="N402" s="75"/>
    </row>
    <row r="403">
      <c r="A403" s="75"/>
      <c r="B403" s="178"/>
      <c r="C403" s="75"/>
      <c r="D403" s="75"/>
      <c r="E403" s="75"/>
      <c r="F403" s="181"/>
      <c r="G403" s="75"/>
      <c r="H403" s="75"/>
      <c r="I403" s="75"/>
      <c r="J403" s="178"/>
      <c r="K403" s="75"/>
      <c r="L403" s="75"/>
      <c r="M403" s="75"/>
      <c r="N403" s="75"/>
    </row>
    <row r="404">
      <c r="A404" s="75"/>
      <c r="B404" s="178"/>
      <c r="C404" s="75"/>
      <c r="D404" s="75"/>
      <c r="E404" s="75"/>
      <c r="F404" s="181"/>
      <c r="G404" s="75"/>
      <c r="H404" s="75"/>
      <c r="I404" s="75"/>
      <c r="J404" s="178"/>
      <c r="K404" s="75"/>
      <c r="L404" s="75"/>
      <c r="M404" s="75"/>
      <c r="N404" s="75"/>
    </row>
    <row r="405">
      <c r="A405" s="75"/>
      <c r="B405" s="178"/>
      <c r="C405" s="75"/>
      <c r="D405" s="75"/>
      <c r="E405" s="75"/>
      <c r="F405" s="181"/>
      <c r="G405" s="75"/>
      <c r="H405" s="75"/>
      <c r="I405" s="75"/>
      <c r="J405" s="178"/>
      <c r="K405" s="75"/>
      <c r="L405" s="75"/>
      <c r="M405" s="75"/>
      <c r="N405" s="75"/>
    </row>
    <row r="406">
      <c r="A406" s="75"/>
      <c r="B406" s="178"/>
      <c r="C406" s="75"/>
      <c r="D406" s="75"/>
      <c r="E406" s="75"/>
      <c r="F406" s="181"/>
      <c r="G406" s="75"/>
      <c r="H406" s="75"/>
      <c r="I406" s="75"/>
      <c r="J406" s="178"/>
      <c r="K406" s="75"/>
      <c r="L406" s="75"/>
      <c r="M406" s="75"/>
      <c r="N406" s="75"/>
    </row>
    <row r="407">
      <c r="A407" s="75"/>
      <c r="B407" s="178"/>
      <c r="C407" s="75"/>
      <c r="D407" s="75"/>
      <c r="E407" s="75"/>
      <c r="F407" s="181"/>
      <c r="G407" s="75"/>
      <c r="H407" s="75"/>
      <c r="I407" s="75"/>
      <c r="J407" s="178"/>
      <c r="K407" s="75"/>
      <c r="L407" s="75"/>
      <c r="M407" s="75"/>
      <c r="N407" s="75"/>
    </row>
    <row r="408">
      <c r="A408" s="75"/>
      <c r="B408" s="178"/>
      <c r="C408" s="75"/>
      <c r="D408" s="75"/>
      <c r="E408" s="75"/>
      <c r="F408" s="181"/>
      <c r="G408" s="75"/>
      <c r="H408" s="75"/>
      <c r="I408" s="75"/>
      <c r="J408" s="178"/>
      <c r="K408" s="75"/>
      <c r="L408" s="75"/>
      <c r="M408" s="75"/>
      <c r="N408" s="75"/>
    </row>
    <row r="409">
      <c r="A409" s="75"/>
      <c r="B409" s="178"/>
      <c r="C409" s="75"/>
      <c r="D409" s="75"/>
      <c r="E409" s="75"/>
      <c r="F409" s="181"/>
      <c r="G409" s="75"/>
      <c r="H409" s="75"/>
      <c r="I409" s="75"/>
      <c r="J409" s="178"/>
      <c r="K409" s="75"/>
      <c r="L409" s="75"/>
      <c r="M409" s="75"/>
      <c r="N409" s="75"/>
    </row>
    <row r="410">
      <c r="A410" s="75"/>
      <c r="B410" s="178"/>
      <c r="C410" s="75"/>
      <c r="D410" s="75"/>
      <c r="E410" s="75"/>
      <c r="F410" s="181"/>
      <c r="G410" s="75"/>
      <c r="H410" s="75"/>
      <c r="I410" s="75"/>
      <c r="J410" s="178"/>
      <c r="K410" s="75"/>
      <c r="L410" s="75"/>
      <c r="M410" s="75"/>
      <c r="N410" s="75"/>
    </row>
    <row r="411">
      <c r="A411" s="75"/>
      <c r="B411" s="178"/>
      <c r="C411" s="75"/>
      <c r="D411" s="75"/>
      <c r="E411" s="75"/>
      <c r="F411" s="181"/>
      <c r="G411" s="75"/>
      <c r="H411" s="75"/>
      <c r="I411" s="75"/>
      <c r="J411" s="178"/>
      <c r="K411" s="75"/>
      <c r="L411" s="75"/>
      <c r="M411" s="75"/>
      <c r="N411" s="75"/>
    </row>
    <row r="412">
      <c r="A412" s="75"/>
      <c r="B412" s="178"/>
      <c r="C412" s="75"/>
      <c r="D412" s="75"/>
      <c r="E412" s="75"/>
      <c r="F412" s="181"/>
      <c r="G412" s="75"/>
      <c r="H412" s="75"/>
      <c r="I412" s="75"/>
      <c r="J412" s="178"/>
      <c r="K412" s="75"/>
      <c r="L412" s="75"/>
      <c r="M412" s="75"/>
      <c r="N412" s="75"/>
    </row>
    <row r="413">
      <c r="A413" s="75"/>
      <c r="B413" s="178"/>
      <c r="C413" s="75"/>
      <c r="D413" s="75"/>
      <c r="E413" s="75"/>
      <c r="F413" s="181"/>
      <c r="G413" s="75"/>
      <c r="H413" s="75"/>
      <c r="I413" s="75"/>
      <c r="J413" s="178"/>
      <c r="K413" s="75"/>
      <c r="L413" s="75"/>
      <c r="M413" s="75"/>
      <c r="N413" s="75"/>
    </row>
    <row r="414">
      <c r="A414" s="75"/>
      <c r="B414" s="178"/>
      <c r="C414" s="75"/>
      <c r="D414" s="75"/>
      <c r="E414" s="75"/>
      <c r="F414" s="181"/>
      <c r="G414" s="75"/>
      <c r="H414" s="75"/>
      <c r="I414" s="75"/>
      <c r="J414" s="178"/>
      <c r="K414" s="75"/>
      <c r="L414" s="75"/>
      <c r="M414" s="75"/>
      <c r="N414" s="75"/>
    </row>
    <row r="415">
      <c r="A415" s="75"/>
      <c r="B415" s="178"/>
      <c r="C415" s="75"/>
      <c r="D415" s="75"/>
      <c r="E415" s="75"/>
      <c r="F415" s="181"/>
      <c r="G415" s="75"/>
      <c r="H415" s="75"/>
      <c r="I415" s="75"/>
      <c r="J415" s="178"/>
      <c r="K415" s="75"/>
      <c r="L415" s="75"/>
      <c r="M415" s="75"/>
      <c r="N415" s="75"/>
    </row>
    <row r="416">
      <c r="A416" s="75"/>
      <c r="B416" s="178"/>
      <c r="C416" s="75"/>
      <c r="D416" s="75"/>
      <c r="E416" s="75"/>
      <c r="F416" s="181"/>
      <c r="G416" s="75"/>
      <c r="H416" s="75"/>
      <c r="I416" s="75"/>
      <c r="J416" s="178"/>
      <c r="K416" s="75"/>
      <c r="L416" s="75"/>
      <c r="M416" s="75"/>
      <c r="N416" s="75"/>
    </row>
    <row r="417">
      <c r="A417" s="75"/>
      <c r="B417" s="178"/>
      <c r="C417" s="75"/>
      <c r="D417" s="75"/>
      <c r="E417" s="75"/>
      <c r="F417" s="181"/>
      <c r="G417" s="75"/>
      <c r="H417" s="75"/>
      <c r="I417" s="75"/>
      <c r="J417" s="178"/>
      <c r="K417" s="75"/>
      <c r="L417" s="75"/>
      <c r="M417" s="75"/>
      <c r="N417" s="75"/>
    </row>
    <row r="418">
      <c r="A418" s="75"/>
      <c r="B418" s="178"/>
      <c r="C418" s="75"/>
      <c r="D418" s="75"/>
      <c r="E418" s="75"/>
      <c r="F418" s="181"/>
      <c r="G418" s="75"/>
      <c r="H418" s="75"/>
      <c r="I418" s="75"/>
      <c r="J418" s="178"/>
      <c r="K418" s="75"/>
      <c r="L418" s="75"/>
      <c r="M418" s="75"/>
      <c r="N418" s="75"/>
    </row>
    <row r="419">
      <c r="A419" s="75"/>
      <c r="B419" s="178"/>
      <c r="C419" s="75"/>
      <c r="D419" s="75"/>
      <c r="E419" s="75"/>
      <c r="F419" s="181"/>
      <c r="G419" s="75"/>
      <c r="H419" s="75"/>
      <c r="I419" s="75"/>
      <c r="J419" s="178"/>
      <c r="K419" s="75"/>
      <c r="L419" s="75"/>
      <c r="M419" s="75"/>
      <c r="N419" s="75"/>
    </row>
    <row r="420">
      <c r="A420" s="75"/>
      <c r="B420" s="178"/>
      <c r="C420" s="75"/>
      <c r="D420" s="75"/>
      <c r="E420" s="75"/>
      <c r="F420" s="181"/>
      <c r="G420" s="75"/>
      <c r="H420" s="75"/>
      <c r="I420" s="75"/>
      <c r="J420" s="178"/>
      <c r="K420" s="75"/>
      <c r="L420" s="75"/>
      <c r="M420" s="75"/>
      <c r="N420" s="75"/>
    </row>
    <row r="421">
      <c r="A421" s="75"/>
      <c r="B421" s="178"/>
      <c r="C421" s="75"/>
      <c r="D421" s="75"/>
      <c r="E421" s="75"/>
      <c r="F421" s="181"/>
      <c r="G421" s="75"/>
      <c r="H421" s="75"/>
      <c r="I421" s="75"/>
      <c r="J421" s="178"/>
      <c r="K421" s="75"/>
      <c r="L421" s="75"/>
      <c r="M421" s="75"/>
      <c r="N421" s="75"/>
    </row>
    <row r="422">
      <c r="A422" s="75"/>
      <c r="B422" s="178"/>
      <c r="C422" s="75"/>
      <c r="D422" s="75"/>
      <c r="E422" s="75"/>
      <c r="F422" s="181"/>
      <c r="G422" s="75"/>
      <c r="H422" s="75"/>
      <c r="I422" s="75"/>
      <c r="J422" s="178"/>
      <c r="K422" s="75"/>
      <c r="L422" s="75"/>
      <c r="M422" s="75"/>
      <c r="N422" s="75"/>
    </row>
    <row r="423">
      <c r="A423" s="75"/>
      <c r="B423" s="178"/>
      <c r="C423" s="75"/>
      <c r="D423" s="75"/>
      <c r="E423" s="75"/>
      <c r="F423" s="181"/>
      <c r="G423" s="75"/>
      <c r="H423" s="75"/>
      <c r="I423" s="75"/>
      <c r="J423" s="178"/>
      <c r="K423" s="75"/>
      <c r="L423" s="75"/>
      <c r="M423" s="75"/>
      <c r="N423" s="75"/>
    </row>
    <row r="424">
      <c r="A424" s="75"/>
      <c r="B424" s="178"/>
      <c r="C424" s="75"/>
      <c r="D424" s="75"/>
      <c r="E424" s="75"/>
      <c r="F424" s="181"/>
      <c r="G424" s="75"/>
      <c r="H424" s="75"/>
      <c r="I424" s="75"/>
      <c r="J424" s="178"/>
      <c r="K424" s="75"/>
      <c r="L424" s="75"/>
      <c r="M424" s="75"/>
      <c r="N424" s="75"/>
    </row>
    <row r="425">
      <c r="A425" s="75"/>
      <c r="B425" s="178"/>
      <c r="C425" s="75"/>
      <c r="D425" s="75"/>
      <c r="E425" s="75"/>
      <c r="F425" s="181"/>
      <c r="G425" s="75"/>
      <c r="H425" s="75"/>
      <c r="I425" s="75"/>
      <c r="J425" s="178"/>
      <c r="K425" s="75"/>
      <c r="L425" s="75"/>
      <c r="M425" s="75"/>
      <c r="N425" s="75"/>
    </row>
    <row r="426">
      <c r="A426" s="75"/>
      <c r="B426" s="178"/>
      <c r="C426" s="75"/>
      <c r="D426" s="75"/>
      <c r="E426" s="75"/>
      <c r="F426" s="181"/>
      <c r="G426" s="75"/>
      <c r="H426" s="75"/>
      <c r="I426" s="75"/>
      <c r="J426" s="178"/>
      <c r="K426" s="75"/>
      <c r="L426" s="75"/>
      <c r="M426" s="75"/>
      <c r="N426" s="75"/>
    </row>
    <row r="427">
      <c r="A427" s="75"/>
      <c r="B427" s="178"/>
      <c r="C427" s="75"/>
      <c r="D427" s="75"/>
      <c r="E427" s="75"/>
      <c r="F427" s="181"/>
      <c r="G427" s="75"/>
      <c r="H427" s="75"/>
      <c r="I427" s="75"/>
      <c r="J427" s="178"/>
      <c r="K427" s="75"/>
      <c r="L427" s="75"/>
      <c r="M427" s="75"/>
      <c r="N427" s="75"/>
    </row>
    <row r="428">
      <c r="A428" s="75"/>
      <c r="B428" s="178"/>
      <c r="C428" s="75"/>
      <c r="D428" s="75"/>
      <c r="E428" s="75"/>
      <c r="F428" s="181"/>
      <c r="G428" s="75"/>
      <c r="H428" s="75"/>
      <c r="I428" s="75"/>
      <c r="J428" s="178"/>
      <c r="K428" s="75"/>
      <c r="L428" s="75"/>
      <c r="M428" s="75"/>
      <c r="N428" s="75"/>
    </row>
    <row r="429">
      <c r="A429" s="75"/>
      <c r="B429" s="178"/>
      <c r="C429" s="75"/>
      <c r="D429" s="75"/>
      <c r="E429" s="75"/>
      <c r="F429" s="181"/>
      <c r="G429" s="75"/>
      <c r="H429" s="75"/>
      <c r="I429" s="75"/>
      <c r="J429" s="178"/>
      <c r="K429" s="75"/>
      <c r="L429" s="75"/>
      <c r="M429" s="75"/>
      <c r="N429" s="75"/>
    </row>
    <row r="430">
      <c r="A430" s="75"/>
      <c r="B430" s="178"/>
      <c r="C430" s="75"/>
      <c r="D430" s="75"/>
      <c r="E430" s="75"/>
      <c r="F430" s="181"/>
      <c r="G430" s="75"/>
      <c r="H430" s="75"/>
      <c r="I430" s="75"/>
      <c r="J430" s="178"/>
      <c r="K430" s="75"/>
      <c r="L430" s="75"/>
      <c r="M430" s="75"/>
      <c r="N430" s="75"/>
    </row>
    <row r="431">
      <c r="A431" s="75"/>
      <c r="B431" s="178"/>
      <c r="C431" s="75"/>
      <c r="D431" s="75"/>
      <c r="E431" s="75"/>
      <c r="F431" s="181"/>
      <c r="G431" s="75"/>
      <c r="H431" s="75"/>
      <c r="I431" s="75"/>
      <c r="J431" s="178"/>
      <c r="K431" s="75"/>
      <c r="L431" s="75"/>
      <c r="M431" s="75"/>
      <c r="N431" s="75"/>
    </row>
    <row r="432">
      <c r="A432" s="75"/>
      <c r="B432" s="178"/>
      <c r="C432" s="75"/>
      <c r="D432" s="75"/>
      <c r="E432" s="75"/>
      <c r="F432" s="181"/>
      <c r="G432" s="75"/>
      <c r="H432" s="75"/>
      <c r="I432" s="75"/>
      <c r="J432" s="178"/>
      <c r="K432" s="75"/>
      <c r="L432" s="75"/>
      <c r="M432" s="75"/>
      <c r="N432" s="75"/>
    </row>
    <row r="433">
      <c r="A433" s="75"/>
      <c r="B433" s="178"/>
      <c r="C433" s="75"/>
      <c r="D433" s="75"/>
      <c r="E433" s="75"/>
      <c r="F433" s="181"/>
      <c r="G433" s="75"/>
      <c r="H433" s="75"/>
      <c r="I433" s="75"/>
      <c r="J433" s="178"/>
      <c r="K433" s="75"/>
      <c r="L433" s="75"/>
      <c r="M433" s="75"/>
      <c r="N433" s="75"/>
    </row>
    <row r="434">
      <c r="A434" s="75"/>
      <c r="B434" s="178"/>
      <c r="C434" s="75"/>
      <c r="D434" s="75"/>
      <c r="E434" s="75"/>
      <c r="F434" s="181"/>
      <c r="G434" s="75"/>
      <c r="H434" s="75"/>
      <c r="I434" s="75"/>
      <c r="J434" s="178"/>
      <c r="K434" s="75"/>
      <c r="L434" s="75"/>
      <c r="M434" s="75"/>
      <c r="N434" s="75"/>
    </row>
    <row r="435">
      <c r="A435" s="75"/>
      <c r="B435" s="178"/>
      <c r="C435" s="75"/>
      <c r="D435" s="75"/>
      <c r="E435" s="75"/>
      <c r="F435" s="181"/>
      <c r="G435" s="75"/>
      <c r="H435" s="75"/>
      <c r="I435" s="75"/>
      <c r="J435" s="178"/>
      <c r="K435" s="75"/>
      <c r="L435" s="75"/>
      <c r="M435" s="75"/>
      <c r="N435" s="75"/>
    </row>
    <row r="436">
      <c r="A436" s="75"/>
      <c r="B436" s="178"/>
      <c r="C436" s="75"/>
      <c r="D436" s="75"/>
      <c r="E436" s="75"/>
      <c r="F436" s="181"/>
      <c r="G436" s="75"/>
      <c r="H436" s="75"/>
      <c r="I436" s="75"/>
      <c r="J436" s="178"/>
      <c r="K436" s="75"/>
      <c r="L436" s="75"/>
      <c r="M436" s="75"/>
      <c r="N436" s="75"/>
    </row>
    <row r="437">
      <c r="A437" s="75"/>
      <c r="B437" s="178"/>
      <c r="C437" s="75"/>
      <c r="D437" s="75"/>
      <c r="E437" s="75"/>
      <c r="F437" s="181"/>
      <c r="G437" s="75"/>
      <c r="H437" s="75"/>
      <c r="I437" s="75"/>
      <c r="J437" s="178"/>
      <c r="K437" s="75"/>
      <c r="L437" s="75"/>
      <c r="M437" s="75"/>
      <c r="N437" s="75"/>
    </row>
    <row r="438">
      <c r="A438" s="75"/>
      <c r="B438" s="178"/>
      <c r="C438" s="75"/>
      <c r="D438" s="75"/>
      <c r="E438" s="75"/>
      <c r="F438" s="181"/>
      <c r="G438" s="75"/>
      <c r="H438" s="75"/>
      <c r="I438" s="75"/>
      <c r="J438" s="178"/>
      <c r="K438" s="75"/>
      <c r="L438" s="75"/>
      <c r="M438" s="75"/>
      <c r="N438" s="75"/>
    </row>
    <row r="439">
      <c r="A439" s="75"/>
      <c r="B439" s="178"/>
      <c r="C439" s="75"/>
      <c r="D439" s="75"/>
      <c r="E439" s="75"/>
      <c r="F439" s="181"/>
      <c r="G439" s="75"/>
      <c r="H439" s="75"/>
      <c r="I439" s="75"/>
      <c r="J439" s="178"/>
      <c r="K439" s="75"/>
      <c r="L439" s="75"/>
      <c r="M439" s="75"/>
      <c r="N439" s="75"/>
    </row>
    <row r="440">
      <c r="A440" s="75"/>
      <c r="B440" s="178"/>
      <c r="C440" s="75"/>
      <c r="D440" s="75"/>
      <c r="E440" s="75"/>
      <c r="F440" s="181"/>
      <c r="G440" s="75"/>
      <c r="H440" s="75"/>
      <c r="I440" s="75"/>
      <c r="J440" s="178"/>
      <c r="K440" s="75"/>
      <c r="L440" s="75"/>
      <c r="M440" s="75"/>
      <c r="N440" s="75"/>
    </row>
    <row r="441">
      <c r="A441" s="75"/>
      <c r="B441" s="178"/>
      <c r="C441" s="75"/>
      <c r="D441" s="75"/>
      <c r="E441" s="75"/>
      <c r="F441" s="181"/>
      <c r="G441" s="75"/>
      <c r="H441" s="75"/>
      <c r="I441" s="75"/>
      <c r="J441" s="178"/>
      <c r="K441" s="75"/>
      <c r="L441" s="75"/>
      <c r="M441" s="75"/>
      <c r="N441" s="75"/>
    </row>
    <row r="442">
      <c r="A442" s="75"/>
      <c r="B442" s="178"/>
      <c r="C442" s="75"/>
      <c r="D442" s="75"/>
      <c r="E442" s="75"/>
      <c r="F442" s="181"/>
      <c r="G442" s="75"/>
      <c r="H442" s="75"/>
      <c r="I442" s="75"/>
      <c r="J442" s="178"/>
      <c r="K442" s="75"/>
      <c r="L442" s="75"/>
      <c r="M442" s="75"/>
      <c r="N442" s="75"/>
    </row>
    <row r="443">
      <c r="A443" s="75"/>
      <c r="B443" s="178"/>
      <c r="C443" s="75"/>
      <c r="D443" s="75"/>
      <c r="E443" s="75"/>
      <c r="F443" s="181"/>
      <c r="G443" s="75"/>
      <c r="H443" s="75"/>
      <c r="I443" s="75"/>
      <c r="J443" s="178"/>
      <c r="K443" s="75"/>
      <c r="L443" s="75"/>
      <c r="M443" s="75"/>
      <c r="N443" s="75"/>
    </row>
    <row r="444">
      <c r="A444" s="75"/>
      <c r="B444" s="178"/>
      <c r="C444" s="75"/>
      <c r="D444" s="75"/>
      <c r="E444" s="75"/>
      <c r="F444" s="181"/>
      <c r="G444" s="75"/>
      <c r="H444" s="75"/>
      <c r="I444" s="75"/>
      <c r="J444" s="178"/>
      <c r="K444" s="75"/>
      <c r="L444" s="75"/>
      <c r="M444" s="75"/>
      <c r="N444" s="75"/>
    </row>
    <row r="445">
      <c r="A445" s="75"/>
      <c r="B445" s="178"/>
      <c r="C445" s="75"/>
      <c r="D445" s="75"/>
      <c r="E445" s="75"/>
      <c r="F445" s="181"/>
      <c r="G445" s="75"/>
      <c r="H445" s="75"/>
      <c r="I445" s="75"/>
      <c r="J445" s="178"/>
      <c r="K445" s="75"/>
      <c r="L445" s="75"/>
      <c r="M445" s="75"/>
      <c r="N445" s="75"/>
    </row>
    <row r="446">
      <c r="A446" s="75"/>
      <c r="B446" s="178"/>
      <c r="C446" s="75"/>
      <c r="D446" s="75"/>
      <c r="E446" s="75"/>
      <c r="F446" s="181"/>
      <c r="G446" s="75"/>
      <c r="H446" s="75"/>
      <c r="I446" s="75"/>
      <c r="J446" s="178"/>
      <c r="K446" s="75"/>
      <c r="L446" s="75"/>
      <c r="M446" s="75"/>
      <c r="N446" s="75"/>
    </row>
    <row r="447">
      <c r="A447" s="75"/>
      <c r="B447" s="178"/>
      <c r="C447" s="75"/>
      <c r="D447" s="75"/>
      <c r="E447" s="75"/>
      <c r="F447" s="181"/>
      <c r="G447" s="75"/>
      <c r="H447" s="75"/>
      <c r="I447" s="75"/>
      <c r="J447" s="178"/>
      <c r="K447" s="75"/>
      <c r="L447" s="75"/>
      <c r="M447" s="75"/>
      <c r="N447" s="75"/>
    </row>
    <row r="448">
      <c r="A448" s="75"/>
      <c r="B448" s="178"/>
      <c r="C448" s="75"/>
      <c r="D448" s="75"/>
      <c r="E448" s="75"/>
      <c r="F448" s="181"/>
      <c r="G448" s="75"/>
      <c r="H448" s="75"/>
      <c r="I448" s="75"/>
      <c r="J448" s="178"/>
      <c r="K448" s="75"/>
      <c r="L448" s="75"/>
      <c r="M448" s="75"/>
      <c r="N448" s="75"/>
    </row>
    <row r="449">
      <c r="A449" s="75"/>
      <c r="B449" s="178"/>
      <c r="C449" s="75"/>
      <c r="D449" s="75"/>
      <c r="E449" s="75"/>
      <c r="F449" s="181"/>
      <c r="G449" s="75"/>
      <c r="H449" s="75"/>
      <c r="I449" s="75"/>
      <c r="J449" s="178"/>
      <c r="K449" s="75"/>
      <c r="L449" s="75"/>
      <c r="M449" s="75"/>
      <c r="N449" s="75"/>
    </row>
    <row r="450">
      <c r="A450" s="75"/>
      <c r="B450" s="178"/>
      <c r="C450" s="75"/>
      <c r="D450" s="75"/>
      <c r="E450" s="75"/>
      <c r="F450" s="181"/>
      <c r="G450" s="75"/>
      <c r="H450" s="75"/>
      <c r="I450" s="75"/>
      <c r="J450" s="178"/>
      <c r="K450" s="75"/>
      <c r="L450" s="75"/>
      <c r="M450" s="75"/>
      <c r="N450" s="75"/>
    </row>
    <row r="451">
      <c r="A451" s="75"/>
      <c r="B451" s="178"/>
      <c r="C451" s="75"/>
      <c r="D451" s="75"/>
      <c r="E451" s="75"/>
      <c r="F451" s="181"/>
      <c r="G451" s="75"/>
      <c r="H451" s="75"/>
      <c r="I451" s="75"/>
      <c r="J451" s="178"/>
      <c r="K451" s="75"/>
      <c r="L451" s="75"/>
      <c r="M451" s="75"/>
      <c r="N451" s="75"/>
    </row>
    <row r="452">
      <c r="A452" s="75"/>
      <c r="B452" s="178"/>
      <c r="C452" s="75"/>
      <c r="D452" s="75"/>
      <c r="E452" s="75"/>
      <c r="F452" s="181"/>
      <c r="G452" s="75"/>
      <c r="H452" s="75"/>
      <c r="I452" s="75"/>
      <c r="J452" s="178"/>
      <c r="K452" s="75"/>
      <c r="L452" s="75"/>
      <c r="M452" s="75"/>
      <c r="N452" s="75"/>
    </row>
    <row r="453">
      <c r="A453" s="75"/>
      <c r="B453" s="178"/>
      <c r="C453" s="75"/>
      <c r="D453" s="75"/>
      <c r="E453" s="75"/>
      <c r="F453" s="181"/>
      <c r="G453" s="75"/>
      <c r="H453" s="75"/>
      <c r="I453" s="75"/>
      <c r="J453" s="178"/>
      <c r="K453" s="75"/>
      <c r="L453" s="75"/>
      <c r="M453" s="75"/>
      <c r="N453" s="75"/>
    </row>
    <row r="454">
      <c r="A454" s="75"/>
      <c r="B454" s="178"/>
      <c r="C454" s="75"/>
      <c r="D454" s="75"/>
      <c r="E454" s="75"/>
      <c r="F454" s="181"/>
      <c r="G454" s="75"/>
      <c r="H454" s="75"/>
      <c r="I454" s="75"/>
      <c r="J454" s="178"/>
      <c r="K454" s="75"/>
      <c r="L454" s="75"/>
      <c r="M454" s="75"/>
      <c r="N454" s="75"/>
    </row>
    <row r="455">
      <c r="A455" s="75"/>
      <c r="B455" s="178"/>
      <c r="C455" s="75"/>
      <c r="D455" s="75"/>
      <c r="E455" s="75"/>
      <c r="F455" s="181"/>
      <c r="G455" s="75"/>
      <c r="H455" s="75"/>
      <c r="I455" s="75"/>
      <c r="J455" s="178"/>
      <c r="K455" s="75"/>
      <c r="L455" s="75"/>
      <c r="M455" s="75"/>
      <c r="N455" s="75"/>
    </row>
    <row r="456">
      <c r="A456" s="75"/>
      <c r="B456" s="178"/>
      <c r="C456" s="75"/>
      <c r="D456" s="75"/>
      <c r="E456" s="75"/>
      <c r="F456" s="181"/>
      <c r="G456" s="75"/>
      <c r="H456" s="75"/>
      <c r="I456" s="75"/>
      <c r="J456" s="178"/>
      <c r="K456" s="75"/>
      <c r="L456" s="75"/>
      <c r="M456" s="75"/>
      <c r="N456" s="75"/>
    </row>
    <row r="457">
      <c r="A457" s="75"/>
      <c r="B457" s="178"/>
      <c r="C457" s="75"/>
      <c r="D457" s="75"/>
      <c r="E457" s="75"/>
      <c r="F457" s="181"/>
      <c r="G457" s="75"/>
      <c r="H457" s="75"/>
      <c r="I457" s="75"/>
      <c r="J457" s="178"/>
      <c r="K457" s="75"/>
      <c r="L457" s="75"/>
      <c r="M457" s="75"/>
      <c r="N457" s="75"/>
    </row>
    <row r="458">
      <c r="A458" s="75"/>
      <c r="B458" s="178"/>
      <c r="C458" s="75"/>
      <c r="D458" s="75"/>
      <c r="E458" s="75"/>
      <c r="F458" s="181"/>
      <c r="G458" s="75"/>
      <c r="H458" s="75"/>
      <c r="I458" s="75"/>
      <c r="J458" s="178"/>
      <c r="K458" s="75"/>
      <c r="L458" s="75"/>
      <c r="M458" s="75"/>
      <c r="N458" s="75"/>
    </row>
    <row r="459">
      <c r="A459" s="75"/>
      <c r="B459" s="178"/>
      <c r="C459" s="75"/>
      <c r="D459" s="75"/>
      <c r="E459" s="75"/>
      <c r="F459" s="181"/>
      <c r="G459" s="75"/>
      <c r="H459" s="75"/>
      <c r="I459" s="75"/>
      <c r="J459" s="178"/>
      <c r="K459" s="75"/>
      <c r="L459" s="75"/>
      <c r="M459" s="75"/>
      <c r="N459" s="75"/>
    </row>
    <row r="460">
      <c r="A460" s="75"/>
      <c r="B460" s="178"/>
      <c r="C460" s="75"/>
      <c r="D460" s="75"/>
      <c r="E460" s="75"/>
      <c r="F460" s="181"/>
      <c r="G460" s="75"/>
      <c r="H460" s="75"/>
      <c r="I460" s="75"/>
      <c r="J460" s="178"/>
      <c r="K460" s="75"/>
      <c r="L460" s="75"/>
      <c r="M460" s="75"/>
      <c r="N460" s="75"/>
    </row>
    <row r="461">
      <c r="A461" s="75"/>
      <c r="B461" s="178"/>
      <c r="C461" s="75"/>
      <c r="D461" s="75"/>
      <c r="E461" s="75"/>
      <c r="F461" s="181"/>
      <c r="G461" s="75"/>
      <c r="H461" s="75"/>
      <c r="I461" s="75"/>
      <c r="J461" s="178"/>
      <c r="K461" s="75"/>
      <c r="L461" s="75"/>
      <c r="M461" s="75"/>
      <c r="N461" s="75"/>
    </row>
    <row r="462">
      <c r="A462" s="75"/>
      <c r="B462" s="178"/>
      <c r="C462" s="75"/>
      <c r="D462" s="75"/>
      <c r="E462" s="75"/>
      <c r="F462" s="181"/>
      <c r="G462" s="75"/>
      <c r="H462" s="75"/>
      <c r="I462" s="75"/>
      <c r="J462" s="178"/>
      <c r="K462" s="75"/>
      <c r="L462" s="75"/>
      <c r="M462" s="75"/>
      <c r="N462" s="75"/>
    </row>
    <row r="463">
      <c r="A463" s="75"/>
      <c r="B463" s="178"/>
      <c r="C463" s="75"/>
      <c r="D463" s="75"/>
      <c r="E463" s="75"/>
      <c r="F463" s="181"/>
      <c r="G463" s="75"/>
      <c r="H463" s="75"/>
      <c r="I463" s="75"/>
      <c r="J463" s="178"/>
      <c r="K463" s="75"/>
      <c r="L463" s="75"/>
      <c r="M463" s="75"/>
      <c r="N463" s="75"/>
    </row>
    <row r="464">
      <c r="A464" s="75"/>
      <c r="B464" s="178"/>
      <c r="C464" s="75"/>
      <c r="D464" s="75"/>
      <c r="E464" s="75"/>
      <c r="F464" s="181"/>
      <c r="G464" s="75"/>
      <c r="H464" s="75"/>
      <c r="I464" s="75"/>
      <c r="J464" s="178"/>
      <c r="K464" s="75"/>
      <c r="L464" s="75"/>
      <c r="M464" s="75"/>
      <c r="N464" s="75"/>
    </row>
    <row r="465">
      <c r="A465" s="75"/>
      <c r="B465" s="178"/>
      <c r="C465" s="75"/>
      <c r="D465" s="75"/>
      <c r="E465" s="75"/>
      <c r="F465" s="181"/>
      <c r="G465" s="75"/>
      <c r="H465" s="75"/>
      <c r="I465" s="75"/>
      <c r="J465" s="178"/>
      <c r="K465" s="75"/>
      <c r="L465" s="75"/>
      <c r="M465" s="75"/>
      <c r="N465" s="75"/>
    </row>
    <row r="466">
      <c r="A466" s="75"/>
      <c r="B466" s="178"/>
      <c r="C466" s="75"/>
      <c r="D466" s="75"/>
      <c r="E466" s="75"/>
      <c r="F466" s="181"/>
      <c r="G466" s="75"/>
      <c r="H466" s="75"/>
      <c r="I466" s="75"/>
      <c r="J466" s="178"/>
      <c r="K466" s="75"/>
      <c r="L466" s="75"/>
      <c r="M466" s="75"/>
      <c r="N466" s="75"/>
    </row>
    <row r="467">
      <c r="A467" s="75"/>
      <c r="B467" s="178"/>
      <c r="C467" s="75"/>
      <c r="D467" s="75"/>
      <c r="E467" s="75"/>
      <c r="F467" s="181"/>
      <c r="G467" s="75"/>
      <c r="H467" s="75"/>
      <c r="I467" s="75"/>
      <c r="J467" s="178"/>
      <c r="K467" s="75"/>
      <c r="L467" s="75"/>
      <c r="M467" s="75"/>
      <c r="N467" s="75"/>
    </row>
    <row r="468">
      <c r="A468" s="75"/>
      <c r="B468" s="178"/>
      <c r="C468" s="75"/>
      <c r="D468" s="75"/>
      <c r="E468" s="75"/>
      <c r="F468" s="181"/>
      <c r="G468" s="75"/>
      <c r="H468" s="75"/>
      <c r="I468" s="75"/>
      <c r="J468" s="178"/>
      <c r="K468" s="75"/>
      <c r="L468" s="75"/>
      <c r="M468" s="75"/>
      <c r="N468" s="75"/>
    </row>
    <row r="469">
      <c r="A469" s="75"/>
      <c r="B469" s="178"/>
      <c r="C469" s="75"/>
      <c r="D469" s="75"/>
      <c r="E469" s="75"/>
      <c r="F469" s="181"/>
      <c r="G469" s="75"/>
      <c r="H469" s="75"/>
      <c r="I469" s="75"/>
      <c r="J469" s="178"/>
      <c r="K469" s="75"/>
      <c r="L469" s="75"/>
      <c r="M469" s="75"/>
      <c r="N469" s="75"/>
    </row>
    <row r="470">
      <c r="A470" s="75"/>
      <c r="B470" s="178"/>
      <c r="C470" s="75"/>
      <c r="D470" s="75"/>
      <c r="E470" s="75"/>
      <c r="F470" s="181"/>
      <c r="G470" s="75"/>
      <c r="H470" s="75"/>
      <c r="I470" s="75"/>
      <c r="J470" s="178"/>
      <c r="K470" s="75"/>
      <c r="L470" s="75"/>
      <c r="M470" s="75"/>
      <c r="N470" s="75"/>
    </row>
    <row r="471">
      <c r="A471" s="75"/>
      <c r="B471" s="178"/>
      <c r="C471" s="75"/>
      <c r="D471" s="75"/>
      <c r="E471" s="75"/>
      <c r="F471" s="181"/>
      <c r="G471" s="75"/>
      <c r="H471" s="75"/>
      <c r="I471" s="75"/>
      <c r="J471" s="178"/>
      <c r="K471" s="75"/>
      <c r="L471" s="75"/>
      <c r="M471" s="75"/>
      <c r="N471" s="75"/>
    </row>
    <row r="472">
      <c r="A472" s="75"/>
      <c r="B472" s="178"/>
      <c r="C472" s="75"/>
      <c r="D472" s="75"/>
      <c r="E472" s="75"/>
      <c r="F472" s="181"/>
      <c r="G472" s="75"/>
      <c r="H472" s="75"/>
      <c r="I472" s="75"/>
      <c r="J472" s="178"/>
      <c r="K472" s="75"/>
      <c r="L472" s="75"/>
      <c r="M472" s="75"/>
      <c r="N472" s="75"/>
    </row>
    <row r="473">
      <c r="A473" s="75"/>
      <c r="B473" s="178"/>
      <c r="C473" s="75"/>
      <c r="D473" s="75"/>
      <c r="E473" s="75"/>
      <c r="F473" s="181"/>
      <c r="G473" s="75"/>
      <c r="H473" s="75"/>
      <c r="I473" s="75"/>
      <c r="J473" s="178"/>
      <c r="K473" s="75"/>
      <c r="L473" s="75"/>
      <c r="M473" s="75"/>
      <c r="N473" s="75"/>
    </row>
    <row r="474">
      <c r="A474" s="75"/>
      <c r="B474" s="178"/>
      <c r="C474" s="75"/>
      <c r="D474" s="75"/>
      <c r="E474" s="75"/>
      <c r="F474" s="181"/>
      <c r="G474" s="75"/>
      <c r="H474" s="75"/>
      <c r="I474" s="75"/>
      <c r="J474" s="178"/>
      <c r="K474" s="75"/>
      <c r="L474" s="75"/>
      <c r="M474" s="75"/>
      <c r="N474" s="75"/>
    </row>
    <row r="475">
      <c r="A475" s="75"/>
      <c r="B475" s="178"/>
      <c r="C475" s="75"/>
      <c r="D475" s="75"/>
      <c r="E475" s="75"/>
      <c r="F475" s="181"/>
      <c r="G475" s="75"/>
      <c r="H475" s="75"/>
      <c r="I475" s="75"/>
      <c r="J475" s="178"/>
      <c r="K475" s="75"/>
      <c r="L475" s="75"/>
      <c r="M475" s="75"/>
      <c r="N475" s="75"/>
    </row>
    <row r="476">
      <c r="A476" s="75"/>
      <c r="B476" s="178"/>
      <c r="C476" s="75"/>
      <c r="D476" s="75"/>
      <c r="E476" s="75"/>
      <c r="F476" s="181"/>
      <c r="G476" s="75"/>
      <c r="H476" s="75"/>
      <c r="I476" s="75"/>
      <c r="J476" s="178"/>
      <c r="K476" s="75"/>
      <c r="L476" s="75"/>
      <c r="M476" s="75"/>
      <c r="N476" s="75"/>
    </row>
    <row r="477">
      <c r="A477" s="75"/>
      <c r="B477" s="178"/>
      <c r="C477" s="75"/>
      <c r="D477" s="75"/>
      <c r="E477" s="75"/>
      <c r="F477" s="181"/>
      <c r="G477" s="75"/>
      <c r="H477" s="75"/>
      <c r="I477" s="75"/>
      <c r="J477" s="178"/>
      <c r="K477" s="75"/>
      <c r="L477" s="75"/>
      <c r="M477" s="75"/>
      <c r="N477" s="75"/>
    </row>
    <row r="478">
      <c r="A478" s="75"/>
      <c r="B478" s="178"/>
      <c r="C478" s="75"/>
      <c r="D478" s="75"/>
      <c r="E478" s="75"/>
      <c r="F478" s="181"/>
      <c r="G478" s="75"/>
      <c r="H478" s="75"/>
      <c r="I478" s="75"/>
      <c r="J478" s="178"/>
      <c r="K478" s="75"/>
      <c r="L478" s="75"/>
      <c r="M478" s="75"/>
      <c r="N478" s="75"/>
    </row>
    <row r="479">
      <c r="A479" s="75"/>
      <c r="B479" s="178"/>
      <c r="C479" s="75"/>
      <c r="D479" s="75"/>
      <c r="E479" s="75"/>
      <c r="F479" s="181"/>
      <c r="G479" s="75"/>
      <c r="H479" s="75"/>
      <c r="I479" s="75"/>
      <c r="J479" s="178"/>
      <c r="K479" s="75"/>
      <c r="L479" s="75"/>
      <c r="M479" s="75"/>
      <c r="N479" s="75"/>
    </row>
    <row r="480">
      <c r="A480" s="75"/>
      <c r="B480" s="178"/>
      <c r="C480" s="75"/>
      <c r="D480" s="75"/>
      <c r="E480" s="75"/>
      <c r="F480" s="181"/>
      <c r="G480" s="75"/>
      <c r="H480" s="75"/>
      <c r="I480" s="75"/>
      <c r="J480" s="178"/>
      <c r="K480" s="75"/>
      <c r="L480" s="75"/>
      <c r="M480" s="75"/>
      <c r="N480" s="75"/>
    </row>
    <row r="481">
      <c r="A481" s="75"/>
      <c r="B481" s="178"/>
      <c r="C481" s="75"/>
      <c r="D481" s="75"/>
      <c r="E481" s="75"/>
      <c r="F481" s="181"/>
      <c r="G481" s="75"/>
      <c r="H481" s="75"/>
      <c r="I481" s="75"/>
      <c r="J481" s="178"/>
      <c r="K481" s="75"/>
      <c r="L481" s="75"/>
      <c r="M481" s="75"/>
      <c r="N481" s="75"/>
    </row>
    <row r="482">
      <c r="A482" s="75"/>
      <c r="B482" s="178"/>
      <c r="C482" s="75"/>
      <c r="D482" s="75"/>
      <c r="E482" s="75"/>
      <c r="F482" s="181"/>
      <c r="G482" s="75"/>
      <c r="H482" s="75"/>
      <c r="I482" s="75"/>
      <c r="J482" s="178"/>
      <c r="K482" s="75"/>
      <c r="L482" s="75"/>
      <c r="M482" s="75"/>
      <c r="N482" s="75"/>
    </row>
    <row r="483">
      <c r="A483" s="75"/>
      <c r="B483" s="178"/>
      <c r="C483" s="75"/>
      <c r="D483" s="75"/>
      <c r="E483" s="75"/>
      <c r="F483" s="181"/>
      <c r="G483" s="75"/>
      <c r="H483" s="75"/>
      <c r="I483" s="75"/>
      <c r="J483" s="178"/>
      <c r="K483" s="75"/>
      <c r="L483" s="75"/>
      <c r="M483" s="75"/>
      <c r="N483" s="75"/>
    </row>
    <row r="484">
      <c r="A484" s="75"/>
      <c r="B484" s="178"/>
      <c r="C484" s="75"/>
      <c r="D484" s="75"/>
      <c r="E484" s="75"/>
      <c r="F484" s="181"/>
      <c r="G484" s="75"/>
      <c r="H484" s="75"/>
      <c r="I484" s="75"/>
      <c r="J484" s="178"/>
      <c r="K484" s="75"/>
      <c r="L484" s="75"/>
      <c r="M484" s="75"/>
      <c r="N484" s="75"/>
    </row>
    <row r="485">
      <c r="A485" s="75"/>
      <c r="B485" s="178"/>
      <c r="C485" s="75"/>
      <c r="D485" s="75"/>
      <c r="E485" s="75"/>
      <c r="F485" s="181"/>
      <c r="G485" s="75"/>
      <c r="H485" s="75"/>
      <c r="I485" s="75"/>
      <c r="J485" s="178"/>
      <c r="K485" s="75"/>
      <c r="L485" s="75"/>
      <c r="M485" s="75"/>
      <c r="N485" s="75"/>
    </row>
    <row r="486">
      <c r="A486" s="75"/>
      <c r="B486" s="178"/>
      <c r="C486" s="75"/>
      <c r="D486" s="75"/>
      <c r="E486" s="75"/>
      <c r="F486" s="181"/>
      <c r="G486" s="75"/>
      <c r="H486" s="75"/>
      <c r="I486" s="75"/>
      <c r="J486" s="178"/>
      <c r="K486" s="75"/>
      <c r="L486" s="75"/>
      <c r="M486" s="75"/>
      <c r="N486" s="75"/>
    </row>
    <row r="487">
      <c r="A487" s="75"/>
      <c r="B487" s="178"/>
      <c r="C487" s="75"/>
      <c r="D487" s="75"/>
      <c r="E487" s="75"/>
      <c r="F487" s="181"/>
      <c r="G487" s="75"/>
      <c r="H487" s="75"/>
      <c r="I487" s="75"/>
      <c r="J487" s="178"/>
      <c r="K487" s="75"/>
      <c r="L487" s="75"/>
      <c r="M487" s="75"/>
      <c r="N487" s="75"/>
    </row>
    <row r="488">
      <c r="A488" s="75"/>
      <c r="B488" s="178"/>
      <c r="C488" s="75"/>
      <c r="D488" s="75"/>
      <c r="E488" s="75"/>
      <c r="F488" s="181"/>
      <c r="G488" s="75"/>
      <c r="H488" s="75"/>
      <c r="I488" s="75"/>
      <c r="J488" s="178"/>
      <c r="K488" s="75"/>
      <c r="L488" s="75"/>
      <c r="M488" s="75"/>
      <c r="N488" s="75"/>
    </row>
    <row r="489">
      <c r="A489" s="75"/>
      <c r="B489" s="178"/>
      <c r="C489" s="75"/>
      <c r="D489" s="75"/>
      <c r="E489" s="75"/>
      <c r="F489" s="181"/>
      <c r="G489" s="75"/>
      <c r="H489" s="75"/>
      <c r="I489" s="75"/>
      <c r="J489" s="178"/>
      <c r="K489" s="75"/>
      <c r="L489" s="75"/>
      <c r="M489" s="75"/>
      <c r="N489" s="75"/>
    </row>
    <row r="490">
      <c r="A490" s="75"/>
      <c r="B490" s="178"/>
      <c r="C490" s="75"/>
      <c r="D490" s="75"/>
      <c r="E490" s="75"/>
      <c r="F490" s="181"/>
      <c r="G490" s="75"/>
      <c r="H490" s="75"/>
      <c r="I490" s="75"/>
      <c r="J490" s="178"/>
      <c r="K490" s="75"/>
      <c r="L490" s="75"/>
      <c r="M490" s="75"/>
      <c r="N490" s="75"/>
    </row>
    <row r="491">
      <c r="A491" s="75"/>
      <c r="B491" s="178"/>
      <c r="C491" s="75"/>
      <c r="D491" s="75"/>
      <c r="E491" s="75"/>
      <c r="F491" s="181"/>
      <c r="G491" s="75"/>
      <c r="H491" s="75"/>
      <c r="I491" s="75"/>
      <c r="J491" s="178"/>
      <c r="K491" s="75"/>
      <c r="L491" s="75"/>
      <c r="M491" s="75"/>
      <c r="N491" s="75"/>
    </row>
    <row r="492">
      <c r="A492" s="75"/>
      <c r="B492" s="178"/>
      <c r="C492" s="75"/>
      <c r="D492" s="75"/>
      <c r="E492" s="75"/>
      <c r="F492" s="181"/>
      <c r="G492" s="75"/>
      <c r="H492" s="75"/>
      <c r="I492" s="75"/>
      <c r="J492" s="178"/>
      <c r="K492" s="75"/>
      <c r="L492" s="75"/>
      <c r="M492" s="75"/>
      <c r="N492" s="75"/>
    </row>
    <row r="493">
      <c r="A493" s="75"/>
      <c r="B493" s="178"/>
      <c r="C493" s="75"/>
      <c r="D493" s="75"/>
      <c r="E493" s="75"/>
      <c r="F493" s="181"/>
      <c r="G493" s="75"/>
      <c r="H493" s="75"/>
      <c r="I493" s="75"/>
      <c r="J493" s="178"/>
      <c r="K493" s="75"/>
      <c r="L493" s="75"/>
      <c r="M493" s="75"/>
      <c r="N493" s="75"/>
    </row>
    <row r="494">
      <c r="A494" s="75"/>
      <c r="B494" s="178"/>
      <c r="C494" s="75"/>
      <c r="D494" s="75"/>
      <c r="E494" s="75"/>
      <c r="F494" s="181"/>
      <c r="G494" s="75"/>
      <c r="H494" s="75"/>
      <c r="I494" s="75"/>
      <c r="J494" s="178"/>
      <c r="K494" s="75"/>
      <c r="L494" s="75"/>
      <c r="M494" s="75"/>
      <c r="N494" s="75"/>
    </row>
    <row r="495">
      <c r="A495" s="75"/>
      <c r="B495" s="178"/>
      <c r="C495" s="75"/>
      <c r="D495" s="75"/>
      <c r="E495" s="75"/>
      <c r="F495" s="181"/>
      <c r="G495" s="75"/>
      <c r="H495" s="75"/>
      <c r="I495" s="75"/>
      <c r="J495" s="178"/>
      <c r="K495" s="75"/>
      <c r="L495" s="75"/>
      <c r="M495" s="75"/>
      <c r="N495" s="75"/>
    </row>
    <row r="496">
      <c r="A496" s="75"/>
      <c r="B496" s="178"/>
      <c r="C496" s="75"/>
      <c r="D496" s="75"/>
      <c r="E496" s="75"/>
      <c r="F496" s="181"/>
      <c r="G496" s="75"/>
      <c r="H496" s="75"/>
      <c r="I496" s="75"/>
      <c r="J496" s="178"/>
      <c r="K496" s="75"/>
      <c r="L496" s="75"/>
      <c r="M496" s="75"/>
      <c r="N496" s="75"/>
    </row>
    <row r="497">
      <c r="A497" s="75"/>
      <c r="B497" s="178"/>
      <c r="C497" s="75"/>
      <c r="D497" s="75"/>
      <c r="E497" s="75"/>
      <c r="F497" s="181"/>
      <c r="G497" s="75"/>
      <c r="H497" s="75"/>
      <c r="I497" s="75"/>
      <c r="J497" s="178"/>
      <c r="K497" s="75"/>
      <c r="L497" s="75"/>
      <c r="M497" s="75"/>
      <c r="N497" s="75"/>
    </row>
    <row r="498">
      <c r="A498" s="75"/>
      <c r="B498" s="178"/>
      <c r="C498" s="75"/>
      <c r="D498" s="75"/>
      <c r="E498" s="75"/>
      <c r="F498" s="181"/>
      <c r="G498" s="75"/>
      <c r="H498" s="75"/>
      <c r="I498" s="75"/>
      <c r="J498" s="178"/>
      <c r="K498" s="75"/>
      <c r="L498" s="75"/>
      <c r="M498" s="75"/>
      <c r="N498" s="75"/>
    </row>
    <row r="499">
      <c r="A499" s="75"/>
      <c r="B499" s="178"/>
      <c r="C499" s="75"/>
      <c r="D499" s="75"/>
      <c r="E499" s="75"/>
      <c r="F499" s="181"/>
      <c r="G499" s="75"/>
      <c r="H499" s="75"/>
      <c r="I499" s="75"/>
      <c r="J499" s="178"/>
      <c r="K499" s="75"/>
      <c r="L499" s="75"/>
      <c r="M499" s="75"/>
      <c r="N499" s="75"/>
    </row>
    <row r="500">
      <c r="A500" s="75"/>
      <c r="B500" s="178"/>
      <c r="C500" s="75"/>
      <c r="D500" s="75"/>
      <c r="E500" s="75"/>
      <c r="F500" s="181"/>
      <c r="G500" s="75"/>
      <c r="H500" s="75"/>
      <c r="I500" s="75"/>
      <c r="J500" s="178"/>
      <c r="K500" s="75"/>
      <c r="L500" s="75"/>
      <c r="M500" s="75"/>
      <c r="N500" s="75"/>
    </row>
    <row r="501">
      <c r="A501" s="75"/>
      <c r="B501" s="178"/>
      <c r="C501" s="75"/>
      <c r="D501" s="75"/>
      <c r="E501" s="75"/>
      <c r="F501" s="181"/>
      <c r="G501" s="75"/>
      <c r="H501" s="75"/>
      <c r="I501" s="75"/>
      <c r="J501" s="178"/>
      <c r="K501" s="75"/>
      <c r="L501" s="75"/>
      <c r="M501" s="75"/>
      <c r="N501" s="75"/>
    </row>
    <row r="502">
      <c r="A502" s="75"/>
      <c r="B502" s="178"/>
      <c r="C502" s="75"/>
      <c r="D502" s="75"/>
      <c r="E502" s="75"/>
      <c r="F502" s="181"/>
      <c r="G502" s="75"/>
      <c r="H502" s="75"/>
      <c r="I502" s="75"/>
      <c r="J502" s="178"/>
      <c r="K502" s="75"/>
      <c r="L502" s="75"/>
      <c r="M502" s="75"/>
      <c r="N502" s="75"/>
    </row>
    <row r="503">
      <c r="A503" s="75"/>
      <c r="B503" s="178"/>
      <c r="C503" s="75"/>
      <c r="D503" s="75"/>
      <c r="E503" s="75"/>
      <c r="F503" s="181"/>
      <c r="G503" s="75"/>
      <c r="H503" s="75"/>
      <c r="I503" s="75"/>
      <c r="J503" s="178"/>
      <c r="K503" s="75"/>
      <c r="L503" s="75"/>
      <c r="M503" s="75"/>
      <c r="N503" s="75"/>
    </row>
    <row r="504">
      <c r="A504" s="75"/>
      <c r="B504" s="178"/>
      <c r="C504" s="75"/>
      <c r="D504" s="75"/>
      <c r="E504" s="75"/>
      <c r="F504" s="181"/>
      <c r="G504" s="75"/>
      <c r="H504" s="75"/>
      <c r="I504" s="75"/>
      <c r="J504" s="178"/>
      <c r="K504" s="75"/>
      <c r="L504" s="75"/>
      <c r="M504" s="75"/>
      <c r="N504" s="75"/>
    </row>
    <row r="505">
      <c r="A505" s="75"/>
      <c r="B505" s="178"/>
      <c r="C505" s="75"/>
      <c r="D505" s="75"/>
      <c r="E505" s="75"/>
      <c r="F505" s="181"/>
      <c r="G505" s="75"/>
      <c r="H505" s="75"/>
      <c r="I505" s="75"/>
      <c r="J505" s="178"/>
      <c r="K505" s="75"/>
      <c r="L505" s="75"/>
      <c r="M505" s="75"/>
      <c r="N505" s="75"/>
    </row>
    <row r="506">
      <c r="A506" s="75"/>
      <c r="B506" s="178"/>
      <c r="C506" s="75"/>
      <c r="D506" s="75"/>
      <c r="E506" s="75"/>
      <c r="F506" s="181"/>
      <c r="G506" s="75"/>
      <c r="H506" s="75"/>
      <c r="I506" s="75"/>
      <c r="J506" s="178"/>
      <c r="K506" s="75"/>
      <c r="L506" s="75"/>
      <c r="M506" s="75"/>
      <c r="N506" s="75"/>
    </row>
    <row r="507">
      <c r="A507" s="75"/>
      <c r="B507" s="178"/>
      <c r="C507" s="75"/>
      <c r="D507" s="75"/>
      <c r="E507" s="75"/>
      <c r="F507" s="181"/>
      <c r="G507" s="75"/>
      <c r="H507" s="75"/>
      <c r="I507" s="75"/>
      <c r="J507" s="178"/>
      <c r="K507" s="75"/>
      <c r="L507" s="75"/>
      <c r="M507" s="75"/>
      <c r="N507" s="75"/>
    </row>
    <row r="508">
      <c r="A508" s="75"/>
      <c r="B508" s="178"/>
      <c r="C508" s="75"/>
      <c r="D508" s="75"/>
      <c r="E508" s="75"/>
      <c r="F508" s="181"/>
      <c r="G508" s="75"/>
      <c r="H508" s="75"/>
      <c r="I508" s="75"/>
      <c r="J508" s="178"/>
      <c r="K508" s="75"/>
      <c r="L508" s="75"/>
      <c r="M508" s="75"/>
      <c r="N508" s="75"/>
    </row>
    <row r="509">
      <c r="A509" s="75"/>
      <c r="B509" s="178"/>
      <c r="C509" s="75"/>
      <c r="D509" s="75"/>
      <c r="E509" s="75"/>
      <c r="F509" s="181"/>
      <c r="G509" s="75"/>
      <c r="H509" s="75"/>
      <c r="I509" s="75"/>
      <c r="J509" s="178"/>
      <c r="K509" s="75"/>
      <c r="L509" s="75"/>
      <c r="M509" s="75"/>
      <c r="N509" s="75"/>
    </row>
    <row r="510">
      <c r="A510" s="75"/>
      <c r="B510" s="178"/>
      <c r="C510" s="75"/>
      <c r="D510" s="75"/>
      <c r="E510" s="75"/>
      <c r="F510" s="181"/>
      <c r="G510" s="75"/>
      <c r="H510" s="75"/>
      <c r="I510" s="75"/>
      <c r="J510" s="178"/>
      <c r="K510" s="75"/>
      <c r="L510" s="75"/>
      <c r="M510" s="75"/>
      <c r="N510" s="75"/>
    </row>
    <row r="511">
      <c r="A511" s="75"/>
      <c r="B511" s="178"/>
      <c r="C511" s="75"/>
      <c r="D511" s="75"/>
      <c r="E511" s="75"/>
      <c r="F511" s="181"/>
      <c r="G511" s="75"/>
      <c r="H511" s="75"/>
      <c r="I511" s="75"/>
      <c r="J511" s="178"/>
      <c r="K511" s="75"/>
      <c r="L511" s="75"/>
      <c r="M511" s="75"/>
      <c r="N511" s="75"/>
    </row>
    <row r="512">
      <c r="A512" s="75"/>
      <c r="B512" s="178"/>
      <c r="C512" s="75"/>
      <c r="D512" s="75"/>
      <c r="E512" s="75"/>
      <c r="F512" s="181"/>
      <c r="G512" s="75"/>
      <c r="H512" s="75"/>
      <c r="I512" s="75"/>
      <c r="J512" s="178"/>
      <c r="K512" s="75"/>
      <c r="L512" s="75"/>
      <c r="M512" s="75"/>
      <c r="N512" s="75"/>
    </row>
    <row r="513">
      <c r="A513" s="75"/>
      <c r="B513" s="178"/>
      <c r="C513" s="75"/>
      <c r="D513" s="75"/>
      <c r="E513" s="75"/>
      <c r="F513" s="181"/>
      <c r="G513" s="75"/>
      <c r="H513" s="75"/>
      <c r="I513" s="75"/>
      <c r="J513" s="178"/>
      <c r="K513" s="75"/>
      <c r="L513" s="75"/>
      <c r="M513" s="75"/>
      <c r="N513" s="75"/>
    </row>
    <row r="514">
      <c r="A514" s="75"/>
      <c r="B514" s="178"/>
      <c r="C514" s="75"/>
      <c r="D514" s="75"/>
      <c r="E514" s="75"/>
      <c r="F514" s="181"/>
      <c r="G514" s="75"/>
      <c r="H514" s="75"/>
      <c r="I514" s="75"/>
      <c r="J514" s="178"/>
      <c r="K514" s="75"/>
      <c r="L514" s="75"/>
      <c r="M514" s="75"/>
      <c r="N514" s="75"/>
    </row>
    <row r="515">
      <c r="A515" s="75"/>
      <c r="B515" s="178"/>
      <c r="C515" s="75"/>
      <c r="D515" s="75"/>
      <c r="E515" s="75"/>
      <c r="F515" s="181"/>
      <c r="G515" s="75"/>
      <c r="H515" s="75"/>
      <c r="I515" s="75"/>
      <c r="J515" s="178"/>
      <c r="K515" s="75"/>
      <c r="L515" s="75"/>
      <c r="M515" s="75"/>
      <c r="N515" s="75"/>
    </row>
    <row r="516">
      <c r="A516" s="75"/>
      <c r="B516" s="178"/>
      <c r="C516" s="75"/>
      <c r="D516" s="75"/>
      <c r="E516" s="75"/>
      <c r="F516" s="181"/>
      <c r="G516" s="75"/>
      <c r="H516" s="75"/>
      <c r="I516" s="75"/>
      <c r="J516" s="178"/>
      <c r="K516" s="75"/>
      <c r="L516" s="75"/>
      <c r="M516" s="75"/>
      <c r="N516" s="75"/>
    </row>
    <row r="517">
      <c r="A517" s="75"/>
      <c r="B517" s="178"/>
      <c r="C517" s="75"/>
      <c r="D517" s="75"/>
      <c r="E517" s="75"/>
      <c r="F517" s="181"/>
      <c r="G517" s="75"/>
      <c r="H517" s="75"/>
      <c r="I517" s="75"/>
      <c r="J517" s="178"/>
      <c r="K517" s="75"/>
      <c r="L517" s="75"/>
      <c r="M517" s="75"/>
      <c r="N517" s="75"/>
    </row>
    <row r="518">
      <c r="A518" s="75"/>
      <c r="B518" s="178"/>
      <c r="C518" s="75"/>
      <c r="D518" s="75"/>
      <c r="E518" s="75"/>
      <c r="F518" s="181"/>
      <c r="G518" s="75"/>
      <c r="H518" s="75"/>
      <c r="I518" s="75"/>
      <c r="J518" s="178"/>
      <c r="K518" s="75"/>
      <c r="L518" s="75"/>
      <c r="M518" s="75"/>
      <c r="N518" s="75"/>
    </row>
    <row r="519">
      <c r="A519" s="75"/>
      <c r="B519" s="178"/>
      <c r="C519" s="75"/>
      <c r="D519" s="75"/>
      <c r="E519" s="75"/>
      <c r="F519" s="181"/>
      <c r="G519" s="75"/>
      <c r="H519" s="75"/>
      <c r="I519" s="75"/>
      <c r="J519" s="178"/>
      <c r="K519" s="75"/>
      <c r="L519" s="75"/>
      <c r="M519" s="75"/>
      <c r="N519" s="75"/>
    </row>
    <row r="520">
      <c r="A520" s="75"/>
      <c r="B520" s="178"/>
      <c r="C520" s="75"/>
      <c r="D520" s="75"/>
      <c r="E520" s="75"/>
      <c r="F520" s="181"/>
      <c r="G520" s="75"/>
      <c r="H520" s="75"/>
      <c r="I520" s="75"/>
      <c r="J520" s="178"/>
      <c r="K520" s="75"/>
      <c r="L520" s="75"/>
      <c r="M520" s="75"/>
      <c r="N520" s="75"/>
    </row>
    <row r="521">
      <c r="A521" s="75"/>
      <c r="B521" s="178"/>
      <c r="C521" s="75"/>
      <c r="D521" s="75"/>
      <c r="E521" s="75"/>
      <c r="F521" s="181"/>
      <c r="G521" s="75"/>
      <c r="H521" s="75"/>
      <c r="I521" s="75"/>
      <c r="J521" s="178"/>
      <c r="K521" s="75"/>
      <c r="L521" s="75"/>
      <c r="M521" s="75"/>
      <c r="N521" s="75"/>
    </row>
    <row r="522">
      <c r="A522" s="75"/>
      <c r="B522" s="178"/>
      <c r="C522" s="75"/>
      <c r="D522" s="75"/>
      <c r="E522" s="75"/>
      <c r="F522" s="181"/>
      <c r="G522" s="75"/>
      <c r="H522" s="75"/>
      <c r="I522" s="75"/>
      <c r="J522" s="178"/>
      <c r="K522" s="75"/>
      <c r="L522" s="75"/>
      <c r="M522" s="75"/>
      <c r="N522" s="75"/>
    </row>
    <row r="523">
      <c r="A523" s="75"/>
      <c r="B523" s="178"/>
      <c r="C523" s="75"/>
      <c r="D523" s="75"/>
      <c r="E523" s="75"/>
      <c r="F523" s="181"/>
      <c r="G523" s="75"/>
      <c r="H523" s="75"/>
      <c r="I523" s="75"/>
      <c r="J523" s="178"/>
      <c r="K523" s="75"/>
      <c r="L523" s="75"/>
      <c r="M523" s="75"/>
      <c r="N523" s="75"/>
    </row>
    <row r="524">
      <c r="A524" s="75"/>
      <c r="B524" s="178"/>
      <c r="C524" s="75"/>
      <c r="D524" s="75"/>
      <c r="E524" s="75"/>
      <c r="F524" s="181"/>
      <c r="G524" s="75"/>
      <c r="H524" s="75"/>
      <c r="I524" s="75"/>
      <c r="J524" s="178"/>
      <c r="K524" s="75"/>
      <c r="L524" s="75"/>
      <c r="M524" s="75"/>
      <c r="N524" s="75"/>
    </row>
    <row r="525">
      <c r="A525" s="75"/>
      <c r="B525" s="178"/>
      <c r="C525" s="75"/>
      <c r="D525" s="75"/>
      <c r="E525" s="75"/>
      <c r="F525" s="181"/>
      <c r="G525" s="75"/>
      <c r="H525" s="75"/>
      <c r="I525" s="75"/>
      <c r="J525" s="178"/>
      <c r="K525" s="75"/>
      <c r="L525" s="75"/>
      <c r="M525" s="75"/>
      <c r="N525" s="75"/>
    </row>
    <row r="526">
      <c r="A526" s="75"/>
      <c r="B526" s="178"/>
      <c r="C526" s="75"/>
      <c r="D526" s="75"/>
      <c r="E526" s="75"/>
      <c r="F526" s="181"/>
      <c r="G526" s="75"/>
      <c r="H526" s="75"/>
      <c r="I526" s="75"/>
      <c r="J526" s="178"/>
      <c r="K526" s="75"/>
      <c r="L526" s="75"/>
      <c r="M526" s="75"/>
      <c r="N526" s="75"/>
    </row>
    <row r="527">
      <c r="A527" s="75"/>
      <c r="B527" s="178"/>
      <c r="C527" s="75"/>
      <c r="D527" s="75"/>
      <c r="E527" s="75"/>
      <c r="F527" s="181"/>
      <c r="G527" s="75"/>
      <c r="H527" s="75"/>
      <c r="I527" s="75"/>
      <c r="J527" s="178"/>
      <c r="K527" s="75"/>
      <c r="L527" s="75"/>
      <c r="M527" s="75"/>
      <c r="N527" s="75"/>
    </row>
    <row r="528">
      <c r="A528" s="75"/>
      <c r="B528" s="178"/>
      <c r="C528" s="75"/>
      <c r="D528" s="75"/>
      <c r="E528" s="75"/>
      <c r="F528" s="181"/>
      <c r="G528" s="75"/>
      <c r="H528" s="75"/>
      <c r="I528" s="75"/>
      <c r="J528" s="178"/>
      <c r="K528" s="75"/>
      <c r="L528" s="75"/>
      <c r="M528" s="75"/>
      <c r="N528" s="75"/>
    </row>
    <row r="529">
      <c r="A529" s="75"/>
      <c r="B529" s="178"/>
      <c r="C529" s="75"/>
      <c r="D529" s="75"/>
      <c r="E529" s="75"/>
      <c r="F529" s="181"/>
      <c r="G529" s="75"/>
      <c r="H529" s="75"/>
      <c r="I529" s="75"/>
      <c r="J529" s="178"/>
      <c r="K529" s="75"/>
      <c r="L529" s="75"/>
      <c r="M529" s="75"/>
      <c r="N529" s="75"/>
    </row>
    <row r="530">
      <c r="A530" s="75"/>
      <c r="B530" s="178"/>
      <c r="C530" s="75"/>
      <c r="D530" s="75"/>
      <c r="E530" s="75"/>
      <c r="F530" s="181"/>
      <c r="G530" s="75"/>
      <c r="H530" s="75"/>
      <c r="I530" s="75"/>
      <c r="J530" s="178"/>
      <c r="K530" s="75"/>
      <c r="L530" s="75"/>
      <c r="M530" s="75"/>
      <c r="N530" s="75"/>
    </row>
    <row r="531">
      <c r="A531" s="75"/>
      <c r="B531" s="178"/>
      <c r="C531" s="75"/>
      <c r="D531" s="75"/>
      <c r="E531" s="75"/>
      <c r="F531" s="181"/>
      <c r="G531" s="75"/>
      <c r="H531" s="75"/>
      <c r="I531" s="75"/>
      <c r="J531" s="178"/>
      <c r="K531" s="75"/>
      <c r="L531" s="75"/>
      <c r="M531" s="75"/>
      <c r="N531" s="75"/>
    </row>
    <row r="532">
      <c r="A532" s="75"/>
      <c r="B532" s="178"/>
      <c r="C532" s="75"/>
      <c r="D532" s="75"/>
      <c r="E532" s="75"/>
      <c r="F532" s="181"/>
      <c r="G532" s="75"/>
      <c r="H532" s="75"/>
      <c r="I532" s="75"/>
      <c r="J532" s="178"/>
      <c r="K532" s="75"/>
      <c r="L532" s="75"/>
      <c r="M532" s="75"/>
      <c r="N532" s="75"/>
    </row>
    <row r="533">
      <c r="A533" s="75"/>
      <c r="B533" s="178"/>
      <c r="C533" s="75"/>
      <c r="D533" s="75"/>
      <c r="E533" s="75"/>
      <c r="F533" s="181"/>
      <c r="G533" s="75"/>
      <c r="H533" s="75"/>
      <c r="I533" s="75"/>
      <c r="J533" s="178"/>
      <c r="K533" s="75"/>
      <c r="L533" s="75"/>
      <c r="M533" s="75"/>
      <c r="N533" s="75"/>
    </row>
    <row r="534">
      <c r="A534" s="75"/>
      <c r="B534" s="178"/>
      <c r="C534" s="75"/>
      <c r="D534" s="75"/>
      <c r="E534" s="75"/>
      <c r="F534" s="181"/>
      <c r="G534" s="75"/>
      <c r="H534" s="75"/>
      <c r="I534" s="75"/>
      <c r="J534" s="178"/>
      <c r="K534" s="75"/>
      <c r="L534" s="75"/>
      <c r="M534" s="75"/>
      <c r="N534" s="75"/>
    </row>
    <row r="535">
      <c r="A535" s="75"/>
      <c r="B535" s="178"/>
      <c r="C535" s="75"/>
      <c r="D535" s="75"/>
      <c r="E535" s="75"/>
      <c r="F535" s="181"/>
      <c r="G535" s="75"/>
      <c r="H535" s="75"/>
      <c r="I535" s="75"/>
      <c r="J535" s="178"/>
      <c r="K535" s="75"/>
      <c r="L535" s="75"/>
      <c r="M535" s="75"/>
      <c r="N535" s="75"/>
    </row>
    <row r="536">
      <c r="A536" s="75"/>
      <c r="B536" s="178"/>
      <c r="C536" s="75"/>
      <c r="D536" s="75"/>
      <c r="E536" s="75"/>
      <c r="F536" s="181"/>
      <c r="G536" s="75"/>
      <c r="H536" s="75"/>
      <c r="I536" s="75"/>
      <c r="J536" s="178"/>
      <c r="K536" s="75"/>
      <c r="L536" s="75"/>
      <c r="M536" s="75"/>
      <c r="N536" s="75"/>
    </row>
    <row r="537">
      <c r="A537" s="75"/>
      <c r="B537" s="178"/>
      <c r="C537" s="75"/>
      <c r="D537" s="75"/>
      <c r="E537" s="75"/>
      <c r="F537" s="181"/>
      <c r="G537" s="75"/>
      <c r="H537" s="75"/>
      <c r="I537" s="75"/>
      <c r="J537" s="178"/>
      <c r="K537" s="75"/>
      <c r="L537" s="75"/>
      <c r="M537" s="75"/>
      <c r="N537" s="75"/>
    </row>
    <row r="538">
      <c r="A538" s="75"/>
      <c r="B538" s="178"/>
      <c r="C538" s="75"/>
      <c r="D538" s="75"/>
      <c r="E538" s="75"/>
      <c r="F538" s="181"/>
      <c r="G538" s="75"/>
      <c r="H538" s="75"/>
      <c r="I538" s="75"/>
      <c r="J538" s="178"/>
      <c r="K538" s="75"/>
      <c r="L538" s="75"/>
      <c r="M538" s="75"/>
      <c r="N538" s="75"/>
    </row>
    <row r="539">
      <c r="A539" s="75"/>
      <c r="B539" s="178"/>
      <c r="C539" s="75"/>
      <c r="D539" s="75"/>
      <c r="E539" s="75"/>
      <c r="F539" s="181"/>
      <c r="G539" s="75"/>
      <c r="H539" s="75"/>
      <c r="I539" s="75"/>
      <c r="J539" s="178"/>
      <c r="K539" s="75"/>
      <c r="L539" s="75"/>
      <c r="M539" s="75"/>
      <c r="N539" s="75"/>
    </row>
    <row r="540">
      <c r="A540" s="75"/>
      <c r="B540" s="178"/>
      <c r="C540" s="75"/>
      <c r="D540" s="75"/>
      <c r="E540" s="75"/>
      <c r="F540" s="181"/>
      <c r="G540" s="75"/>
      <c r="H540" s="75"/>
      <c r="I540" s="75"/>
      <c r="J540" s="178"/>
      <c r="K540" s="75"/>
      <c r="L540" s="75"/>
      <c r="M540" s="75"/>
      <c r="N540" s="75"/>
    </row>
    <row r="541">
      <c r="A541" s="75"/>
      <c r="B541" s="178"/>
      <c r="C541" s="75"/>
      <c r="D541" s="75"/>
      <c r="E541" s="75"/>
      <c r="F541" s="181"/>
      <c r="G541" s="75"/>
      <c r="H541" s="75"/>
      <c r="I541" s="75"/>
      <c r="J541" s="178"/>
      <c r="K541" s="75"/>
      <c r="L541" s="75"/>
      <c r="M541" s="75"/>
      <c r="N541" s="75"/>
    </row>
    <row r="542">
      <c r="A542" s="75"/>
      <c r="B542" s="178"/>
      <c r="C542" s="75"/>
      <c r="D542" s="75"/>
      <c r="E542" s="75"/>
      <c r="F542" s="181"/>
      <c r="G542" s="75"/>
      <c r="H542" s="75"/>
      <c r="I542" s="75"/>
      <c r="J542" s="178"/>
      <c r="K542" s="75"/>
      <c r="L542" s="75"/>
      <c r="M542" s="75"/>
      <c r="N542" s="75"/>
    </row>
    <row r="543">
      <c r="A543" s="75"/>
      <c r="B543" s="178"/>
      <c r="C543" s="75"/>
      <c r="D543" s="75"/>
      <c r="E543" s="75"/>
      <c r="F543" s="181"/>
      <c r="G543" s="75"/>
      <c r="H543" s="75"/>
      <c r="I543" s="75"/>
      <c r="J543" s="178"/>
      <c r="K543" s="75"/>
      <c r="L543" s="75"/>
      <c r="M543" s="75"/>
      <c r="N543" s="75"/>
    </row>
    <row r="544">
      <c r="A544" s="75"/>
      <c r="B544" s="178"/>
      <c r="C544" s="75"/>
      <c r="D544" s="75"/>
      <c r="E544" s="75"/>
      <c r="F544" s="181"/>
      <c r="G544" s="75"/>
      <c r="H544" s="75"/>
      <c r="I544" s="75"/>
      <c r="J544" s="178"/>
      <c r="K544" s="75"/>
      <c r="L544" s="75"/>
      <c r="M544" s="75"/>
      <c r="N544" s="75"/>
    </row>
    <row r="545">
      <c r="A545" s="75"/>
      <c r="B545" s="178"/>
      <c r="C545" s="75"/>
      <c r="D545" s="75"/>
      <c r="E545" s="75"/>
      <c r="F545" s="181"/>
      <c r="G545" s="75"/>
      <c r="H545" s="75"/>
      <c r="I545" s="75"/>
      <c r="J545" s="178"/>
      <c r="K545" s="75"/>
      <c r="L545" s="75"/>
      <c r="M545" s="75"/>
      <c r="N545" s="75"/>
    </row>
    <row r="546">
      <c r="A546" s="75"/>
      <c r="B546" s="178"/>
      <c r="C546" s="75"/>
      <c r="D546" s="75"/>
      <c r="E546" s="75"/>
      <c r="F546" s="181"/>
      <c r="G546" s="75"/>
      <c r="H546" s="75"/>
      <c r="I546" s="75"/>
      <c r="J546" s="178"/>
      <c r="K546" s="75"/>
      <c r="L546" s="75"/>
      <c r="M546" s="75"/>
      <c r="N546" s="75"/>
    </row>
    <row r="547">
      <c r="A547" s="75"/>
      <c r="B547" s="178"/>
      <c r="C547" s="75"/>
      <c r="D547" s="75"/>
      <c r="E547" s="75"/>
      <c r="F547" s="181"/>
      <c r="G547" s="75"/>
      <c r="H547" s="75"/>
      <c r="I547" s="75"/>
      <c r="J547" s="178"/>
      <c r="K547" s="75"/>
      <c r="L547" s="75"/>
      <c r="M547" s="75"/>
      <c r="N547" s="75"/>
    </row>
    <row r="548">
      <c r="A548" s="75"/>
      <c r="B548" s="178"/>
      <c r="C548" s="75"/>
      <c r="D548" s="75"/>
      <c r="E548" s="75"/>
      <c r="F548" s="181"/>
      <c r="G548" s="75"/>
      <c r="H548" s="75"/>
      <c r="I548" s="75"/>
      <c r="J548" s="178"/>
      <c r="K548" s="75"/>
      <c r="L548" s="75"/>
      <c r="M548" s="75"/>
      <c r="N548" s="75"/>
    </row>
    <row r="549">
      <c r="A549" s="75"/>
      <c r="B549" s="178"/>
      <c r="C549" s="75"/>
      <c r="D549" s="75"/>
      <c r="E549" s="75"/>
      <c r="F549" s="181"/>
      <c r="G549" s="75"/>
      <c r="H549" s="75"/>
      <c r="I549" s="75"/>
      <c r="J549" s="178"/>
      <c r="K549" s="75"/>
      <c r="L549" s="75"/>
      <c r="M549" s="75"/>
      <c r="N549" s="75"/>
    </row>
    <row r="550">
      <c r="A550" s="75"/>
      <c r="B550" s="178"/>
      <c r="C550" s="75"/>
      <c r="D550" s="75"/>
      <c r="E550" s="75"/>
      <c r="F550" s="181"/>
      <c r="G550" s="75"/>
      <c r="H550" s="75"/>
      <c r="I550" s="75"/>
      <c r="J550" s="178"/>
      <c r="K550" s="75"/>
      <c r="L550" s="75"/>
      <c r="M550" s="75"/>
      <c r="N550" s="75"/>
    </row>
    <row r="551">
      <c r="A551" s="75"/>
      <c r="B551" s="178"/>
      <c r="C551" s="75"/>
      <c r="D551" s="75"/>
      <c r="E551" s="75"/>
      <c r="F551" s="181"/>
      <c r="G551" s="75"/>
      <c r="H551" s="75"/>
      <c r="I551" s="75"/>
      <c r="J551" s="178"/>
      <c r="K551" s="75"/>
      <c r="L551" s="75"/>
      <c r="M551" s="75"/>
      <c r="N551" s="75"/>
    </row>
    <row r="552">
      <c r="A552" s="75"/>
      <c r="B552" s="178"/>
      <c r="C552" s="75"/>
      <c r="D552" s="75"/>
      <c r="E552" s="75"/>
      <c r="F552" s="181"/>
      <c r="G552" s="75"/>
      <c r="H552" s="75"/>
      <c r="I552" s="75"/>
      <c r="J552" s="178"/>
      <c r="K552" s="75"/>
      <c r="L552" s="75"/>
      <c r="M552" s="75"/>
      <c r="N552" s="75"/>
    </row>
    <row r="553">
      <c r="A553" s="75"/>
      <c r="B553" s="178"/>
      <c r="C553" s="75"/>
      <c r="D553" s="75"/>
      <c r="E553" s="75"/>
      <c r="F553" s="181"/>
      <c r="G553" s="75"/>
      <c r="H553" s="75"/>
      <c r="I553" s="75"/>
      <c r="J553" s="178"/>
      <c r="K553" s="75"/>
      <c r="L553" s="75"/>
      <c r="M553" s="75"/>
      <c r="N553" s="75"/>
    </row>
    <row r="554">
      <c r="A554" s="75"/>
      <c r="B554" s="178"/>
      <c r="C554" s="75"/>
      <c r="D554" s="75"/>
      <c r="E554" s="75"/>
      <c r="F554" s="181"/>
      <c r="G554" s="75"/>
      <c r="H554" s="75"/>
      <c r="I554" s="75"/>
      <c r="J554" s="178"/>
      <c r="K554" s="75"/>
      <c r="L554" s="75"/>
      <c r="M554" s="75"/>
      <c r="N554" s="75"/>
    </row>
    <row r="555">
      <c r="A555" s="75"/>
      <c r="B555" s="178"/>
      <c r="C555" s="75"/>
      <c r="D555" s="75"/>
      <c r="E555" s="75"/>
      <c r="F555" s="181"/>
      <c r="G555" s="75"/>
      <c r="H555" s="75"/>
      <c r="I555" s="75"/>
      <c r="J555" s="178"/>
      <c r="K555" s="75"/>
      <c r="L555" s="75"/>
      <c r="M555" s="75"/>
      <c r="N555" s="75"/>
    </row>
    <row r="556">
      <c r="A556" s="75"/>
      <c r="B556" s="178"/>
      <c r="C556" s="75"/>
      <c r="D556" s="75"/>
      <c r="E556" s="75"/>
      <c r="F556" s="181"/>
      <c r="G556" s="75"/>
      <c r="H556" s="75"/>
      <c r="I556" s="75"/>
      <c r="J556" s="178"/>
      <c r="K556" s="75"/>
      <c r="L556" s="75"/>
      <c r="M556" s="75"/>
      <c r="N556" s="75"/>
    </row>
    <row r="557">
      <c r="A557" s="75"/>
      <c r="B557" s="178"/>
      <c r="C557" s="75"/>
      <c r="D557" s="75"/>
      <c r="E557" s="75"/>
      <c r="F557" s="181"/>
      <c r="G557" s="75"/>
      <c r="H557" s="75"/>
      <c r="I557" s="75"/>
      <c r="J557" s="178"/>
      <c r="K557" s="75"/>
      <c r="L557" s="75"/>
      <c r="M557" s="75"/>
      <c r="N557" s="75"/>
    </row>
    <row r="558">
      <c r="A558" s="75"/>
      <c r="B558" s="178"/>
      <c r="C558" s="75"/>
      <c r="D558" s="75"/>
      <c r="E558" s="75"/>
      <c r="F558" s="181"/>
      <c r="G558" s="75"/>
      <c r="H558" s="75"/>
      <c r="I558" s="75"/>
      <c r="J558" s="178"/>
      <c r="K558" s="75"/>
      <c r="L558" s="75"/>
      <c r="M558" s="75"/>
      <c r="N558" s="75"/>
    </row>
    <row r="559">
      <c r="A559" s="75"/>
      <c r="B559" s="178"/>
      <c r="C559" s="75"/>
      <c r="D559" s="75"/>
      <c r="E559" s="75"/>
      <c r="F559" s="181"/>
      <c r="G559" s="75"/>
      <c r="H559" s="75"/>
      <c r="I559" s="75"/>
      <c r="J559" s="178"/>
      <c r="K559" s="75"/>
      <c r="L559" s="75"/>
      <c r="M559" s="75"/>
      <c r="N559" s="75"/>
    </row>
    <row r="560">
      <c r="A560" s="75"/>
      <c r="B560" s="178"/>
      <c r="C560" s="75"/>
      <c r="D560" s="75"/>
      <c r="E560" s="75"/>
      <c r="F560" s="181"/>
      <c r="G560" s="75"/>
      <c r="H560" s="75"/>
      <c r="I560" s="75"/>
      <c r="J560" s="178"/>
      <c r="K560" s="75"/>
      <c r="L560" s="75"/>
      <c r="M560" s="75"/>
      <c r="N560" s="75"/>
    </row>
    <row r="561">
      <c r="A561" s="75"/>
      <c r="B561" s="178"/>
      <c r="C561" s="75"/>
      <c r="D561" s="75"/>
      <c r="E561" s="75"/>
      <c r="F561" s="181"/>
      <c r="G561" s="75"/>
      <c r="H561" s="75"/>
      <c r="I561" s="75"/>
      <c r="J561" s="178"/>
      <c r="K561" s="75"/>
      <c r="L561" s="75"/>
      <c r="M561" s="75"/>
      <c r="N561" s="75"/>
    </row>
    <row r="562">
      <c r="A562" s="75"/>
      <c r="B562" s="178"/>
      <c r="C562" s="75"/>
      <c r="D562" s="75"/>
      <c r="E562" s="75"/>
      <c r="F562" s="181"/>
      <c r="G562" s="75"/>
      <c r="H562" s="75"/>
      <c r="I562" s="75"/>
      <c r="J562" s="178"/>
      <c r="K562" s="75"/>
      <c r="L562" s="75"/>
      <c r="M562" s="75"/>
      <c r="N562" s="75"/>
    </row>
    <row r="563">
      <c r="A563" s="75"/>
      <c r="B563" s="178"/>
      <c r="C563" s="75"/>
      <c r="D563" s="75"/>
      <c r="E563" s="75"/>
      <c r="F563" s="181"/>
      <c r="G563" s="75"/>
      <c r="H563" s="75"/>
      <c r="I563" s="75"/>
      <c r="J563" s="178"/>
      <c r="K563" s="75"/>
      <c r="L563" s="75"/>
      <c r="M563" s="75"/>
      <c r="N563" s="75"/>
    </row>
    <row r="564">
      <c r="A564" s="75"/>
      <c r="B564" s="178"/>
      <c r="C564" s="75"/>
      <c r="D564" s="75"/>
      <c r="E564" s="75"/>
      <c r="F564" s="181"/>
      <c r="G564" s="75"/>
      <c r="H564" s="75"/>
      <c r="I564" s="75"/>
      <c r="J564" s="178"/>
      <c r="K564" s="75"/>
      <c r="L564" s="75"/>
      <c r="M564" s="75"/>
      <c r="N564" s="75"/>
    </row>
    <row r="565">
      <c r="A565" s="75"/>
      <c r="B565" s="178"/>
      <c r="C565" s="75"/>
      <c r="D565" s="75"/>
      <c r="E565" s="75"/>
      <c r="F565" s="181"/>
      <c r="G565" s="75"/>
      <c r="H565" s="75"/>
      <c r="I565" s="75"/>
      <c r="J565" s="178"/>
      <c r="K565" s="75"/>
      <c r="L565" s="75"/>
      <c r="M565" s="75"/>
      <c r="N565" s="75"/>
    </row>
    <row r="566">
      <c r="A566" s="75"/>
      <c r="B566" s="178"/>
      <c r="C566" s="75"/>
      <c r="D566" s="75"/>
      <c r="E566" s="75"/>
      <c r="F566" s="181"/>
      <c r="G566" s="75"/>
      <c r="H566" s="75"/>
      <c r="I566" s="75"/>
      <c r="J566" s="178"/>
      <c r="K566" s="75"/>
      <c r="L566" s="75"/>
      <c r="M566" s="75"/>
      <c r="N566" s="75"/>
    </row>
    <row r="567">
      <c r="A567" s="75"/>
      <c r="B567" s="178"/>
      <c r="C567" s="75"/>
      <c r="D567" s="75"/>
      <c r="E567" s="75"/>
      <c r="F567" s="181"/>
      <c r="G567" s="75"/>
      <c r="H567" s="75"/>
      <c r="I567" s="75"/>
      <c r="J567" s="178"/>
      <c r="K567" s="75"/>
      <c r="L567" s="75"/>
      <c r="M567" s="75"/>
      <c r="N567" s="75"/>
    </row>
    <row r="568">
      <c r="A568" s="75"/>
      <c r="B568" s="178"/>
      <c r="C568" s="75"/>
      <c r="D568" s="75"/>
      <c r="E568" s="75"/>
      <c r="F568" s="181"/>
      <c r="G568" s="75"/>
      <c r="H568" s="75"/>
      <c r="I568" s="75"/>
      <c r="J568" s="178"/>
      <c r="K568" s="75"/>
      <c r="L568" s="75"/>
      <c r="M568" s="75"/>
      <c r="N568" s="75"/>
    </row>
    <row r="569">
      <c r="A569" s="75"/>
      <c r="B569" s="178"/>
      <c r="C569" s="75"/>
      <c r="D569" s="75"/>
      <c r="E569" s="75"/>
      <c r="F569" s="181"/>
      <c r="G569" s="75"/>
      <c r="H569" s="75"/>
      <c r="I569" s="75"/>
      <c r="J569" s="178"/>
      <c r="K569" s="75"/>
      <c r="L569" s="75"/>
      <c r="M569" s="75"/>
      <c r="N569" s="75"/>
    </row>
    <row r="570">
      <c r="A570" s="75"/>
      <c r="B570" s="178"/>
      <c r="C570" s="75"/>
      <c r="D570" s="75"/>
      <c r="E570" s="75"/>
      <c r="F570" s="181"/>
      <c r="G570" s="75"/>
      <c r="H570" s="75"/>
      <c r="I570" s="75"/>
      <c r="J570" s="178"/>
      <c r="K570" s="75"/>
      <c r="L570" s="75"/>
      <c r="M570" s="75"/>
      <c r="N570" s="75"/>
    </row>
    <row r="571">
      <c r="A571" s="75"/>
      <c r="B571" s="178"/>
      <c r="C571" s="75"/>
      <c r="D571" s="75"/>
      <c r="E571" s="75"/>
      <c r="F571" s="181"/>
      <c r="G571" s="75"/>
      <c r="H571" s="75"/>
      <c r="I571" s="75"/>
      <c r="J571" s="178"/>
      <c r="K571" s="75"/>
      <c r="L571" s="75"/>
      <c r="M571" s="75"/>
      <c r="N571" s="75"/>
    </row>
    <row r="572">
      <c r="A572" s="75"/>
      <c r="B572" s="178"/>
      <c r="C572" s="75"/>
      <c r="D572" s="75"/>
      <c r="E572" s="75"/>
      <c r="F572" s="181"/>
      <c r="G572" s="75"/>
      <c r="H572" s="75"/>
      <c r="I572" s="75"/>
      <c r="J572" s="178"/>
      <c r="K572" s="75"/>
      <c r="L572" s="75"/>
      <c r="M572" s="75"/>
      <c r="N572" s="75"/>
    </row>
    <row r="573">
      <c r="A573" s="75"/>
      <c r="B573" s="178"/>
      <c r="C573" s="75"/>
      <c r="D573" s="75"/>
      <c r="E573" s="75"/>
      <c r="F573" s="181"/>
      <c r="G573" s="75"/>
      <c r="H573" s="75"/>
      <c r="I573" s="75"/>
      <c r="J573" s="178"/>
      <c r="K573" s="75"/>
      <c r="L573" s="75"/>
      <c r="M573" s="75"/>
      <c r="N573" s="75"/>
    </row>
    <row r="574">
      <c r="A574" s="75"/>
      <c r="B574" s="178"/>
      <c r="C574" s="75"/>
      <c r="D574" s="75"/>
      <c r="E574" s="75"/>
      <c r="F574" s="181"/>
      <c r="G574" s="75"/>
      <c r="H574" s="75"/>
      <c r="I574" s="75"/>
      <c r="J574" s="178"/>
      <c r="K574" s="75"/>
      <c r="L574" s="75"/>
      <c r="M574" s="75"/>
      <c r="N574" s="75"/>
    </row>
    <row r="575">
      <c r="A575" s="75"/>
      <c r="B575" s="178"/>
      <c r="C575" s="75"/>
      <c r="D575" s="75"/>
      <c r="E575" s="75"/>
      <c r="F575" s="181"/>
      <c r="G575" s="75"/>
      <c r="H575" s="75"/>
      <c r="I575" s="75"/>
      <c r="J575" s="178"/>
      <c r="K575" s="75"/>
      <c r="L575" s="75"/>
      <c r="M575" s="75"/>
      <c r="N575" s="75"/>
    </row>
    <row r="576">
      <c r="A576" s="75"/>
      <c r="B576" s="178"/>
      <c r="C576" s="75"/>
      <c r="D576" s="75"/>
      <c r="E576" s="75"/>
      <c r="F576" s="181"/>
      <c r="G576" s="75"/>
      <c r="H576" s="75"/>
      <c r="I576" s="75"/>
      <c r="J576" s="178"/>
      <c r="K576" s="75"/>
      <c r="L576" s="75"/>
      <c r="M576" s="75"/>
      <c r="N576" s="75"/>
    </row>
    <row r="577">
      <c r="A577" s="75"/>
      <c r="B577" s="178"/>
      <c r="C577" s="75"/>
      <c r="D577" s="75"/>
      <c r="E577" s="75"/>
      <c r="F577" s="181"/>
      <c r="G577" s="75"/>
      <c r="H577" s="75"/>
      <c r="I577" s="75"/>
      <c r="J577" s="178"/>
      <c r="K577" s="75"/>
      <c r="L577" s="75"/>
      <c r="M577" s="75"/>
      <c r="N577" s="75"/>
    </row>
    <row r="578">
      <c r="A578" s="75"/>
      <c r="B578" s="178"/>
      <c r="C578" s="75"/>
      <c r="D578" s="75"/>
      <c r="E578" s="75"/>
      <c r="F578" s="181"/>
      <c r="G578" s="75"/>
      <c r="H578" s="75"/>
      <c r="I578" s="75"/>
      <c r="J578" s="178"/>
      <c r="K578" s="75"/>
      <c r="L578" s="75"/>
      <c r="M578" s="75"/>
      <c r="N578" s="75"/>
    </row>
    <row r="579">
      <c r="A579" s="75"/>
      <c r="B579" s="178"/>
      <c r="C579" s="75"/>
      <c r="D579" s="75"/>
      <c r="E579" s="75"/>
      <c r="F579" s="181"/>
      <c r="G579" s="75"/>
      <c r="H579" s="75"/>
      <c r="I579" s="75"/>
      <c r="J579" s="178"/>
      <c r="K579" s="75"/>
      <c r="L579" s="75"/>
      <c r="M579" s="75"/>
      <c r="N579" s="75"/>
    </row>
    <row r="580">
      <c r="A580" s="75"/>
      <c r="B580" s="178"/>
      <c r="C580" s="75"/>
      <c r="D580" s="75"/>
      <c r="E580" s="75"/>
      <c r="F580" s="181"/>
      <c r="G580" s="75"/>
      <c r="H580" s="75"/>
      <c r="I580" s="75"/>
      <c r="J580" s="178"/>
      <c r="K580" s="75"/>
      <c r="L580" s="75"/>
      <c r="M580" s="75"/>
      <c r="N580" s="75"/>
    </row>
    <row r="581">
      <c r="A581" s="75"/>
      <c r="B581" s="178"/>
      <c r="C581" s="75"/>
      <c r="D581" s="75"/>
      <c r="E581" s="75"/>
      <c r="F581" s="181"/>
      <c r="G581" s="75"/>
      <c r="H581" s="75"/>
      <c r="I581" s="75"/>
      <c r="J581" s="178"/>
      <c r="K581" s="75"/>
      <c r="L581" s="75"/>
      <c r="M581" s="75"/>
      <c r="N581" s="75"/>
    </row>
    <row r="582">
      <c r="A582" s="75"/>
      <c r="B582" s="178"/>
      <c r="C582" s="75"/>
      <c r="D582" s="75"/>
      <c r="E582" s="75"/>
      <c r="F582" s="181"/>
      <c r="G582" s="75"/>
      <c r="H582" s="75"/>
      <c r="I582" s="75"/>
      <c r="J582" s="178"/>
      <c r="K582" s="75"/>
      <c r="L582" s="75"/>
      <c r="M582" s="75"/>
      <c r="N582" s="75"/>
    </row>
    <row r="583">
      <c r="A583" s="75"/>
      <c r="B583" s="178"/>
      <c r="C583" s="75"/>
      <c r="D583" s="75"/>
      <c r="E583" s="75"/>
      <c r="F583" s="181"/>
      <c r="G583" s="75"/>
      <c r="H583" s="75"/>
      <c r="I583" s="75"/>
      <c r="J583" s="178"/>
      <c r="K583" s="75"/>
      <c r="L583" s="75"/>
      <c r="M583" s="75"/>
      <c r="N583" s="75"/>
    </row>
    <row r="584">
      <c r="A584" s="75"/>
      <c r="B584" s="178"/>
      <c r="C584" s="75"/>
      <c r="D584" s="75"/>
      <c r="E584" s="75"/>
      <c r="F584" s="181"/>
      <c r="G584" s="75"/>
      <c r="H584" s="75"/>
      <c r="I584" s="75"/>
      <c r="J584" s="178"/>
      <c r="K584" s="75"/>
      <c r="L584" s="75"/>
      <c r="M584" s="75"/>
      <c r="N584" s="75"/>
    </row>
    <row r="585">
      <c r="A585" s="75"/>
      <c r="B585" s="178"/>
      <c r="C585" s="75"/>
      <c r="D585" s="75"/>
      <c r="E585" s="75"/>
      <c r="F585" s="181"/>
      <c r="G585" s="75"/>
      <c r="H585" s="75"/>
      <c r="I585" s="75"/>
      <c r="J585" s="178"/>
      <c r="K585" s="75"/>
      <c r="L585" s="75"/>
      <c r="M585" s="75"/>
      <c r="N585" s="75"/>
    </row>
    <row r="586">
      <c r="A586" s="75"/>
      <c r="B586" s="178"/>
      <c r="C586" s="75"/>
      <c r="D586" s="75"/>
      <c r="E586" s="75"/>
      <c r="F586" s="181"/>
      <c r="G586" s="75"/>
      <c r="H586" s="75"/>
      <c r="I586" s="75"/>
      <c r="J586" s="178"/>
      <c r="K586" s="75"/>
      <c r="L586" s="75"/>
      <c r="M586" s="75"/>
      <c r="N586" s="75"/>
    </row>
    <row r="587">
      <c r="A587" s="75"/>
      <c r="B587" s="178"/>
      <c r="C587" s="75"/>
      <c r="D587" s="75"/>
      <c r="E587" s="75"/>
      <c r="F587" s="181"/>
      <c r="G587" s="75"/>
      <c r="H587" s="75"/>
      <c r="I587" s="75"/>
      <c r="J587" s="178"/>
      <c r="K587" s="75"/>
      <c r="L587" s="75"/>
      <c r="M587" s="75"/>
      <c r="N587" s="75"/>
    </row>
    <row r="588">
      <c r="A588" s="75"/>
      <c r="B588" s="178"/>
      <c r="C588" s="75"/>
      <c r="D588" s="75"/>
      <c r="E588" s="75"/>
      <c r="F588" s="181"/>
      <c r="G588" s="75"/>
      <c r="H588" s="75"/>
      <c r="I588" s="75"/>
      <c r="J588" s="178"/>
      <c r="K588" s="75"/>
      <c r="L588" s="75"/>
      <c r="M588" s="75"/>
      <c r="N588" s="75"/>
    </row>
    <row r="589">
      <c r="A589" s="75"/>
      <c r="B589" s="178"/>
      <c r="C589" s="75"/>
      <c r="D589" s="75"/>
      <c r="E589" s="75"/>
      <c r="F589" s="181"/>
      <c r="G589" s="75"/>
      <c r="H589" s="75"/>
      <c r="I589" s="75"/>
      <c r="J589" s="178"/>
      <c r="K589" s="75"/>
      <c r="L589" s="75"/>
      <c r="M589" s="75"/>
      <c r="N589" s="75"/>
    </row>
    <row r="590">
      <c r="A590" s="75"/>
      <c r="B590" s="178"/>
      <c r="C590" s="75"/>
      <c r="D590" s="75"/>
      <c r="E590" s="75"/>
      <c r="F590" s="181"/>
      <c r="G590" s="75"/>
      <c r="H590" s="75"/>
      <c r="I590" s="75"/>
      <c r="J590" s="178"/>
      <c r="K590" s="75"/>
      <c r="L590" s="75"/>
      <c r="M590" s="75"/>
      <c r="N590" s="75"/>
    </row>
    <row r="591">
      <c r="A591" s="75"/>
      <c r="B591" s="178"/>
      <c r="C591" s="75"/>
      <c r="D591" s="75"/>
      <c r="E591" s="75"/>
      <c r="F591" s="181"/>
      <c r="G591" s="75"/>
      <c r="H591" s="75"/>
      <c r="I591" s="75"/>
      <c r="J591" s="178"/>
      <c r="K591" s="75"/>
      <c r="L591" s="75"/>
      <c r="M591" s="75"/>
      <c r="N591" s="75"/>
    </row>
    <row r="592">
      <c r="A592" s="75"/>
      <c r="B592" s="178"/>
      <c r="C592" s="75"/>
      <c r="D592" s="75"/>
      <c r="E592" s="75"/>
      <c r="F592" s="181"/>
      <c r="G592" s="75"/>
      <c r="H592" s="75"/>
      <c r="I592" s="75"/>
      <c r="J592" s="178"/>
      <c r="K592" s="75"/>
      <c r="L592" s="75"/>
      <c r="M592" s="75"/>
      <c r="N592" s="75"/>
    </row>
    <row r="593">
      <c r="A593" s="75"/>
      <c r="B593" s="178"/>
      <c r="C593" s="75"/>
      <c r="D593" s="75"/>
      <c r="E593" s="75"/>
      <c r="F593" s="181"/>
      <c r="G593" s="75"/>
      <c r="H593" s="75"/>
      <c r="I593" s="75"/>
      <c r="J593" s="178"/>
      <c r="K593" s="75"/>
      <c r="L593" s="75"/>
      <c r="M593" s="75"/>
      <c r="N593" s="75"/>
    </row>
    <row r="594">
      <c r="A594" s="75"/>
      <c r="B594" s="178"/>
      <c r="C594" s="75"/>
      <c r="D594" s="75"/>
      <c r="E594" s="75"/>
      <c r="F594" s="181"/>
      <c r="G594" s="75"/>
      <c r="H594" s="75"/>
      <c r="I594" s="75"/>
      <c r="J594" s="178"/>
      <c r="K594" s="75"/>
      <c r="L594" s="75"/>
      <c r="M594" s="75"/>
      <c r="N594" s="75"/>
    </row>
    <row r="595">
      <c r="A595" s="75"/>
      <c r="B595" s="178"/>
      <c r="C595" s="75"/>
      <c r="D595" s="75"/>
      <c r="E595" s="75"/>
      <c r="F595" s="181"/>
      <c r="G595" s="75"/>
      <c r="H595" s="75"/>
      <c r="I595" s="75"/>
      <c r="J595" s="178"/>
      <c r="K595" s="75"/>
      <c r="L595" s="75"/>
      <c r="M595" s="75"/>
      <c r="N595" s="75"/>
    </row>
    <row r="596">
      <c r="A596" s="75"/>
      <c r="B596" s="178"/>
      <c r="C596" s="75"/>
      <c r="D596" s="75"/>
      <c r="E596" s="75"/>
      <c r="F596" s="181"/>
      <c r="G596" s="75"/>
      <c r="H596" s="75"/>
      <c r="I596" s="75"/>
      <c r="J596" s="178"/>
      <c r="K596" s="75"/>
      <c r="L596" s="75"/>
      <c r="M596" s="75"/>
      <c r="N596" s="75"/>
    </row>
    <row r="597">
      <c r="A597" s="75"/>
      <c r="B597" s="178"/>
      <c r="C597" s="75"/>
      <c r="D597" s="75"/>
      <c r="E597" s="75"/>
      <c r="F597" s="181"/>
      <c r="G597" s="75"/>
      <c r="H597" s="75"/>
      <c r="I597" s="75"/>
      <c r="J597" s="178"/>
      <c r="K597" s="75"/>
      <c r="L597" s="75"/>
      <c r="M597" s="75"/>
      <c r="N597" s="75"/>
    </row>
    <row r="598">
      <c r="A598" s="75"/>
      <c r="B598" s="178"/>
      <c r="C598" s="75"/>
      <c r="D598" s="75"/>
      <c r="E598" s="75"/>
      <c r="F598" s="181"/>
      <c r="G598" s="75"/>
      <c r="H598" s="75"/>
      <c r="I598" s="75"/>
      <c r="J598" s="178"/>
      <c r="K598" s="75"/>
      <c r="L598" s="75"/>
      <c r="M598" s="75"/>
      <c r="N598" s="75"/>
    </row>
    <row r="599">
      <c r="A599" s="75"/>
      <c r="B599" s="178"/>
      <c r="C599" s="75"/>
      <c r="D599" s="75"/>
      <c r="E599" s="75"/>
      <c r="F599" s="181"/>
      <c r="G599" s="75"/>
      <c r="H599" s="75"/>
      <c r="I599" s="75"/>
      <c r="J599" s="178"/>
      <c r="K599" s="75"/>
      <c r="L599" s="75"/>
      <c r="M599" s="75"/>
      <c r="N599" s="75"/>
    </row>
    <row r="600">
      <c r="A600" s="75"/>
      <c r="B600" s="178"/>
      <c r="C600" s="75"/>
      <c r="D600" s="75"/>
      <c r="E600" s="75"/>
      <c r="F600" s="181"/>
      <c r="G600" s="75"/>
      <c r="H600" s="75"/>
      <c r="I600" s="75"/>
      <c r="J600" s="178"/>
      <c r="K600" s="75"/>
      <c r="L600" s="75"/>
      <c r="M600" s="75"/>
      <c r="N600" s="75"/>
    </row>
    <row r="601">
      <c r="A601" s="75"/>
      <c r="B601" s="178"/>
      <c r="C601" s="75"/>
      <c r="D601" s="75"/>
      <c r="E601" s="75"/>
      <c r="F601" s="181"/>
      <c r="G601" s="75"/>
      <c r="H601" s="75"/>
      <c r="I601" s="75"/>
      <c r="J601" s="178"/>
      <c r="K601" s="75"/>
      <c r="L601" s="75"/>
      <c r="M601" s="75"/>
      <c r="N601" s="75"/>
    </row>
    <row r="602">
      <c r="A602" s="75"/>
      <c r="B602" s="178"/>
      <c r="C602" s="75"/>
      <c r="D602" s="75"/>
      <c r="E602" s="75"/>
      <c r="F602" s="181"/>
      <c r="G602" s="75"/>
      <c r="H602" s="75"/>
      <c r="I602" s="75"/>
      <c r="J602" s="178"/>
      <c r="K602" s="75"/>
      <c r="L602" s="75"/>
      <c r="M602" s="75"/>
      <c r="N602" s="75"/>
    </row>
    <row r="603">
      <c r="A603" s="75"/>
      <c r="B603" s="178"/>
      <c r="C603" s="75"/>
      <c r="D603" s="75"/>
      <c r="E603" s="75"/>
      <c r="F603" s="181"/>
      <c r="G603" s="75"/>
      <c r="H603" s="75"/>
      <c r="I603" s="75"/>
      <c r="J603" s="178"/>
      <c r="K603" s="75"/>
      <c r="L603" s="75"/>
      <c r="M603" s="75"/>
      <c r="N603" s="75"/>
    </row>
    <row r="604">
      <c r="A604" s="75"/>
      <c r="B604" s="178"/>
      <c r="C604" s="75"/>
      <c r="D604" s="75"/>
      <c r="E604" s="75"/>
      <c r="F604" s="181"/>
      <c r="G604" s="75"/>
      <c r="H604" s="75"/>
      <c r="I604" s="75"/>
      <c r="J604" s="178"/>
      <c r="K604" s="75"/>
      <c r="L604" s="75"/>
      <c r="M604" s="75"/>
      <c r="N604" s="75"/>
    </row>
    <row r="605">
      <c r="A605" s="75"/>
      <c r="B605" s="178"/>
      <c r="C605" s="75"/>
      <c r="D605" s="75"/>
      <c r="E605" s="75"/>
      <c r="F605" s="181"/>
      <c r="G605" s="75"/>
      <c r="H605" s="75"/>
      <c r="I605" s="75"/>
      <c r="J605" s="178"/>
      <c r="K605" s="75"/>
      <c r="L605" s="75"/>
      <c r="M605" s="75"/>
      <c r="N605" s="75"/>
    </row>
    <row r="606">
      <c r="A606" s="75"/>
      <c r="B606" s="178"/>
      <c r="C606" s="75"/>
      <c r="D606" s="75"/>
      <c r="E606" s="75"/>
      <c r="F606" s="181"/>
      <c r="G606" s="75"/>
      <c r="H606" s="75"/>
      <c r="I606" s="75"/>
      <c r="J606" s="178"/>
      <c r="K606" s="75"/>
      <c r="L606" s="75"/>
      <c r="M606" s="75"/>
      <c r="N606" s="75"/>
    </row>
    <row r="607">
      <c r="A607" s="75"/>
      <c r="B607" s="178"/>
      <c r="C607" s="75"/>
      <c r="D607" s="75"/>
      <c r="E607" s="75"/>
      <c r="F607" s="181"/>
      <c r="G607" s="75"/>
      <c r="H607" s="75"/>
      <c r="I607" s="75"/>
      <c r="J607" s="178"/>
      <c r="K607" s="75"/>
      <c r="L607" s="75"/>
      <c r="M607" s="75"/>
      <c r="N607" s="75"/>
    </row>
    <row r="608">
      <c r="A608" s="75"/>
      <c r="B608" s="178"/>
      <c r="C608" s="75"/>
      <c r="D608" s="75"/>
      <c r="E608" s="75"/>
      <c r="F608" s="181"/>
      <c r="G608" s="75"/>
      <c r="H608" s="75"/>
      <c r="I608" s="75"/>
      <c r="J608" s="178"/>
      <c r="K608" s="75"/>
      <c r="L608" s="75"/>
      <c r="M608" s="75"/>
      <c r="N608" s="75"/>
    </row>
    <row r="609">
      <c r="A609" s="75"/>
      <c r="B609" s="178"/>
      <c r="C609" s="75"/>
      <c r="D609" s="75"/>
      <c r="E609" s="75"/>
      <c r="F609" s="181"/>
      <c r="G609" s="75"/>
      <c r="H609" s="75"/>
      <c r="I609" s="75"/>
      <c r="J609" s="178"/>
      <c r="K609" s="75"/>
      <c r="L609" s="75"/>
      <c r="M609" s="75"/>
      <c r="N609" s="75"/>
    </row>
    <row r="610">
      <c r="A610" s="75"/>
      <c r="B610" s="178"/>
      <c r="C610" s="75"/>
      <c r="D610" s="75"/>
      <c r="E610" s="75"/>
      <c r="F610" s="181"/>
      <c r="G610" s="75"/>
      <c r="H610" s="75"/>
      <c r="I610" s="75"/>
      <c r="J610" s="178"/>
      <c r="K610" s="75"/>
      <c r="L610" s="75"/>
      <c r="M610" s="75"/>
      <c r="N610" s="75"/>
    </row>
    <row r="611">
      <c r="A611" s="75"/>
      <c r="B611" s="178"/>
      <c r="C611" s="75"/>
      <c r="D611" s="75"/>
      <c r="E611" s="75"/>
      <c r="F611" s="181"/>
      <c r="G611" s="75"/>
      <c r="H611" s="75"/>
      <c r="I611" s="75"/>
      <c r="J611" s="178"/>
      <c r="K611" s="75"/>
      <c r="L611" s="75"/>
      <c r="M611" s="75"/>
      <c r="N611" s="75"/>
    </row>
    <row r="612">
      <c r="A612" s="75"/>
      <c r="B612" s="178"/>
      <c r="C612" s="75"/>
      <c r="D612" s="75"/>
      <c r="E612" s="75"/>
      <c r="F612" s="181"/>
      <c r="G612" s="75"/>
      <c r="H612" s="75"/>
      <c r="I612" s="75"/>
      <c r="J612" s="178"/>
      <c r="K612" s="75"/>
      <c r="L612" s="75"/>
      <c r="M612" s="75"/>
      <c r="N612" s="75"/>
    </row>
    <row r="613">
      <c r="A613" s="75"/>
      <c r="B613" s="178"/>
      <c r="C613" s="75"/>
      <c r="D613" s="75"/>
      <c r="E613" s="75"/>
      <c r="F613" s="181"/>
      <c r="G613" s="75"/>
      <c r="H613" s="75"/>
      <c r="I613" s="75"/>
      <c r="J613" s="178"/>
      <c r="K613" s="75"/>
      <c r="L613" s="75"/>
      <c r="M613" s="75"/>
      <c r="N613" s="75"/>
    </row>
    <row r="614">
      <c r="A614" s="75"/>
      <c r="B614" s="178"/>
      <c r="C614" s="75"/>
      <c r="D614" s="75"/>
      <c r="E614" s="75"/>
      <c r="F614" s="181"/>
      <c r="G614" s="75"/>
      <c r="H614" s="75"/>
      <c r="I614" s="75"/>
      <c r="J614" s="178"/>
      <c r="K614" s="75"/>
      <c r="L614" s="75"/>
      <c r="M614" s="75"/>
      <c r="N614" s="75"/>
    </row>
    <row r="615">
      <c r="A615" s="75"/>
      <c r="B615" s="178"/>
      <c r="C615" s="75"/>
      <c r="D615" s="75"/>
      <c r="E615" s="75"/>
      <c r="F615" s="181"/>
      <c r="G615" s="75"/>
      <c r="H615" s="75"/>
      <c r="I615" s="75"/>
      <c r="J615" s="178"/>
      <c r="K615" s="75"/>
      <c r="L615" s="75"/>
      <c r="M615" s="75"/>
      <c r="N615" s="75"/>
    </row>
    <row r="616">
      <c r="A616" s="75"/>
      <c r="B616" s="178"/>
      <c r="C616" s="75"/>
      <c r="D616" s="75"/>
      <c r="E616" s="75"/>
      <c r="F616" s="181"/>
      <c r="G616" s="75"/>
      <c r="H616" s="75"/>
      <c r="I616" s="75"/>
      <c r="J616" s="178"/>
      <c r="K616" s="75"/>
      <c r="L616" s="75"/>
      <c r="M616" s="75"/>
      <c r="N616" s="75"/>
    </row>
    <row r="617">
      <c r="A617" s="75"/>
      <c r="B617" s="178"/>
      <c r="C617" s="75"/>
      <c r="D617" s="75"/>
      <c r="E617" s="75"/>
      <c r="F617" s="181"/>
      <c r="G617" s="75"/>
      <c r="H617" s="75"/>
      <c r="I617" s="75"/>
      <c r="J617" s="178"/>
      <c r="K617" s="75"/>
      <c r="L617" s="75"/>
      <c r="M617" s="75"/>
      <c r="N617" s="75"/>
    </row>
    <row r="618">
      <c r="A618" s="75"/>
      <c r="B618" s="178"/>
      <c r="C618" s="75"/>
      <c r="D618" s="75"/>
      <c r="E618" s="75"/>
      <c r="F618" s="181"/>
      <c r="G618" s="75"/>
      <c r="H618" s="75"/>
      <c r="I618" s="75"/>
      <c r="J618" s="178"/>
      <c r="K618" s="75"/>
      <c r="L618" s="75"/>
      <c r="M618" s="75"/>
      <c r="N618" s="75"/>
    </row>
    <row r="619">
      <c r="A619" s="75"/>
      <c r="B619" s="178"/>
      <c r="C619" s="75"/>
      <c r="D619" s="75"/>
      <c r="E619" s="75"/>
      <c r="F619" s="181"/>
      <c r="G619" s="75"/>
      <c r="H619" s="75"/>
      <c r="I619" s="75"/>
      <c r="J619" s="178"/>
      <c r="K619" s="75"/>
      <c r="L619" s="75"/>
      <c r="M619" s="75"/>
      <c r="N619" s="75"/>
    </row>
    <row r="620">
      <c r="A620" s="75"/>
      <c r="B620" s="178"/>
      <c r="C620" s="75"/>
      <c r="D620" s="75"/>
      <c r="E620" s="75"/>
      <c r="F620" s="181"/>
      <c r="G620" s="75"/>
      <c r="H620" s="75"/>
      <c r="I620" s="75"/>
      <c r="J620" s="178"/>
      <c r="K620" s="75"/>
      <c r="L620" s="75"/>
      <c r="M620" s="75"/>
      <c r="N620" s="75"/>
    </row>
    <row r="621">
      <c r="A621" s="75"/>
      <c r="B621" s="178"/>
      <c r="C621" s="75"/>
      <c r="D621" s="75"/>
      <c r="E621" s="75"/>
      <c r="F621" s="181"/>
      <c r="G621" s="75"/>
      <c r="H621" s="75"/>
      <c r="I621" s="75"/>
      <c r="J621" s="178"/>
      <c r="K621" s="75"/>
      <c r="L621" s="75"/>
      <c r="M621" s="75"/>
      <c r="N621" s="75"/>
    </row>
    <row r="622">
      <c r="A622" s="75"/>
      <c r="B622" s="178"/>
      <c r="C622" s="75"/>
      <c r="D622" s="75"/>
      <c r="E622" s="75"/>
      <c r="F622" s="181"/>
      <c r="G622" s="75"/>
      <c r="H622" s="75"/>
      <c r="I622" s="75"/>
      <c r="J622" s="178"/>
      <c r="K622" s="75"/>
      <c r="L622" s="75"/>
      <c r="M622" s="75"/>
      <c r="N622" s="75"/>
    </row>
    <row r="623">
      <c r="A623" s="75"/>
      <c r="B623" s="178"/>
      <c r="C623" s="75"/>
      <c r="D623" s="75"/>
      <c r="E623" s="75"/>
      <c r="F623" s="181"/>
      <c r="G623" s="75"/>
      <c r="H623" s="75"/>
      <c r="I623" s="75"/>
      <c r="J623" s="178"/>
      <c r="K623" s="75"/>
      <c r="L623" s="75"/>
      <c r="M623" s="75"/>
      <c r="N623" s="75"/>
    </row>
    <row r="624">
      <c r="A624" s="75"/>
      <c r="B624" s="178"/>
      <c r="C624" s="75"/>
      <c r="D624" s="75"/>
      <c r="E624" s="75"/>
      <c r="F624" s="181"/>
      <c r="G624" s="75"/>
      <c r="H624" s="75"/>
      <c r="I624" s="75"/>
      <c r="J624" s="178"/>
      <c r="K624" s="75"/>
      <c r="L624" s="75"/>
      <c r="M624" s="75"/>
      <c r="N624" s="75"/>
    </row>
    <row r="625">
      <c r="A625" s="75"/>
      <c r="B625" s="178"/>
      <c r="C625" s="75"/>
      <c r="D625" s="75"/>
      <c r="E625" s="75"/>
      <c r="F625" s="181"/>
      <c r="G625" s="75"/>
      <c r="H625" s="75"/>
      <c r="I625" s="75"/>
      <c r="J625" s="178"/>
      <c r="K625" s="75"/>
      <c r="L625" s="75"/>
      <c r="M625" s="75"/>
      <c r="N625" s="75"/>
    </row>
    <row r="626">
      <c r="A626" s="75"/>
      <c r="B626" s="178"/>
      <c r="C626" s="75"/>
      <c r="D626" s="75"/>
      <c r="E626" s="75"/>
      <c r="F626" s="181"/>
      <c r="G626" s="75"/>
      <c r="H626" s="75"/>
      <c r="I626" s="75"/>
      <c r="J626" s="178"/>
      <c r="K626" s="75"/>
      <c r="L626" s="75"/>
      <c r="M626" s="75"/>
      <c r="N626" s="75"/>
    </row>
    <row r="627">
      <c r="A627" s="75"/>
      <c r="B627" s="178"/>
      <c r="C627" s="75"/>
      <c r="D627" s="75"/>
      <c r="E627" s="75"/>
      <c r="F627" s="181"/>
      <c r="G627" s="75"/>
      <c r="H627" s="75"/>
      <c r="I627" s="75"/>
      <c r="J627" s="178"/>
      <c r="K627" s="75"/>
      <c r="L627" s="75"/>
      <c r="M627" s="75"/>
      <c r="N627" s="75"/>
    </row>
    <row r="628">
      <c r="A628" s="75"/>
      <c r="B628" s="178"/>
      <c r="C628" s="75"/>
      <c r="D628" s="75"/>
      <c r="E628" s="75"/>
      <c r="F628" s="181"/>
      <c r="G628" s="75"/>
      <c r="H628" s="75"/>
      <c r="I628" s="75"/>
      <c r="J628" s="178"/>
      <c r="K628" s="75"/>
      <c r="L628" s="75"/>
      <c r="M628" s="75"/>
      <c r="N628" s="75"/>
    </row>
    <row r="629">
      <c r="A629" s="75"/>
      <c r="B629" s="178"/>
      <c r="C629" s="75"/>
      <c r="D629" s="75"/>
      <c r="E629" s="75"/>
      <c r="F629" s="181"/>
      <c r="G629" s="75"/>
      <c r="H629" s="75"/>
      <c r="I629" s="75"/>
      <c r="J629" s="178"/>
      <c r="K629" s="75"/>
      <c r="L629" s="75"/>
      <c r="M629" s="75"/>
      <c r="N629" s="75"/>
    </row>
    <row r="630">
      <c r="A630" s="75"/>
      <c r="B630" s="178"/>
      <c r="C630" s="75"/>
      <c r="D630" s="75"/>
      <c r="E630" s="75"/>
      <c r="F630" s="181"/>
      <c r="G630" s="75"/>
      <c r="H630" s="75"/>
      <c r="I630" s="75"/>
      <c r="J630" s="178"/>
      <c r="K630" s="75"/>
      <c r="L630" s="75"/>
      <c r="M630" s="75"/>
      <c r="N630" s="75"/>
    </row>
    <row r="631">
      <c r="A631" s="75"/>
      <c r="B631" s="178"/>
      <c r="C631" s="75"/>
      <c r="D631" s="75"/>
      <c r="E631" s="75"/>
      <c r="F631" s="181"/>
      <c r="G631" s="75"/>
      <c r="H631" s="75"/>
      <c r="I631" s="75"/>
      <c r="J631" s="178"/>
      <c r="K631" s="75"/>
      <c r="L631" s="75"/>
      <c r="M631" s="75"/>
      <c r="N631" s="75"/>
    </row>
    <row r="632">
      <c r="A632" s="75"/>
      <c r="B632" s="178"/>
      <c r="C632" s="75"/>
      <c r="D632" s="75"/>
      <c r="E632" s="75"/>
      <c r="F632" s="181"/>
      <c r="G632" s="75"/>
      <c r="H632" s="75"/>
      <c r="I632" s="75"/>
      <c r="J632" s="178"/>
      <c r="K632" s="75"/>
      <c r="L632" s="75"/>
      <c r="M632" s="75"/>
      <c r="N632" s="75"/>
    </row>
    <row r="633">
      <c r="A633" s="75"/>
      <c r="B633" s="178"/>
      <c r="C633" s="75"/>
      <c r="D633" s="75"/>
      <c r="E633" s="75"/>
      <c r="F633" s="181"/>
      <c r="G633" s="75"/>
      <c r="H633" s="75"/>
      <c r="I633" s="75"/>
      <c r="J633" s="178"/>
      <c r="K633" s="75"/>
      <c r="L633" s="75"/>
      <c r="M633" s="75"/>
      <c r="N633" s="75"/>
    </row>
    <row r="634">
      <c r="A634" s="75"/>
      <c r="B634" s="178"/>
      <c r="C634" s="75"/>
      <c r="D634" s="75"/>
      <c r="E634" s="75"/>
      <c r="F634" s="181"/>
      <c r="G634" s="75"/>
      <c r="H634" s="75"/>
      <c r="I634" s="75"/>
      <c r="J634" s="178"/>
      <c r="K634" s="75"/>
      <c r="L634" s="75"/>
      <c r="M634" s="75"/>
      <c r="N634" s="75"/>
    </row>
    <row r="635">
      <c r="A635" s="75"/>
      <c r="B635" s="178"/>
      <c r="C635" s="75"/>
      <c r="D635" s="75"/>
      <c r="E635" s="75"/>
      <c r="F635" s="181"/>
      <c r="G635" s="75"/>
      <c r="H635" s="75"/>
      <c r="I635" s="75"/>
      <c r="J635" s="178"/>
      <c r="K635" s="75"/>
      <c r="L635" s="75"/>
      <c r="M635" s="75"/>
      <c r="N635" s="75"/>
    </row>
    <row r="636">
      <c r="A636" s="75"/>
      <c r="B636" s="178"/>
      <c r="C636" s="75"/>
      <c r="D636" s="75"/>
      <c r="E636" s="75"/>
      <c r="F636" s="181"/>
      <c r="G636" s="75"/>
      <c r="H636" s="75"/>
      <c r="I636" s="75"/>
      <c r="J636" s="178"/>
      <c r="K636" s="75"/>
      <c r="L636" s="75"/>
      <c r="M636" s="75"/>
      <c r="N636" s="75"/>
    </row>
    <row r="637">
      <c r="A637" s="75"/>
      <c r="B637" s="178"/>
      <c r="C637" s="75"/>
      <c r="D637" s="75"/>
      <c r="E637" s="75"/>
      <c r="F637" s="181"/>
      <c r="G637" s="75"/>
      <c r="H637" s="75"/>
      <c r="I637" s="75"/>
      <c r="J637" s="178"/>
      <c r="K637" s="75"/>
      <c r="L637" s="75"/>
      <c r="M637" s="75"/>
      <c r="N637" s="75"/>
    </row>
    <row r="638">
      <c r="A638" s="75"/>
      <c r="B638" s="178"/>
      <c r="C638" s="75"/>
      <c r="D638" s="75"/>
      <c r="E638" s="75"/>
      <c r="F638" s="181"/>
      <c r="G638" s="75"/>
      <c r="H638" s="75"/>
      <c r="I638" s="75"/>
      <c r="J638" s="178"/>
      <c r="K638" s="75"/>
      <c r="L638" s="75"/>
      <c r="M638" s="75"/>
      <c r="N638" s="75"/>
    </row>
    <row r="639">
      <c r="A639" s="75"/>
      <c r="B639" s="178"/>
      <c r="C639" s="75"/>
      <c r="D639" s="75"/>
      <c r="E639" s="75"/>
      <c r="F639" s="181"/>
      <c r="G639" s="75"/>
      <c r="H639" s="75"/>
      <c r="I639" s="75"/>
      <c r="J639" s="178"/>
      <c r="K639" s="75"/>
      <c r="L639" s="75"/>
      <c r="M639" s="75"/>
      <c r="N639" s="75"/>
    </row>
    <row r="640">
      <c r="A640" s="75"/>
      <c r="B640" s="178"/>
      <c r="C640" s="75"/>
      <c r="D640" s="75"/>
      <c r="E640" s="75"/>
      <c r="F640" s="181"/>
      <c r="G640" s="75"/>
      <c r="H640" s="75"/>
      <c r="I640" s="75"/>
      <c r="J640" s="178"/>
      <c r="K640" s="75"/>
      <c r="L640" s="75"/>
      <c r="M640" s="75"/>
      <c r="N640" s="75"/>
    </row>
    <row r="641">
      <c r="A641" s="75"/>
      <c r="B641" s="178"/>
      <c r="C641" s="75"/>
      <c r="D641" s="75"/>
      <c r="E641" s="75"/>
      <c r="F641" s="181"/>
      <c r="G641" s="75"/>
      <c r="H641" s="75"/>
      <c r="I641" s="75"/>
      <c r="J641" s="178"/>
      <c r="K641" s="75"/>
      <c r="L641" s="75"/>
      <c r="M641" s="75"/>
      <c r="N641" s="75"/>
    </row>
    <row r="642">
      <c r="A642" s="75"/>
      <c r="B642" s="178"/>
      <c r="C642" s="75"/>
      <c r="D642" s="75"/>
      <c r="E642" s="75"/>
      <c r="F642" s="181"/>
      <c r="G642" s="75"/>
      <c r="H642" s="75"/>
      <c r="I642" s="75"/>
      <c r="J642" s="178"/>
      <c r="K642" s="75"/>
      <c r="L642" s="75"/>
      <c r="M642" s="75"/>
      <c r="N642" s="75"/>
    </row>
    <row r="643">
      <c r="A643" s="75"/>
      <c r="B643" s="178"/>
      <c r="C643" s="75"/>
      <c r="D643" s="75"/>
      <c r="E643" s="75"/>
      <c r="F643" s="181"/>
      <c r="G643" s="75"/>
      <c r="H643" s="75"/>
      <c r="I643" s="75"/>
      <c r="J643" s="178"/>
      <c r="K643" s="75"/>
      <c r="L643" s="75"/>
      <c r="M643" s="75"/>
      <c r="N643" s="75"/>
    </row>
    <row r="644">
      <c r="A644" s="75"/>
      <c r="B644" s="178"/>
      <c r="C644" s="75"/>
      <c r="D644" s="75"/>
      <c r="E644" s="75"/>
      <c r="F644" s="181"/>
      <c r="G644" s="75"/>
      <c r="H644" s="75"/>
      <c r="I644" s="75"/>
      <c r="J644" s="178"/>
      <c r="K644" s="75"/>
      <c r="L644" s="75"/>
      <c r="M644" s="75"/>
      <c r="N644" s="75"/>
    </row>
    <row r="645">
      <c r="A645" s="75"/>
      <c r="B645" s="178"/>
      <c r="C645" s="75"/>
      <c r="D645" s="75"/>
      <c r="E645" s="75"/>
      <c r="F645" s="181"/>
      <c r="G645" s="75"/>
      <c r="H645" s="75"/>
      <c r="I645" s="75"/>
      <c r="J645" s="178"/>
      <c r="K645" s="75"/>
      <c r="L645" s="75"/>
      <c r="M645" s="75"/>
      <c r="N645" s="75"/>
    </row>
    <row r="646">
      <c r="A646" s="75"/>
      <c r="B646" s="178"/>
      <c r="C646" s="75"/>
      <c r="D646" s="75"/>
      <c r="E646" s="75"/>
      <c r="F646" s="181"/>
      <c r="G646" s="75"/>
      <c r="H646" s="75"/>
      <c r="I646" s="75"/>
      <c r="J646" s="178"/>
      <c r="K646" s="75"/>
      <c r="L646" s="75"/>
      <c r="M646" s="75"/>
      <c r="N646" s="75"/>
    </row>
    <row r="647">
      <c r="A647" s="75"/>
      <c r="B647" s="178"/>
      <c r="C647" s="75"/>
      <c r="D647" s="75"/>
      <c r="E647" s="75"/>
      <c r="F647" s="181"/>
      <c r="G647" s="75"/>
      <c r="H647" s="75"/>
      <c r="I647" s="75"/>
      <c r="J647" s="178"/>
      <c r="K647" s="75"/>
      <c r="L647" s="75"/>
      <c r="M647" s="75"/>
      <c r="N647" s="75"/>
    </row>
    <row r="648">
      <c r="A648" s="75"/>
      <c r="B648" s="178"/>
      <c r="C648" s="75"/>
      <c r="D648" s="75"/>
      <c r="E648" s="75"/>
      <c r="F648" s="181"/>
      <c r="G648" s="75"/>
      <c r="H648" s="75"/>
      <c r="I648" s="75"/>
      <c r="J648" s="178"/>
      <c r="K648" s="75"/>
      <c r="L648" s="75"/>
      <c r="M648" s="75"/>
      <c r="N648" s="75"/>
    </row>
    <row r="649">
      <c r="A649" s="75"/>
      <c r="B649" s="178"/>
      <c r="C649" s="75"/>
      <c r="D649" s="75"/>
      <c r="E649" s="75"/>
      <c r="F649" s="181"/>
      <c r="G649" s="75"/>
      <c r="H649" s="75"/>
      <c r="I649" s="75"/>
      <c r="J649" s="178"/>
      <c r="K649" s="75"/>
      <c r="L649" s="75"/>
      <c r="M649" s="75"/>
      <c r="N649" s="75"/>
    </row>
    <row r="650">
      <c r="A650" s="75"/>
      <c r="B650" s="178"/>
      <c r="C650" s="75"/>
      <c r="D650" s="75"/>
      <c r="E650" s="75"/>
      <c r="F650" s="181"/>
      <c r="G650" s="75"/>
      <c r="H650" s="75"/>
      <c r="I650" s="75"/>
      <c r="J650" s="178"/>
      <c r="K650" s="75"/>
      <c r="L650" s="75"/>
      <c r="M650" s="75"/>
      <c r="N650" s="75"/>
    </row>
    <row r="651">
      <c r="A651" s="75"/>
      <c r="B651" s="178"/>
      <c r="C651" s="75"/>
      <c r="D651" s="75"/>
      <c r="E651" s="75"/>
      <c r="F651" s="181"/>
      <c r="G651" s="75"/>
      <c r="H651" s="75"/>
      <c r="I651" s="75"/>
      <c r="J651" s="178"/>
      <c r="K651" s="75"/>
      <c r="L651" s="75"/>
      <c r="M651" s="75"/>
      <c r="N651" s="75"/>
    </row>
    <row r="652">
      <c r="A652" s="75"/>
      <c r="B652" s="178"/>
      <c r="C652" s="75"/>
      <c r="D652" s="75"/>
      <c r="E652" s="75"/>
      <c r="F652" s="181"/>
      <c r="G652" s="75"/>
      <c r="H652" s="75"/>
      <c r="I652" s="75"/>
      <c r="J652" s="178"/>
      <c r="K652" s="75"/>
      <c r="L652" s="75"/>
      <c r="M652" s="75"/>
      <c r="N652" s="75"/>
    </row>
    <row r="653">
      <c r="A653" s="75"/>
      <c r="B653" s="178"/>
      <c r="C653" s="75"/>
      <c r="D653" s="75"/>
      <c r="E653" s="75"/>
      <c r="F653" s="181"/>
      <c r="G653" s="75"/>
      <c r="H653" s="75"/>
      <c r="I653" s="75"/>
      <c r="J653" s="178"/>
      <c r="K653" s="75"/>
      <c r="L653" s="75"/>
      <c r="M653" s="75"/>
      <c r="N653" s="75"/>
    </row>
    <row r="654">
      <c r="A654" s="75"/>
      <c r="B654" s="178"/>
      <c r="C654" s="75"/>
      <c r="D654" s="75"/>
      <c r="E654" s="75"/>
      <c r="F654" s="181"/>
      <c r="G654" s="75"/>
      <c r="H654" s="75"/>
      <c r="I654" s="75"/>
      <c r="J654" s="178"/>
      <c r="K654" s="75"/>
      <c r="L654" s="75"/>
      <c r="M654" s="75"/>
      <c r="N654" s="75"/>
    </row>
    <row r="655">
      <c r="A655" s="75"/>
      <c r="B655" s="178"/>
      <c r="C655" s="75"/>
      <c r="D655" s="75"/>
      <c r="E655" s="75"/>
      <c r="F655" s="181"/>
      <c r="G655" s="75"/>
      <c r="H655" s="75"/>
      <c r="I655" s="75"/>
      <c r="J655" s="178"/>
      <c r="K655" s="75"/>
      <c r="L655" s="75"/>
      <c r="M655" s="75"/>
      <c r="N655" s="75"/>
    </row>
    <row r="656">
      <c r="A656" s="75"/>
      <c r="B656" s="178"/>
      <c r="C656" s="75"/>
      <c r="D656" s="75"/>
      <c r="E656" s="75"/>
      <c r="F656" s="181"/>
      <c r="G656" s="75"/>
      <c r="H656" s="75"/>
      <c r="I656" s="75"/>
      <c r="J656" s="178"/>
      <c r="K656" s="75"/>
      <c r="L656" s="75"/>
      <c r="M656" s="75"/>
      <c r="N656" s="75"/>
    </row>
    <row r="657">
      <c r="A657" s="75"/>
      <c r="B657" s="178"/>
      <c r="C657" s="75"/>
      <c r="D657" s="75"/>
      <c r="E657" s="75"/>
      <c r="F657" s="181"/>
      <c r="G657" s="75"/>
      <c r="H657" s="75"/>
      <c r="I657" s="75"/>
      <c r="J657" s="178"/>
      <c r="K657" s="75"/>
      <c r="L657" s="75"/>
      <c r="M657" s="75"/>
      <c r="N657" s="75"/>
    </row>
    <row r="658">
      <c r="A658" s="75"/>
      <c r="B658" s="178"/>
      <c r="C658" s="75"/>
      <c r="D658" s="75"/>
      <c r="E658" s="75"/>
      <c r="F658" s="181"/>
      <c r="G658" s="75"/>
      <c r="H658" s="75"/>
      <c r="I658" s="75"/>
      <c r="J658" s="178"/>
      <c r="K658" s="75"/>
      <c r="L658" s="75"/>
      <c r="M658" s="75"/>
      <c r="N658" s="75"/>
    </row>
    <row r="659">
      <c r="A659" s="75"/>
      <c r="B659" s="178"/>
      <c r="C659" s="75"/>
      <c r="D659" s="75"/>
      <c r="E659" s="75"/>
      <c r="F659" s="181"/>
      <c r="G659" s="75"/>
      <c r="H659" s="75"/>
      <c r="I659" s="75"/>
      <c r="J659" s="178"/>
      <c r="K659" s="75"/>
      <c r="L659" s="75"/>
      <c r="M659" s="75"/>
      <c r="N659" s="75"/>
    </row>
    <row r="660">
      <c r="A660" s="75"/>
      <c r="B660" s="178"/>
      <c r="C660" s="75"/>
      <c r="D660" s="75"/>
      <c r="E660" s="75"/>
      <c r="F660" s="181"/>
      <c r="G660" s="75"/>
      <c r="H660" s="75"/>
      <c r="I660" s="75"/>
      <c r="J660" s="178"/>
      <c r="K660" s="75"/>
      <c r="L660" s="75"/>
      <c r="M660" s="75"/>
      <c r="N660" s="75"/>
    </row>
    <row r="661">
      <c r="A661" s="75"/>
      <c r="B661" s="178"/>
      <c r="C661" s="75"/>
      <c r="D661" s="75"/>
      <c r="E661" s="75"/>
      <c r="F661" s="181"/>
      <c r="G661" s="75"/>
      <c r="H661" s="75"/>
      <c r="I661" s="75"/>
      <c r="J661" s="178"/>
      <c r="K661" s="75"/>
      <c r="L661" s="75"/>
      <c r="M661" s="75"/>
      <c r="N661" s="75"/>
    </row>
    <row r="662">
      <c r="A662" s="75"/>
      <c r="B662" s="178"/>
      <c r="C662" s="75"/>
      <c r="D662" s="75"/>
      <c r="E662" s="75"/>
      <c r="F662" s="181"/>
      <c r="G662" s="75"/>
      <c r="H662" s="75"/>
      <c r="I662" s="75"/>
      <c r="J662" s="178"/>
      <c r="K662" s="75"/>
      <c r="L662" s="75"/>
      <c r="M662" s="75"/>
      <c r="N662" s="75"/>
    </row>
    <row r="663">
      <c r="A663" s="75"/>
      <c r="B663" s="178"/>
      <c r="C663" s="75"/>
      <c r="D663" s="75"/>
      <c r="E663" s="75"/>
      <c r="F663" s="181"/>
      <c r="G663" s="75"/>
      <c r="H663" s="75"/>
      <c r="I663" s="75"/>
      <c r="J663" s="178"/>
      <c r="K663" s="75"/>
      <c r="L663" s="75"/>
      <c r="M663" s="75"/>
      <c r="N663" s="75"/>
    </row>
    <row r="664">
      <c r="A664" s="75"/>
      <c r="B664" s="178"/>
      <c r="C664" s="75"/>
      <c r="D664" s="75"/>
      <c r="E664" s="75"/>
      <c r="F664" s="181"/>
      <c r="G664" s="75"/>
      <c r="H664" s="75"/>
      <c r="I664" s="75"/>
      <c r="J664" s="178"/>
      <c r="K664" s="75"/>
      <c r="L664" s="75"/>
      <c r="M664" s="75"/>
      <c r="N664" s="75"/>
    </row>
    <row r="665">
      <c r="A665" s="75"/>
      <c r="B665" s="178"/>
      <c r="C665" s="75"/>
      <c r="D665" s="75"/>
      <c r="E665" s="75"/>
      <c r="F665" s="181"/>
      <c r="G665" s="75"/>
      <c r="H665" s="75"/>
      <c r="I665" s="75"/>
      <c r="J665" s="178"/>
      <c r="K665" s="75"/>
      <c r="L665" s="75"/>
      <c r="M665" s="75"/>
      <c r="N665" s="75"/>
    </row>
    <row r="666">
      <c r="A666" s="75"/>
      <c r="B666" s="178"/>
      <c r="C666" s="75"/>
      <c r="D666" s="75"/>
      <c r="E666" s="75"/>
      <c r="F666" s="181"/>
      <c r="G666" s="75"/>
      <c r="H666" s="75"/>
      <c r="I666" s="75"/>
      <c r="J666" s="178"/>
      <c r="K666" s="75"/>
      <c r="L666" s="75"/>
      <c r="M666" s="75"/>
      <c r="N666" s="75"/>
    </row>
    <row r="667">
      <c r="A667" s="75"/>
      <c r="B667" s="178"/>
      <c r="C667" s="75"/>
      <c r="D667" s="75"/>
      <c r="E667" s="75"/>
      <c r="F667" s="181"/>
      <c r="G667" s="75"/>
      <c r="H667" s="75"/>
      <c r="I667" s="75"/>
      <c r="J667" s="178"/>
      <c r="K667" s="75"/>
      <c r="L667" s="75"/>
      <c r="M667" s="75"/>
      <c r="N667" s="75"/>
    </row>
    <row r="668">
      <c r="A668" s="75"/>
      <c r="B668" s="178"/>
      <c r="C668" s="75"/>
      <c r="D668" s="75"/>
      <c r="E668" s="75"/>
      <c r="F668" s="181"/>
      <c r="G668" s="75"/>
      <c r="H668" s="75"/>
      <c r="I668" s="75"/>
      <c r="J668" s="178"/>
      <c r="K668" s="75"/>
      <c r="L668" s="75"/>
      <c r="M668" s="75"/>
      <c r="N668" s="75"/>
    </row>
    <row r="669">
      <c r="A669" s="75"/>
      <c r="B669" s="178"/>
      <c r="C669" s="75"/>
      <c r="D669" s="75"/>
      <c r="E669" s="75"/>
      <c r="F669" s="181"/>
      <c r="G669" s="75"/>
      <c r="H669" s="75"/>
      <c r="I669" s="75"/>
      <c r="J669" s="178"/>
      <c r="K669" s="75"/>
      <c r="L669" s="75"/>
      <c r="M669" s="75"/>
      <c r="N669" s="75"/>
    </row>
    <row r="670">
      <c r="A670" s="75"/>
      <c r="B670" s="178"/>
      <c r="C670" s="75"/>
      <c r="D670" s="75"/>
      <c r="E670" s="75"/>
      <c r="F670" s="181"/>
      <c r="G670" s="75"/>
      <c r="H670" s="75"/>
      <c r="I670" s="75"/>
      <c r="J670" s="178"/>
      <c r="K670" s="75"/>
      <c r="L670" s="75"/>
      <c r="M670" s="75"/>
      <c r="N670" s="75"/>
    </row>
    <row r="671">
      <c r="A671" s="75"/>
      <c r="B671" s="178"/>
      <c r="C671" s="75"/>
      <c r="D671" s="75"/>
      <c r="E671" s="75"/>
      <c r="F671" s="181"/>
      <c r="G671" s="75"/>
      <c r="H671" s="75"/>
      <c r="I671" s="75"/>
      <c r="J671" s="178"/>
      <c r="K671" s="75"/>
      <c r="L671" s="75"/>
      <c r="M671" s="75"/>
      <c r="N671" s="75"/>
    </row>
    <row r="672">
      <c r="A672" s="75"/>
      <c r="B672" s="178"/>
      <c r="C672" s="75"/>
      <c r="D672" s="75"/>
      <c r="E672" s="75"/>
      <c r="F672" s="181"/>
      <c r="G672" s="75"/>
      <c r="H672" s="75"/>
      <c r="I672" s="75"/>
      <c r="J672" s="178"/>
      <c r="K672" s="75"/>
      <c r="L672" s="75"/>
      <c r="M672" s="75"/>
      <c r="N672" s="75"/>
    </row>
    <row r="673">
      <c r="A673" s="75"/>
      <c r="B673" s="178"/>
      <c r="C673" s="75"/>
      <c r="D673" s="75"/>
      <c r="E673" s="75"/>
      <c r="F673" s="181"/>
      <c r="G673" s="75"/>
      <c r="H673" s="75"/>
      <c r="I673" s="75"/>
      <c r="J673" s="178"/>
      <c r="K673" s="75"/>
      <c r="L673" s="75"/>
      <c r="M673" s="75"/>
      <c r="N673" s="75"/>
    </row>
    <row r="674">
      <c r="A674" s="75"/>
      <c r="B674" s="178"/>
      <c r="C674" s="75"/>
      <c r="D674" s="75"/>
      <c r="E674" s="75"/>
      <c r="F674" s="181"/>
      <c r="G674" s="75"/>
      <c r="H674" s="75"/>
      <c r="I674" s="75"/>
      <c r="J674" s="178"/>
      <c r="K674" s="75"/>
      <c r="L674" s="75"/>
      <c r="M674" s="75"/>
      <c r="N674" s="75"/>
    </row>
    <row r="675">
      <c r="A675" s="75"/>
      <c r="B675" s="178"/>
      <c r="C675" s="75"/>
      <c r="D675" s="75"/>
      <c r="E675" s="75"/>
      <c r="F675" s="181"/>
      <c r="G675" s="75"/>
      <c r="H675" s="75"/>
      <c r="I675" s="75"/>
      <c r="J675" s="178"/>
      <c r="K675" s="75"/>
      <c r="L675" s="75"/>
      <c r="M675" s="75"/>
      <c r="N675" s="75"/>
    </row>
    <row r="676">
      <c r="A676" s="75"/>
      <c r="B676" s="178"/>
      <c r="C676" s="75"/>
      <c r="D676" s="75"/>
      <c r="E676" s="75"/>
      <c r="F676" s="181"/>
      <c r="G676" s="75"/>
      <c r="H676" s="75"/>
      <c r="I676" s="75"/>
      <c r="J676" s="178"/>
      <c r="K676" s="75"/>
      <c r="L676" s="75"/>
      <c r="M676" s="75"/>
      <c r="N676" s="75"/>
    </row>
    <row r="677">
      <c r="A677" s="75"/>
      <c r="B677" s="178"/>
      <c r="C677" s="75"/>
      <c r="D677" s="75"/>
      <c r="E677" s="75"/>
      <c r="F677" s="181"/>
      <c r="G677" s="75"/>
      <c r="H677" s="75"/>
      <c r="I677" s="75"/>
      <c r="J677" s="178"/>
      <c r="K677" s="75"/>
      <c r="L677" s="75"/>
      <c r="M677" s="75"/>
      <c r="N677" s="75"/>
    </row>
    <row r="678">
      <c r="A678" s="75"/>
      <c r="B678" s="178"/>
      <c r="C678" s="75"/>
      <c r="D678" s="75"/>
      <c r="E678" s="75"/>
      <c r="F678" s="181"/>
      <c r="G678" s="75"/>
      <c r="H678" s="75"/>
      <c r="I678" s="75"/>
      <c r="J678" s="178"/>
      <c r="K678" s="75"/>
      <c r="L678" s="75"/>
      <c r="M678" s="75"/>
      <c r="N678" s="75"/>
    </row>
    <row r="679">
      <c r="A679" s="75"/>
      <c r="B679" s="178"/>
      <c r="C679" s="75"/>
      <c r="D679" s="75"/>
      <c r="E679" s="75"/>
      <c r="F679" s="181"/>
      <c r="G679" s="75"/>
      <c r="H679" s="75"/>
      <c r="I679" s="75"/>
      <c r="J679" s="178"/>
      <c r="K679" s="75"/>
      <c r="L679" s="75"/>
      <c r="M679" s="75"/>
      <c r="N679" s="75"/>
    </row>
    <row r="680">
      <c r="A680" s="75"/>
      <c r="B680" s="178"/>
      <c r="C680" s="75"/>
      <c r="D680" s="75"/>
      <c r="E680" s="75"/>
      <c r="F680" s="181"/>
      <c r="G680" s="75"/>
      <c r="H680" s="75"/>
      <c r="I680" s="75"/>
      <c r="J680" s="178"/>
      <c r="K680" s="75"/>
      <c r="L680" s="75"/>
      <c r="M680" s="75"/>
      <c r="N680" s="75"/>
    </row>
    <row r="681">
      <c r="A681" s="75"/>
      <c r="B681" s="178"/>
      <c r="C681" s="75"/>
      <c r="D681" s="75"/>
      <c r="E681" s="75"/>
      <c r="F681" s="181"/>
      <c r="G681" s="75"/>
      <c r="H681" s="75"/>
      <c r="I681" s="75"/>
      <c r="J681" s="178"/>
      <c r="K681" s="75"/>
      <c r="L681" s="75"/>
      <c r="M681" s="75"/>
      <c r="N681" s="75"/>
    </row>
    <row r="682">
      <c r="A682" s="75"/>
      <c r="B682" s="178"/>
      <c r="C682" s="75"/>
      <c r="D682" s="75"/>
      <c r="E682" s="75"/>
      <c r="F682" s="181"/>
      <c r="G682" s="75"/>
      <c r="H682" s="75"/>
      <c r="I682" s="75"/>
      <c r="J682" s="178"/>
      <c r="K682" s="75"/>
      <c r="L682" s="75"/>
      <c r="M682" s="75"/>
      <c r="N682" s="75"/>
    </row>
    <row r="683">
      <c r="A683" s="75"/>
      <c r="B683" s="178"/>
      <c r="C683" s="75"/>
      <c r="D683" s="75"/>
      <c r="E683" s="75"/>
      <c r="F683" s="181"/>
      <c r="G683" s="75"/>
      <c r="H683" s="75"/>
      <c r="I683" s="75"/>
      <c r="J683" s="178"/>
      <c r="K683" s="75"/>
      <c r="L683" s="75"/>
      <c r="M683" s="75"/>
      <c r="N683" s="75"/>
    </row>
    <row r="684">
      <c r="A684" s="75"/>
      <c r="B684" s="178"/>
      <c r="C684" s="75"/>
      <c r="D684" s="75"/>
      <c r="E684" s="75"/>
      <c r="F684" s="181"/>
      <c r="G684" s="75"/>
      <c r="H684" s="75"/>
      <c r="I684" s="75"/>
      <c r="J684" s="178"/>
      <c r="K684" s="75"/>
      <c r="L684" s="75"/>
      <c r="M684" s="75"/>
      <c r="N684" s="75"/>
    </row>
    <row r="685">
      <c r="A685" s="75"/>
      <c r="B685" s="178"/>
      <c r="C685" s="75"/>
      <c r="D685" s="75"/>
      <c r="E685" s="75"/>
      <c r="F685" s="181"/>
      <c r="G685" s="75"/>
      <c r="H685" s="75"/>
      <c r="I685" s="75"/>
      <c r="J685" s="178"/>
      <c r="K685" s="75"/>
      <c r="L685" s="75"/>
      <c r="M685" s="75"/>
      <c r="N685" s="75"/>
    </row>
    <row r="686">
      <c r="A686" s="75"/>
      <c r="B686" s="178"/>
      <c r="C686" s="75"/>
      <c r="D686" s="75"/>
      <c r="E686" s="75"/>
      <c r="F686" s="181"/>
      <c r="G686" s="75"/>
      <c r="H686" s="75"/>
      <c r="I686" s="75"/>
      <c r="J686" s="178"/>
      <c r="K686" s="75"/>
      <c r="L686" s="75"/>
      <c r="M686" s="75"/>
      <c r="N686" s="75"/>
    </row>
    <row r="687">
      <c r="A687" s="75"/>
      <c r="B687" s="178"/>
      <c r="C687" s="75"/>
      <c r="D687" s="75"/>
      <c r="E687" s="75"/>
      <c r="F687" s="181"/>
      <c r="G687" s="75"/>
      <c r="H687" s="75"/>
      <c r="I687" s="75"/>
      <c r="J687" s="178"/>
      <c r="K687" s="75"/>
      <c r="L687" s="75"/>
      <c r="M687" s="75"/>
      <c r="N687" s="75"/>
    </row>
    <row r="688">
      <c r="A688" s="75"/>
      <c r="B688" s="178"/>
      <c r="C688" s="75"/>
      <c r="D688" s="75"/>
      <c r="E688" s="75"/>
      <c r="F688" s="181"/>
      <c r="G688" s="75"/>
      <c r="H688" s="75"/>
      <c r="I688" s="75"/>
      <c r="J688" s="178"/>
      <c r="K688" s="75"/>
      <c r="L688" s="75"/>
      <c r="M688" s="75"/>
      <c r="N688" s="75"/>
    </row>
    <row r="689">
      <c r="A689" s="75"/>
      <c r="B689" s="178"/>
      <c r="C689" s="75"/>
      <c r="D689" s="75"/>
      <c r="E689" s="75"/>
      <c r="F689" s="181"/>
      <c r="G689" s="75"/>
      <c r="H689" s="75"/>
      <c r="I689" s="75"/>
      <c r="J689" s="178"/>
      <c r="K689" s="75"/>
      <c r="L689" s="75"/>
      <c r="M689" s="75"/>
      <c r="N689" s="75"/>
    </row>
    <row r="690">
      <c r="A690" s="75"/>
      <c r="B690" s="178"/>
      <c r="C690" s="75"/>
      <c r="D690" s="75"/>
      <c r="E690" s="75"/>
      <c r="F690" s="181"/>
      <c r="G690" s="75"/>
      <c r="H690" s="75"/>
      <c r="I690" s="75"/>
      <c r="J690" s="178"/>
      <c r="K690" s="75"/>
      <c r="L690" s="75"/>
      <c r="M690" s="75"/>
      <c r="N690" s="75"/>
    </row>
    <row r="691">
      <c r="A691" s="75"/>
      <c r="B691" s="178"/>
      <c r="C691" s="75"/>
      <c r="D691" s="75"/>
      <c r="E691" s="75"/>
      <c r="F691" s="181"/>
      <c r="G691" s="75"/>
      <c r="H691" s="75"/>
      <c r="I691" s="75"/>
      <c r="J691" s="178"/>
      <c r="K691" s="75"/>
      <c r="L691" s="75"/>
      <c r="M691" s="75"/>
      <c r="N691" s="75"/>
    </row>
    <row r="692">
      <c r="A692" s="75"/>
      <c r="B692" s="178"/>
      <c r="C692" s="75"/>
      <c r="D692" s="75"/>
      <c r="E692" s="75"/>
      <c r="F692" s="181"/>
      <c r="G692" s="75"/>
      <c r="H692" s="75"/>
      <c r="I692" s="75"/>
      <c r="J692" s="178"/>
      <c r="K692" s="75"/>
      <c r="L692" s="75"/>
      <c r="M692" s="75"/>
      <c r="N692" s="75"/>
    </row>
    <row r="693">
      <c r="A693" s="75"/>
      <c r="B693" s="178"/>
      <c r="C693" s="75"/>
      <c r="D693" s="75"/>
      <c r="E693" s="75"/>
      <c r="F693" s="181"/>
      <c r="G693" s="75"/>
      <c r="H693" s="75"/>
      <c r="I693" s="75"/>
      <c r="J693" s="178"/>
      <c r="K693" s="75"/>
      <c r="L693" s="75"/>
      <c r="M693" s="75"/>
      <c r="N693" s="75"/>
    </row>
    <row r="694">
      <c r="A694" s="75"/>
      <c r="B694" s="178"/>
      <c r="C694" s="75"/>
      <c r="D694" s="75"/>
      <c r="E694" s="75"/>
      <c r="F694" s="181"/>
      <c r="G694" s="75"/>
      <c r="H694" s="75"/>
      <c r="I694" s="75"/>
      <c r="J694" s="178"/>
      <c r="K694" s="75"/>
      <c r="L694" s="75"/>
      <c r="M694" s="75"/>
      <c r="N694" s="75"/>
    </row>
    <row r="695">
      <c r="A695" s="75"/>
      <c r="B695" s="178"/>
      <c r="C695" s="75"/>
      <c r="D695" s="75"/>
      <c r="E695" s="75"/>
      <c r="F695" s="181"/>
      <c r="G695" s="75"/>
      <c r="H695" s="75"/>
      <c r="I695" s="75"/>
      <c r="J695" s="178"/>
      <c r="K695" s="75"/>
      <c r="L695" s="75"/>
      <c r="M695" s="75"/>
      <c r="N695" s="75"/>
    </row>
    <row r="696">
      <c r="A696" s="75"/>
      <c r="B696" s="178"/>
      <c r="C696" s="75"/>
      <c r="D696" s="75"/>
      <c r="E696" s="75"/>
      <c r="F696" s="181"/>
      <c r="G696" s="75"/>
      <c r="H696" s="75"/>
      <c r="I696" s="75"/>
      <c r="J696" s="178"/>
      <c r="K696" s="75"/>
      <c r="L696" s="75"/>
      <c r="M696" s="75"/>
      <c r="N696" s="75"/>
    </row>
    <row r="697">
      <c r="A697" s="75"/>
      <c r="B697" s="178"/>
      <c r="C697" s="75"/>
      <c r="D697" s="75"/>
      <c r="E697" s="75"/>
      <c r="F697" s="181"/>
      <c r="G697" s="75"/>
      <c r="H697" s="75"/>
      <c r="I697" s="75"/>
      <c r="J697" s="178"/>
      <c r="K697" s="75"/>
      <c r="L697" s="75"/>
      <c r="M697" s="75"/>
      <c r="N697" s="75"/>
    </row>
    <row r="698">
      <c r="A698" s="75"/>
      <c r="B698" s="178"/>
      <c r="C698" s="75"/>
      <c r="D698" s="75"/>
      <c r="E698" s="75"/>
      <c r="F698" s="181"/>
      <c r="G698" s="75"/>
      <c r="H698" s="75"/>
      <c r="I698" s="75"/>
      <c r="J698" s="178"/>
      <c r="K698" s="75"/>
      <c r="L698" s="75"/>
      <c r="M698" s="75"/>
      <c r="N698" s="75"/>
    </row>
    <row r="699">
      <c r="A699" s="75"/>
      <c r="B699" s="178"/>
      <c r="C699" s="75"/>
      <c r="D699" s="75"/>
      <c r="E699" s="75"/>
      <c r="F699" s="181"/>
      <c r="G699" s="75"/>
      <c r="H699" s="75"/>
      <c r="I699" s="75"/>
      <c r="J699" s="178"/>
      <c r="K699" s="75"/>
      <c r="L699" s="75"/>
      <c r="M699" s="75"/>
      <c r="N699" s="75"/>
    </row>
    <row r="700">
      <c r="A700" s="75"/>
      <c r="B700" s="178"/>
      <c r="C700" s="75"/>
      <c r="D700" s="75"/>
      <c r="E700" s="75"/>
      <c r="F700" s="181"/>
      <c r="G700" s="75"/>
      <c r="H700" s="75"/>
      <c r="I700" s="75"/>
      <c r="J700" s="178"/>
      <c r="K700" s="75"/>
      <c r="L700" s="75"/>
      <c r="M700" s="75"/>
      <c r="N700" s="75"/>
    </row>
    <row r="701">
      <c r="A701" s="75"/>
      <c r="B701" s="178"/>
      <c r="C701" s="75"/>
      <c r="D701" s="75"/>
      <c r="E701" s="75"/>
      <c r="F701" s="181"/>
      <c r="G701" s="75"/>
      <c r="H701" s="75"/>
      <c r="I701" s="75"/>
      <c r="J701" s="178"/>
      <c r="K701" s="75"/>
      <c r="L701" s="75"/>
      <c r="M701" s="75"/>
      <c r="N701" s="75"/>
    </row>
    <row r="702">
      <c r="A702" s="75"/>
      <c r="B702" s="178"/>
      <c r="C702" s="75"/>
      <c r="D702" s="75"/>
      <c r="E702" s="75"/>
      <c r="F702" s="181"/>
      <c r="G702" s="75"/>
      <c r="H702" s="75"/>
      <c r="I702" s="75"/>
      <c r="J702" s="178"/>
      <c r="K702" s="75"/>
      <c r="L702" s="75"/>
      <c r="M702" s="75"/>
      <c r="N702" s="75"/>
    </row>
    <row r="703">
      <c r="A703" s="75"/>
      <c r="B703" s="178"/>
      <c r="C703" s="75"/>
      <c r="D703" s="75"/>
      <c r="E703" s="75"/>
      <c r="F703" s="181"/>
      <c r="G703" s="75"/>
      <c r="H703" s="75"/>
      <c r="I703" s="75"/>
      <c r="J703" s="178"/>
      <c r="K703" s="75"/>
      <c r="L703" s="75"/>
      <c r="M703" s="75"/>
      <c r="N703" s="75"/>
    </row>
    <row r="704">
      <c r="A704" s="75"/>
      <c r="B704" s="178"/>
      <c r="C704" s="75"/>
      <c r="D704" s="75"/>
      <c r="E704" s="75"/>
      <c r="F704" s="181"/>
      <c r="G704" s="75"/>
      <c r="H704" s="75"/>
      <c r="I704" s="75"/>
      <c r="J704" s="178"/>
      <c r="K704" s="75"/>
      <c r="L704" s="75"/>
      <c r="M704" s="75"/>
      <c r="N704" s="75"/>
    </row>
    <row r="705">
      <c r="A705" s="75"/>
      <c r="B705" s="178"/>
      <c r="C705" s="75"/>
      <c r="D705" s="75"/>
      <c r="E705" s="75"/>
      <c r="F705" s="181"/>
      <c r="G705" s="75"/>
      <c r="H705" s="75"/>
      <c r="I705" s="75"/>
      <c r="J705" s="178"/>
      <c r="K705" s="75"/>
      <c r="L705" s="75"/>
      <c r="M705" s="75"/>
      <c r="N705" s="75"/>
    </row>
    <row r="706">
      <c r="A706" s="75"/>
      <c r="B706" s="178"/>
      <c r="C706" s="75"/>
      <c r="D706" s="75"/>
      <c r="E706" s="75"/>
      <c r="F706" s="181"/>
      <c r="G706" s="75"/>
      <c r="H706" s="75"/>
      <c r="I706" s="75"/>
      <c r="J706" s="178"/>
      <c r="K706" s="75"/>
      <c r="L706" s="75"/>
      <c r="M706" s="75"/>
      <c r="N706" s="75"/>
    </row>
    <row r="707">
      <c r="A707" s="75"/>
      <c r="B707" s="178"/>
      <c r="C707" s="75"/>
      <c r="D707" s="75"/>
      <c r="E707" s="75"/>
      <c r="F707" s="181"/>
      <c r="G707" s="75"/>
      <c r="H707" s="75"/>
      <c r="I707" s="75"/>
      <c r="J707" s="178"/>
      <c r="K707" s="75"/>
      <c r="L707" s="75"/>
      <c r="M707" s="75"/>
      <c r="N707" s="75"/>
    </row>
    <row r="708">
      <c r="A708" s="75"/>
      <c r="B708" s="178"/>
      <c r="C708" s="75"/>
      <c r="D708" s="75"/>
      <c r="E708" s="75"/>
      <c r="F708" s="181"/>
      <c r="G708" s="75"/>
      <c r="H708" s="75"/>
      <c r="I708" s="75"/>
      <c r="J708" s="178"/>
      <c r="K708" s="75"/>
      <c r="L708" s="75"/>
      <c r="M708" s="75"/>
      <c r="N708" s="75"/>
    </row>
    <row r="709">
      <c r="A709" s="75"/>
      <c r="B709" s="178"/>
      <c r="C709" s="75"/>
      <c r="D709" s="75"/>
      <c r="E709" s="75"/>
      <c r="F709" s="181"/>
      <c r="G709" s="75"/>
      <c r="H709" s="75"/>
      <c r="I709" s="75"/>
      <c r="J709" s="178"/>
      <c r="K709" s="75"/>
      <c r="L709" s="75"/>
      <c r="M709" s="75"/>
      <c r="N709" s="75"/>
    </row>
    <row r="710">
      <c r="A710" s="75"/>
      <c r="B710" s="178"/>
      <c r="C710" s="75"/>
      <c r="D710" s="75"/>
      <c r="E710" s="75"/>
      <c r="F710" s="181"/>
      <c r="G710" s="75"/>
      <c r="H710" s="75"/>
      <c r="I710" s="75"/>
      <c r="J710" s="178"/>
      <c r="K710" s="75"/>
      <c r="L710" s="75"/>
      <c r="M710" s="75"/>
      <c r="N710" s="75"/>
    </row>
    <row r="711">
      <c r="A711" s="75"/>
      <c r="B711" s="178"/>
      <c r="C711" s="75"/>
      <c r="D711" s="75"/>
      <c r="E711" s="75"/>
      <c r="F711" s="181"/>
      <c r="G711" s="75"/>
      <c r="H711" s="75"/>
      <c r="I711" s="75"/>
      <c r="J711" s="178"/>
      <c r="K711" s="75"/>
      <c r="L711" s="75"/>
      <c r="M711" s="75"/>
      <c r="N711" s="75"/>
    </row>
    <row r="712">
      <c r="A712" s="75"/>
      <c r="B712" s="178"/>
      <c r="C712" s="75"/>
      <c r="D712" s="75"/>
      <c r="E712" s="75"/>
      <c r="F712" s="181"/>
      <c r="G712" s="75"/>
      <c r="H712" s="75"/>
      <c r="I712" s="75"/>
      <c r="J712" s="178"/>
      <c r="K712" s="75"/>
      <c r="L712" s="75"/>
      <c r="M712" s="75"/>
      <c r="N712" s="75"/>
    </row>
    <row r="713">
      <c r="A713" s="75"/>
      <c r="B713" s="178"/>
      <c r="C713" s="75"/>
      <c r="D713" s="75"/>
      <c r="E713" s="75"/>
      <c r="F713" s="181"/>
      <c r="G713" s="75"/>
      <c r="H713" s="75"/>
      <c r="I713" s="75"/>
      <c r="J713" s="178"/>
      <c r="K713" s="75"/>
      <c r="L713" s="75"/>
      <c r="M713" s="75"/>
      <c r="N713" s="75"/>
    </row>
    <row r="714">
      <c r="A714" s="75"/>
      <c r="B714" s="178"/>
      <c r="C714" s="75"/>
      <c r="D714" s="75"/>
      <c r="E714" s="75"/>
      <c r="F714" s="181"/>
      <c r="G714" s="75"/>
      <c r="H714" s="75"/>
      <c r="I714" s="75"/>
      <c r="J714" s="178"/>
      <c r="K714" s="75"/>
      <c r="L714" s="75"/>
      <c r="M714" s="75"/>
      <c r="N714" s="75"/>
    </row>
    <row r="715">
      <c r="A715" s="75"/>
      <c r="B715" s="178"/>
      <c r="C715" s="75"/>
      <c r="D715" s="75"/>
      <c r="E715" s="75"/>
      <c r="F715" s="181"/>
      <c r="G715" s="75"/>
      <c r="H715" s="75"/>
      <c r="I715" s="75"/>
      <c r="J715" s="178"/>
      <c r="K715" s="75"/>
      <c r="L715" s="75"/>
      <c r="M715" s="75"/>
      <c r="N715" s="75"/>
    </row>
    <row r="716">
      <c r="A716" s="75"/>
      <c r="B716" s="178"/>
      <c r="C716" s="75"/>
      <c r="D716" s="75"/>
      <c r="E716" s="75"/>
      <c r="F716" s="181"/>
      <c r="G716" s="75"/>
      <c r="H716" s="75"/>
      <c r="I716" s="75"/>
      <c r="J716" s="178"/>
      <c r="K716" s="75"/>
      <c r="L716" s="75"/>
      <c r="M716" s="75"/>
      <c r="N716" s="75"/>
    </row>
    <row r="717">
      <c r="A717" s="75"/>
      <c r="B717" s="178"/>
      <c r="C717" s="75"/>
      <c r="D717" s="75"/>
      <c r="E717" s="75"/>
      <c r="F717" s="181"/>
      <c r="G717" s="75"/>
      <c r="H717" s="75"/>
      <c r="I717" s="75"/>
      <c r="J717" s="178"/>
      <c r="K717" s="75"/>
      <c r="L717" s="75"/>
      <c r="M717" s="75"/>
      <c r="N717" s="75"/>
    </row>
    <row r="718">
      <c r="A718" s="75"/>
      <c r="B718" s="178"/>
      <c r="C718" s="75"/>
      <c r="D718" s="75"/>
      <c r="E718" s="75"/>
      <c r="F718" s="181"/>
      <c r="G718" s="75"/>
      <c r="H718" s="75"/>
      <c r="I718" s="75"/>
      <c r="J718" s="178"/>
      <c r="K718" s="75"/>
      <c r="L718" s="75"/>
      <c r="M718" s="75"/>
      <c r="N718" s="75"/>
    </row>
    <row r="719">
      <c r="A719" s="75"/>
      <c r="B719" s="178"/>
      <c r="C719" s="75"/>
      <c r="D719" s="75"/>
      <c r="E719" s="75"/>
      <c r="F719" s="181"/>
      <c r="G719" s="75"/>
      <c r="H719" s="75"/>
      <c r="I719" s="75"/>
      <c r="J719" s="178"/>
      <c r="K719" s="75"/>
      <c r="L719" s="75"/>
      <c r="M719" s="75"/>
      <c r="N719" s="75"/>
    </row>
    <row r="720">
      <c r="A720" s="75"/>
      <c r="B720" s="178"/>
      <c r="C720" s="75"/>
      <c r="D720" s="75"/>
      <c r="E720" s="75"/>
      <c r="F720" s="181"/>
      <c r="G720" s="75"/>
      <c r="H720" s="75"/>
      <c r="I720" s="75"/>
      <c r="J720" s="178"/>
      <c r="K720" s="75"/>
      <c r="L720" s="75"/>
      <c r="M720" s="75"/>
      <c r="N720" s="75"/>
    </row>
    <row r="721">
      <c r="A721" s="75"/>
      <c r="B721" s="178"/>
      <c r="C721" s="75"/>
      <c r="D721" s="75"/>
      <c r="E721" s="75"/>
      <c r="F721" s="181"/>
      <c r="G721" s="75"/>
      <c r="H721" s="75"/>
      <c r="I721" s="75"/>
      <c r="J721" s="178"/>
      <c r="K721" s="75"/>
      <c r="L721" s="75"/>
      <c r="M721" s="75"/>
      <c r="N721" s="75"/>
    </row>
    <row r="722">
      <c r="A722" s="75"/>
      <c r="B722" s="178"/>
      <c r="C722" s="75"/>
      <c r="D722" s="75"/>
      <c r="E722" s="75"/>
      <c r="F722" s="181"/>
      <c r="G722" s="75"/>
      <c r="H722" s="75"/>
      <c r="I722" s="75"/>
      <c r="J722" s="178"/>
      <c r="K722" s="75"/>
      <c r="L722" s="75"/>
      <c r="M722" s="75"/>
      <c r="N722" s="75"/>
    </row>
    <row r="723">
      <c r="A723" s="75"/>
      <c r="B723" s="178"/>
      <c r="C723" s="75"/>
      <c r="D723" s="75"/>
      <c r="E723" s="75"/>
      <c r="F723" s="181"/>
      <c r="G723" s="75"/>
      <c r="H723" s="75"/>
      <c r="I723" s="75"/>
      <c r="J723" s="178"/>
      <c r="K723" s="75"/>
      <c r="L723" s="75"/>
      <c r="M723" s="75"/>
      <c r="N723" s="75"/>
    </row>
    <row r="724">
      <c r="A724" s="75"/>
      <c r="B724" s="178"/>
      <c r="C724" s="75"/>
      <c r="D724" s="75"/>
      <c r="E724" s="75"/>
      <c r="F724" s="181"/>
      <c r="G724" s="75"/>
      <c r="H724" s="75"/>
      <c r="I724" s="75"/>
      <c r="J724" s="178"/>
      <c r="K724" s="75"/>
      <c r="L724" s="75"/>
      <c r="M724" s="75"/>
      <c r="N724" s="75"/>
    </row>
    <row r="725">
      <c r="A725" s="75"/>
      <c r="B725" s="178"/>
      <c r="C725" s="75"/>
      <c r="D725" s="75"/>
      <c r="E725" s="75"/>
      <c r="F725" s="181"/>
      <c r="G725" s="75"/>
      <c r="H725" s="75"/>
      <c r="I725" s="75"/>
      <c r="J725" s="178"/>
      <c r="K725" s="75"/>
      <c r="L725" s="75"/>
      <c r="M725" s="75"/>
      <c r="N725" s="75"/>
    </row>
    <row r="726">
      <c r="A726" s="75"/>
      <c r="B726" s="178"/>
      <c r="C726" s="75"/>
      <c r="D726" s="75"/>
      <c r="E726" s="75"/>
      <c r="F726" s="181"/>
      <c r="G726" s="75"/>
      <c r="H726" s="75"/>
      <c r="I726" s="75"/>
      <c r="J726" s="178"/>
      <c r="K726" s="75"/>
      <c r="L726" s="75"/>
      <c r="M726" s="75"/>
      <c r="N726" s="75"/>
    </row>
    <row r="727">
      <c r="A727" s="75"/>
      <c r="B727" s="178"/>
      <c r="C727" s="75"/>
      <c r="D727" s="75"/>
      <c r="E727" s="75"/>
      <c r="F727" s="181"/>
      <c r="G727" s="75"/>
      <c r="H727" s="75"/>
      <c r="I727" s="75"/>
      <c r="J727" s="178"/>
      <c r="K727" s="75"/>
      <c r="L727" s="75"/>
      <c r="M727" s="75"/>
      <c r="N727" s="75"/>
    </row>
    <row r="728">
      <c r="A728" s="75"/>
      <c r="B728" s="178"/>
      <c r="C728" s="75"/>
      <c r="D728" s="75"/>
      <c r="E728" s="75"/>
      <c r="F728" s="181"/>
      <c r="G728" s="75"/>
      <c r="H728" s="75"/>
      <c r="I728" s="75"/>
      <c r="J728" s="178"/>
      <c r="K728" s="75"/>
      <c r="L728" s="75"/>
      <c r="M728" s="75"/>
      <c r="N728" s="75"/>
    </row>
    <row r="729">
      <c r="A729" s="75"/>
      <c r="B729" s="178"/>
      <c r="C729" s="75"/>
      <c r="D729" s="75"/>
      <c r="E729" s="75"/>
      <c r="F729" s="181"/>
      <c r="G729" s="75"/>
      <c r="H729" s="75"/>
      <c r="I729" s="75"/>
      <c r="J729" s="178"/>
      <c r="K729" s="75"/>
      <c r="L729" s="75"/>
      <c r="M729" s="75"/>
      <c r="N729" s="75"/>
    </row>
    <row r="730">
      <c r="A730" s="75"/>
      <c r="B730" s="178"/>
      <c r="C730" s="75"/>
      <c r="D730" s="75"/>
      <c r="E730" s="75"/>
      <c r="F730" s="181"/>
      <c r="G730" s="75"/>
      <c r="H730" s="75"/>
      <c r="I730" s="75"/>
      <c r="J730" s="178"/>
      <c r="K730" s="75"/>
      <c r="L730" s="75"/>
      <c r="M730" s="75"/>
      <c r="N730" s="75"/>
    </row>
    <row r="731">
      <c r="A731" s="75"/>
      <c r="B731" s="178"/>
      <c r="C731" s="75"/>
      <c r="D731" s="75"/>
      <c r="E731" s="75"/>
      <c r="F731" s="181"/>
      <c r="G731" s="75"/>
      <c r="H731" s="75"/>
      <c r="I731" s="75"/>
      <c r="J731" s="178"/>
      <c r="K731" s="75"/>
      <c r="L731" s="75"/>
      <c r="M731" s="75"/>
      <c r="N731" s="75"/>
    </row>
    <row r="732">
      <c r="A732" s="75"/>
      <c r="B732" s="178"/>
      <c r="C732" s="75"/>
      <c r="D732" s="75"/>
      <c r="E732" s="75"/>
      <c r="F732" s="181"/>
      <c r="G732" s="75"/>
      <c r="H732" s="75"/>
      <c r="I732" s="75"/>
      <c r="J732" s="178"/>
      <c r="K732" s="75"/>
      <c r="L732" s="75"/>
      <c r="M732" s="75"/>
      <c r="N732" s="75"/>
    </row>
    <row r="733">
      <c r="A733" s="75"/>
      <c r="B733" s="178"/>
      <c r="C733" s="75"/>
      <c r="D733" s="75"/>
      <c r="E733" s="75"/>
      <c r="F733" s="181"/>
      <c r="G733" s="75"/>
      <c r="H733" s="75"/>
      <c r="I733" s="75"/>
      <c r="J733" s="178"/>
      <c r="K733" s="75"/>
      <c r="L733" s="75"/>
      <c r="M733" s="75"/>
      <c r="N733" s="75"/>
    </row>
    <row r="734">
      <c r="A734" s="75"/>
      <c r="B734" s="178"/>
      <c r="C734" s="75"/>
      <c r="D734" s="75"/>
      <c r="E734" s="75"/>
      <c r="F734" s="181"/>
      <c r="G734" s="75"/>
      <c r="H734" s="75"/>
      <c r="I734" s="75"/>
      <c r="J734" s="178"/>
      <c r="K734" s="75"/>
      <c r="L734" s="75"/>
      <c r="M734" s="75"/>
      <c r="N734" s="75"/>
    </row>
    <row r="735">
      <c r="A735" s="75"/>
      <c r="B735" s="178"/>
      <c r="C735" s="75"/>
      <c r="D735" s="75"/>
      <c r="E735" s="75"/>
      <c r="F735" s="181"/>
      <c r="G735" s="75"/>
      <c r="H735" s="75"/>
      <c r="I735" s="75"/>
      <c r="J735" s="178"/>
      <c r="K735" s="75"/>
      <c r="L735" s="75"/>
      <c r="M735" s="75"/>
      <c r="N735" s="75"/>
    </row>
    <row r="736">
      <c r="A736" s="75"/>
      <c r="B736" s="178"/>
      <c r="C736" s="75"/>
      <c r="D736" s="75"/>
      <c r="E736" s="75"/>
      <c r="F736" s="181"/>
      <c r="G736" s="75"/>
      <c r="H736" s="75"/>
      <c r="I736" s="75"/>
      <c r="J736" s="178"/>
      <c r="K736" s="75"/>
      <c r="L736" s="75"/>
      <c r="M736" s="75"/>
      <c r="N736" s="75"/>
    </row>
    <row r="737">
      <c r="A737" s="75"/>
      <c r="B737" s="178"/>
      <c r="C737" s="75"/>
      <c r="D737" s="75"/>
      <c r="E737" s="75"/>
      <c r="F737" s="181"/>
      <c r="G737" s="75"/>
      <c r="H737" s="75"/>
      <c r="I737" s="75"/>
      <c r="J737" s="178"/>
      <c r="K737" s="75"/>
      <c r="L737" s="75"/>
      <c r="M737" s="75"/>
      <c r="N737" s="75"/>
    </row>
    <row r="738">
      <c r="A738" s="75"/>
      <c r="B738" s="178"/>
      <c r="C738" s="75"/>
      <c r="D738" s="75"/>
      <c r="E738" s="75"/>
      <c r="F738" s="181"/>
      <c r="G738" s="75"/>
      <c r="H738" s="75"/>
      <c r="I738" s="75"/>
      <c r="J738" s="178"/>
      <c r="K738" s="75"/>
      <c r="L738" s="75"/>
      <c r="M738" s="75"/>
      <c r="N738" s="75"/>
    </row>
    <row r="739">
      <c r="A739" s="75"/>
      <c r="B739" s="178"/>
      <c r="C739" s="75"/>
      <c r="D739" s="75"/>
      <c r="E739" s="75"/>
      <c r="F739" s="181"/>
      <c r="G739" s="75"/>
      <c r="H739" s="75"/>
      <c r="I739" s="75"/>
      <c r="J739" s="178"/>
      <c r="K739" s="75"/>
      <c r="L739" s="75"/>
      <c r="M739" s="75"/>
      <c r="N739" s="75"/>
    </row>
    <row r="740">
      <c r="A740" s="75"/>
      <c r="B740" s="178"/>
      <c r="C740" s="75"/>
      <c r="D740" s="75"/>
      <c r="E740" s="75"/>
      <c r="F740" s="181"/>
      <c r="G740" s="75"/>
      <c r="H740" s="75"/>
      <c r="I740" s="75"/>
      <c r="J740" s="178"/>
      <c r="K740" s="75"/>
      <c r="L740" s="75"/>
      <c r="M740" s="75"/>
      <c r="N740" s="75"/>
    </row>
    <row r="741">
      <c r="A741" s="75"/>
      <c r="B741" s="178"/>
      <c r="C741" s="75"/>
      <c r="D741" s="75"/>
      <c r="E741" s="75"/>
      <c r="F741" s="181"/>
      <c r="G741" s="75"/>
      <c r="H741" s="75"/>
      <c r="I741" s="75"/>
      <c r="J741" s="178"/>
      <c r="K741" s="75"/>
      <c r="L741" s="75"/>
      <c r="M741" s="75"/>
      <c r="N741" s="75"/>
    </row>
    <row r="742">
      <c r="A742" s="75"/>
      <c r="B742" s="178"/>
      <c r="C742" s="75"/>
      <c r="D742" s="75"/>
      <c r="E742" s="75"/>
      <c r="F742" s="181"/>
      <c r="G742" s="75"/>
      <c r="H742" s="75"/>
      <c r="I742" s="75"/>
      <c r="J742" s="178"/>
      <c r="K742" s="75"/>
      <c r="L742" s="75"/>
      <c r="M742" s="75"/>
      <c r="N742" s="75"/>
    </row>
    <row r="743">
      <c r="A743" s="75"/>
      <c r="B743" s="178"/>
      <c r="C743" s="75"/>
      <c r="D743" s="75"/>
      <c r="E743" s="75"/>
      <c r="F743" s="181"/>
      <c r="G743" s="75"/>
      <c r="H743" s="75"/>
      <c r="I743" s="75"/>
      <c r="J743" s="178"/>
      <c r="K743" s="75"/>
      <c r="L743" s="75"/>
      <c r="M743" s="75"/>
      <c r="N743" s="75"/>
    </row>
    <row r="744">
      <c r="A744" s="75"/>
      <c r="B744" s="178"/>
      <c r="C744" s="75"/>
      <c r="D744" s="75"/>
      <c r="E744" s="75"/>
      <c r="F744" s="181"/>
      <c r="G744" s="75"/>
      <c r="H744" s="75"/>
      <c r="I744" s="75"/>
      <c r="J744" s="178"/>
      <c r="K744" s="75"/>
      <c r="L744" s="75"/>
      <c r="M744" s="75"/>
      <c r="N744" s="75"/>
    </row>
    <row r="745">
      <c r="A745" s="75"/>
      <c r="B745" s="178"/>
      <c r="C745" s="75"/>
      <c r="D745" s="75"/>
      <c r="E745" s="75"/>
      <c r="F745" s="181"/>
      <c r="G745" s="75"/>
      <c r="H745" s="75"/>
      <c r="I745" s="75"/>
      <c r="J745" s="178"/>
      <c r="K745" s="75"/>
      <c r="L745" s="75"/>
      <c r="M745" s="75"/>
      <c r="N745" s="75"/>
    </row>
    <row r="746">
      <c r="A746" s="75"/>
      <c r="B746" s="178"/>
      <c r="C746" s="75"/>
      <c r="D746" s="75"/>
      <c r="E746" s="75"/>
      <c r="F746" s="181"/>
      <c r="G746" s="75"/>
      <c r="H746" s="75"/>
      <c r="I746" s="75"/>
      <c r="J746" s="178"/>
      <c r="K746" s="75"/>
      <c r="L746" s="75"/>
      <c r="M746" s="75"/>
      <c r="N746" s="75"/>
    </row>
    <row r="747">
      <c r="A747" s="75"/>
      <c r="B747" s="178"/>
      <c r="C747" s="75"/>
      <c r="D747" s="75"/>
      <c r="E747" s="75"/>
      <c r="F747" s="181"/>
      <c r="G747" s="75"/>
      <c r="H747" s="75"/>
      <c r="I747" s="75"/>
      <c r="J747" s="178"/>
      <c r="K747" s="75"/>
      <c r="L747" s="75"/>
      <c r="M747" s="75"/>
      <c r="N747" s="75"/>
    </row>
    <row r="748">
      <c r="A748" s="75"/>
      <c r="B748" s="178"/>
      <c r="C748" s="75"/>
      <c r="D748" s="75"/>
      <c r="E748" s="75"/>
      <c r="F748" s="181"/>
      <c r="G748" s="75"/>
      <c r="H748" s="75"/>
      <c r="I748" s="75"/>
      <c r="J748" s="178"/>
      <c r="K748" s="75"/>
      <c r="L748" s="75"/>
      <c r="M748" s="75"/>
      <c r="N748" s="75"/>
    </row>
    <row r="749">
      <c r="A749" s="75"/>
      <c r="B749" s="178"/>
      <c r="C749" s="75"/>
      <c r="D749" s="75"/>
      <c r="E749" s="75"/>
      <c r="F749" s="181"/>
      <c r="G749" s="75"/>
      <c r="H749" s="75"/>
      <c r="I749" s="75"/>
      <c r="J749" s="178"/>
      <c r="K749" s="75"/>
      <c r="L749" s="75"/>
      <c r="M749" s="75"/>
      <c r="N749" s="75"/>
    </row>
    <row r="750">
      <c r="A750" s="75"/>
      <c r="B750" s="178"/>
      <c r="C750" s="75"/>
      <c r="D750" s="75"/>
      <c r="E750" s="75"/>
      <c r="F750" s="181"/>
      <c r="G750" s="75"/>
      <c r="H750" s="75"/>
      <c r="I750" s="75"/>
      <c r="J750" s="178"/>
      <c r="K750" s="75"/>
      <c r="L750" s="75"/>
      <c r="M750" s="75"/>
      <c r="N750" s="75"/>
    </row>
    <row r="751">
      <c r="A751" s="75"/>
      <c r="B751" s="178"/>
      <c r="C751" s="75"/>
      <c r="D751" s="75"/>
      <c r="E751" s="75"/>
      <c r="F751" s="181"/>
      <c r="G751" s="75"/>
      <c r="H751" s="75"/>
      <c r="I751" s="75"/>
      <c r="J751" s="178"/>
      <c r="K751" s="75"/>
      <c r="L751" s="75"/>
      <c r="M751" s="75"/>
      <c r="N751" s="75"/>
    </row>
    <row r="752">
      <c r="A752" s="75"/>
      <c r="B752" s="178"/>
      <c r="C752" s="75"/>
      <c r="D752" s="75"/>
      <c r="E752" s="75"/>
      <c r="F752" s="181"/>
      <c r="G752" s="75"/>
      <c r="H752" s="75"/>
      <c r="I752" s="75"/>
      <c r="J752" s="178"/>
      <c r="K752" s="75"/>
      <c r="L752" s="75"/>
      <c r="M752" s="75"/>
      <c r="N752" s="75"/>
    </row>
    <row r="753">
      <c r="A753" s="75"/>
      <c r="B753" s="178"/>
      <c r="C753" s="75"/>
      <c r="D753" s="75"/>
      <c r="E753" s="75"/>
      <c r="F753" s="181"/>
      <c r="G753" s="75"/>
      <c r="H753" s="75"/>
      <c r="I753" s="75"/>
      <c r="J753" s="178"/>
      <c r="K753" s="75"/>
      <c r="L753" s="75"/>
      <c r="M753" s="75"/>
      <c r="N753" s="75"/>
    </row>
    <row r="754">
      <c r="A754" s="75"/>
      <c r="B754" s="178"/>
      <c r="C754" s="75"/>
      <c r="D754" s="75"/>
      <c r="E754" s="75"/>
      <c r="F754" s="181"/>
      <c r="G754" s="75"/>
      <c r="H754" s="75"/>
      <c r="I754" s="75"/>
      <c r="J754" s="178"/>
      <c r="K754" s="75"/>
      <c r="L754" s="75"/>
      <c r="M754" s="75"/>
      <c r="N754" s="75"/>
    </row>
    <row r="755">
      <c r="A755" s="75"/>
      <c r="B755" s="178"/>
      <c r="C755" s="75"/>
      <c r="D755" s="75"/>
      <c r="E755" s="75"/>
      <c r="F755" s="181"/>
      <c r="G755" s="75"/>
      <c r="H755" s="75"/>
      <c r="I755" s="75"/>
      <c r="J755" s="178"/>
      <c r="K755" s="75"/>
      <c r="L755" s="75"/>
      <c r="M755" s="75"/>
      <c r="N755" s="75"/>
    </row>
    <row r="756">
      <c r="A756" s="75"/>
      <c r="B756" s="178"/>
      <c r="C756" s="75"/>
      <c r="D756" s="75"/>
      <c r="E756" s="75"/>
      <c r="F756" s="181"/>
      <c r="G756" s="75"/>
      <c r="H756" s="75"/>
      <c r="I756" s="75"/>
      <c r="J756" s="178"/>
      <c r="K756" s="75"/>
      <c r="L756" s="75"/>
      <c r="M756" s="75"/>
      <c r="N756" s="75"/>
    </row>
    <row r="757">
      <c r="A757" s="75"/>
      <c r="B757" s="178"/>
      <c r="C757" s="75"/>
      <c r="D757" s="75"/>
      <c r="E757" s="75"/>
      <c r="F757" s="181"/>
      <c r="G757" s="75"/>
      <c r="H757" s="75"/>
      <c r="I757" s="75"/>
      <c r="J757" s="178"/>
      <c r="K757" s="75"/>
      <c r="L757" s="75"/>
      <c r="M757" s="75"/>
      <c r="N757" s="75"/>
    </row>
    <row r="758">
      <c r="A758" s="75"/>
      <c r="B758" s="178"/>
      <c r="C758" s="75"/>
      <c r="D758" s="75"/>
      <c r="E758" s="75"/>
      <c r="F758" s="181"/>
      <c r="G758" s="75"/>
      <c r="H758" s="75"/>
      <c r="I758" s="75"/>
      <c r="J758" s="178"/>
      <c r="K758" s="75"/>
      <c r="L758" s="75"/>
      <c r="M758" s="75"/>
      <c r="N758" s="75"/>
    </row>
    <row r="759">
      <c r="A759" s="75"/>
      <c r="B759" s="178"/>
      <c r="C759" s="75"/>
      <c r="D759" s="75"/>
      <c r="E759" s="75"/>
      <c r="F759" s="181"/>
      <c r="G759" s="75"/>
      <c r="H759" s="75"/>
      <c r="I759" s="75"/>
      <c r="J759" s="178"/>
      <c r="K759" s="75"/>
      <c r="L759" s="75"/>
      <c r="M759" s="75"/>
      <c r="N759" s="75"/>
    </row>
    <row r="760">
      <c r="A760" s="75"/>
      <c r="B760" s="178"/>
      <c r="C760" s="75"/>
      <c r="D760" s="75"/>
      <c r="E760" s="75"/>
      <c r="F760" s="181"/>
      <c r="G760" s="75"/>
      <c r="H760" s="75"/>
      <c r="I760" s="75"/>
      <c r="J760" s="178"/>
      <c r="K760" s="75"/>
      <c r="L760" s="75"/>
      <c r="M760" s="75"/>
      <c r="N760" s="75"/>
    </row>
    <row r="761">
      <c r="A761" s="75"/>
      <c r="B761" s="178"/>
      <c r="C761" s="75"/>
      <c r="D761" s="75"/>
      <c r="E761" s="75"/>
      <c r="F761" s="181"/>
      <c r="G761" s="75"/>
      <c r="H761" s="75"/>
      <c r="I761" s="75"/>
      <c r="J761" s="178"/>
      <c r="K761" s="75"/>
      <c r="L761" s="75"/>
      <c r="M761" s="75"/>
      <c r="N761" s="75"/>
    </row>
    <row r="762">
      <c r="A762" s="75"/>
      <c r="B762" s="178"/>
      <c r="C762" s="75"/>
      <c r="D762" s="75"/>
      <c r="E762" s="75"/>
      <c r="F762" s="181"/>
      <c r="G762" s="75"/>
      <c r="H762" s="75"/>
      <c r="I762" s="75"/>
      <c r="J762" s="178"/>
      <c r="K762" s="75"/>
      <c r="L762" s="75"/>
      <c r="M762" s="75"/>
      <c r="N762" s="75"/>
    </row>
    <row r="763">
      <c r="A763" s="75"/>
      <c r="B763" s="178"/>
      <c r="C763" s="75"/>
      <c r="D763" s="75"/>
      <c r="E763" s="75"/>
      <c r="F763" s="181"/>
      <c r="G763" s="75"/>
      <c r="H763" s="75"/>
      <c r="I763" s="75"/>
      <c r="J763" s="178"/>
      <c r="K763" s="75"/>
      <c r="L763" s="75"/>
      <c r="M763" s="75"/>
      <c r="N763" s="75"/>
    </row>
    <row r="764">
      <c r="A764" s="75"/>
      <c r="B764" s="178"/>
      <c r="C764" s="75"/>
      <c r="D764" s="75"/>
      <c r="E764" s="75"/>
      <c r="F764" s="181"/>
      <c r="G764" s="75"/>
      <c r="H764" s="75"/>
      <c r="I764" s="75"/>
      <c r="J764" s="178"/>
      <c r="K764" s="75"/>
      <c r="L764" s="75"/>
      <c r="M764" s="75"/>
      <c r="N764" s="75"/>
    </row>
    <row r="765">
      <c r="A765" s="75"/>
      <c r="B765" s="178"/>
      <c r="C765" s="75"/>
      <c r="D765" s="75"/>
      <c r="E765" s="75"/>
      <c r="F765" s="181"/>
      <c r="G765" s="75"/>
      <c r="H765" s="75"/>
      <c r="I765" s="75"/>
      <c r="J765" s="178"/>
      <c r="K765" s="75"/>
      <c r="L765" s="75"/>
      <c r="M765" s="75"/>
      <c r="N765" s="75"/>
    </row>
    <row r="766">
      <c r="A766" s="75"/>
      <c r="B766" s="178"/>
      <c r="C766" s="75"/>
      <c r="D766" s="75"/>
      <c r="E766" s="75"/>
      <c r="F766" s="181"/>
      <c r="G766" s="75"/>
      <c r="H766" s="75"/>
      <c r="I766" s="75"/>
      <c r="J766" s="178"/>
      <c r="K766" s="75"/>
      <c r="L766" s="75"/>
      <c r="M766" s="75"/>
      <c r="N766" s="75"/>
    </row>
    <row r="767">
      <c r="A767" s="75"/>
      <c r="B767" s="178"/>
      <c r="C767" s="75"/>
      <c r="D767" s="75"/>
      <c r="E767" s="75"/>
      <c r="F767" s="181"/>
      <c r="G767" s="75"/>
      <c r="H767" s="75"/>
      <c r="I767" s="75"/>
      <c r="J767" s="178"/>
      <c r="K767" s="75"/>
      <c r="L767" s="75"/>
      <c r="M767" s="75"/>
      <c r="N767" s="75"/>
    </row>
    <row r="768">
      <c r="A768" s="75"/>
      <c r="B768" s="178"/>
      <c r="C768" s="75"/>
      <c r="D768" s="75"/>
      <c r="E768" s="75"/>
      <c r="F768" s="181"/>
      <c r="G768" s="75"/>
      <c r="H768" s="75"/>
      <c r="I768" s="75"/>
      <c r="J768" s="178"/>
      <c r="K768" s="75"/>
      <c r="L768" s="75"/>
      <c r="M768" s="75"/>
      <c r="N768" s="75"/>
    </row>
    <row r="769">
      <c r="A769" s="75"/>
      <c r="B769" s="178"/>
      <c r="C769" s="75"/>
      <c r="D769" s="75"/>
      <c r="E769" s="75"/>
      <c r="F769" s="181"/>
      <c r="G769" s="75"/>
      <c r="H769" s="75"/>
      <c r="I769" s="75"/>
      <c r="J769" s="178"/>
      <c r="K769" s="75"/>
      <c r="L769" s="75"/>
      <c r="M769" s="75"/>
      <c r="N769" s="75"/>
    </row>
    <row r="770">
      <c r="A770" s="75"/>
      <c r="B770" s="178"/>
      <c r="C770" s="75"/>
      <c r="D770" s="75"/>
      <c r="E770" s="75"/>
      <c r="F770" s="181"/>
      <c r="G770" s="75"/>
      <c r="H770" s="75"/>
      <c r="I770" s="75"/>
      <c r="J770" s="178"/>
      <c r="K770" s="75"/>
      <c r="L770" s="75"/>
      <c r="M770" s="75"/>
      <c r="N770" s="75"/>
    </row>
    <row r="771">
      <c r="A771" s="75"/>
      <c r="B771" s="178"/>
      <c r="C771" s="75"/>
      <c r="D771" s="75"/>
      <c r="E771" s="75"/>
      <c r="F771" s="181"/>
      <c r="G771" s="75"/>
      <c r="H771" s="75"/>
      <c r="I771" s="75"/>
      <c r="J771" s="178"/>
      <c r="K771" s="75"/>
      <c r="L771" s="75"/>
      <c r="M771" s="75"/>
      <c r="N771" s="75"/>
    </row>
    <row r="772">
      <c r="A772" s="75"/>
      <c r="B772" s="178"/>
      <c r="C772" s="75"/>
      <c r="D772" s="75"/>
      <c r="E772" s="75"/>
      <c r="F772" s="181"/>
      <c r="G772" s="75"/>
      <c r="H772" s="75"/>
      <c r="I772" s="75"/>
      <c r="J772" s="178"/>
      <c r="K772" s="75"/>
      <c r="L772" s="75"/>
      <c r="M772" s="75"/>
      <c r="N772" s="75"/>
    </row>
    <row r="773">
      <c r="A773" s="75"/>
      <c r="B773" s="178"/>
      <c r="C773" s="75"/>
      <c r="D773" s="75"/>
      <c r="E773" s="75"/>
      <c r="F773" s="181"/>
      <c r="G773" s="75"/>
      <c r="H773" s="75"/>
      <c r="I773" s="75"/>
      <c r="J773" s="178"/>
      <c r="K773" s="75"/>
      <c r="L773" s="75"/>
      <c r="M773" s="75"/>
      <c r="N773" s="75"/>
    </row>
    <row r="774">
      <c r="A774" s="75"/>
      <c r="B774" s="178"/>
      <c r="C774" s="75"/>
      <c r="D774" s="75"/>
      <c r="E774" s="75"/>
      <c r="F774" s="181"/>
      <c r="G774" s="75"/>
      <c r="H774" s="75"/>
      <c r="I774" s="75"/>
      <c r="J774" s="178"/>
      <c r="K774" s="75"/>
      <c r="L774" s="75"/>
      <c r="M774" s="75"/>
      <c r="N774" s="75"/>
    </row>
    <row r="775">
      <c r="A775" s="75"/>
      <c r="B775" s="178"/>
      <c r="C775" s="75"/>
      <c r="D775" s="75"/>
      <c r="E775" s="75"/>
      <c r="F775" s="181"/>
      <c r="G775" s="75"/>
      <c r="H775" s="75"/>
      <c r="I775" s="75"/>
      <c r="J775" s="178"/>
      <c r="K775" s="75"/>
      <c r="L775" s="75"/>
      <c r="M775" s="75"/>
      <c r="N775" s="75"/>
    </row>
    <row r="776">
      <c r="A776" s="75"/>
      <c r="B776" s="178"/>
      <c r="C776" s="75"/>
      <c r="D776" s="75"/>
      <c r="E776" s="75"/>
      <c r="F776" s="181"/>
      <c r="G776" s="75"/>
      <c r="H776" s="75"/>
      <c r="I776" s="75"/>
      <c r="J776" s="178"/>
      <c r="K776" s="75"/>
      <c r="L776" s="75"/>
      <c r="M776" s="75"/>
      <c r="N776" s="75"/>
    </row>
    <row r="777">
      <c r="A777" s="75"/>
      <c r="B777" s="178"/>
      <c r="C777" s="75"/>
      <c r="D777" s="75"/>
      <c r="E777" s="75"/>
      <c r="F777" s="181"/>
      <c r="G777" s="75"/>
      <c r="H777" s="75"/>
      <c r="I777" s="75"/>
      <c r="J777" s="178"/>
      <c r="K777" s="75"/>
      <c r="L777" s="75"/>
      <c r="M777" s="75"/>
      <c r="N777" s="75"/>
    </row>
    <row r="778">
      <c r="A778" s="75"/>
      <c r="B778" s="178"/>
      <c r="C778" s="75"/>
      <c r="D778" s="75"/>
      <c r="E778" s="75"/>
      <c r="F778" s="181"/>
      <c r="G778" s="75"/>
      <c r="H778" s="75"/>
      <c r="I778" s="75"/>
      <c r="J778" s="178"/>
      <c r="K778" s="75"/>
      <c r="L778" s="75"/>
      <c r="M778" s="75"/>
      <c r="N778" s="75"/>
    </row>
    <row r="779">
      <c r="A779" s="75"/>
      <c r="B779" s="178"/>
      <c r="C779" s="75"/>
      <c r="D779" s="75"/>
      <c r="E779" s="75"/>
      <c r="F779" s="181"/>
      <c r="G779" s="75"/>
      <c r="H779" s="75"/>
      <c r="I779" s="75"/>
      <c r="J779" s="178"/>
      <c r="K779" s="75"/>
      <c r="L779" s="75"/>
      <c r="M779" s="75"/>
      <c r="N779" s="75"/>
    </row>
    <row r="780">
      <c r="A780" s="75"/>
      <c r="B780" s="178"/>
      <c r="C780" s="75"/>
      <c r="D780" s="75"/>
      <c r="E780" s="75"/>
      <c r="F780" s="181"/>
      <c r="G780" s="75"/>
      <c r="H780" s="75"/>
      <c r="I780" s="75"/>
      <c r="J780" s="178"/>
      <c r="K780" s="75"/>
      <c r="L780" s="75"/>
      <c r="M780" s="75"/>
      <c r="N780" s="75"/>
    </row>
    <row r="781">
      <c r="A781" s="75"/>
      <c r="B781" s="178"/>
      <c r="C781" s="75"/>
      <c r="D781" s="75"/>
      <c r="E781" s="75"/>
      <c r="F781" s="181"/>
      <c r="G781" s="75"/>
      <c r="H781" s="75"/>
      <c r="I781" s="75"/>
      <c r="J781" s="178"/>
      <c r="K781" s="75"/>
      <c r="L781" s="75"/>
      <c r="M781" s="75"/>
      <c r="N781" s="75"/>
    </row>
    <row r="782">
      <c r="A782" s="75"/>
      <c r="B782" s="178"/>
      <c r="C782" s="75"/>
      <c r="D782" s="75"/>
      <c r="E782" s="75"/>
      <c r="F782" s="181"/>
      <c r="G782" s="75"/>
      <c r="H782" s="75"/>
      <c r="I782" s="75"/>
      <c r="J782" s="178"/>
      <c r="K782" s="75"/>
      <c r="L782" s="75"/>
      <c r="M782" s="75"/>
      <c r="N782" s="75"/>
    </row>
    <row r="783">
      <c r="A783" s="75"/>
      <c r="B783" s="178"/>
      <c r="C783" s="75"/>
      <c r="D783" s="75"/>
      <c r="E783" s="75"/>
      <c r="F783" s="181"/>
      <c r="G783" s="75"/>
      <c r="H783" s="75"/>
      <c r="I783" s="75"/>
      <c r="J783" s="178"/>
      <c r="K783" s="75"/>
      <c r="L783" s="75"/>
      <c r="M783" s="75"/>
      <c r="N783" s="75"/>
    </row>
    <row r="784">
      <c r="A784" s="75"/>
      <c r="B784" s="178"/>
      <c r="C784" s="75"/>
      <c r="D784" s="75"/>
      <c r="E784" s="75"/>
      <c r="F784" s="181"/>
      <c r="G784" s="75"/>
      <c r="H784" s="75"/>
      <c r="I784" s="75"/>
      <c r="J784" s="178"/>
      <c r="K784" s="75"/>
      <c r="L784" s="75"/>
      <c r="M784" s="75"/>
      <c r="N784" s="75"/>
    </row>
    <row r="785">
      <c r="A785" s="75"/>
      <c r="B785" s="178"/>
      <c r="C785" s="75"/>
      <c r="D785" s="75"/>
      <c r="E785" s="75"/>
      <c r="F785" s="181"/>
      <c r="G785" s="75"/>
      <c r="H785" s="75"/>
      <c r="I785" s="75"/>
      <c r="J785" s="178"/>
      <c r="K785" s="75"/>
      <c r="L785" s="75"/>
      <c r="M785" s="75"/>
      <c r="N785" s="75"/>
    </row>
    <row r="786">
      <c r="A786" s="75"/>
      <c r="B786" s="178"/>
      <c r="C786" s="75"/>
      <c r="D786" s="75"/>
      <c r="E786" s="75"/>
      <c r="F786" s="181"/>
      <c r="G786" s="75"/>
      <c r="H786" s="75"/>
      <c r="I786" s="75"/>
      <c r="J786" s="178"/>
      <c r="K786" s="75"/>
      <c r="L786" s="75"/>
      <c r="M786" s="75"/>
      <c r="N786" s="75"/>
    </row>
    <row r="787">
      <c r="A787" s="75"/>
      <c r="B787" s="178"/>
      <c r="C787" s="75"/>
      <c r="D787" s="75"/>
      <c r="E787" s="75"/>
      <c r="F787" s="181"/>
      <c r="G787" s="75"/>
      <c r="H787" s="75"/>
      <c r="I787" s="75"/>
      <c r="J787" s="178"/>
      <c r="K787" s="75"/>
      <c r="L787" s="75"/>
      <c r="M787" s="75"/>
      <c r="N787" s="75"/>
    </row>
    <row r="788">
      <c r="A788" s="75"/>
      <c r="B788" s="178"/>
      <c r="C788" s="75"/>
      <c r="D788" s="75"/>
      <c r="E788" s="75"/>
      <c r="F788" s="181"/>
      <c r="G788" s="75"/>
      <c r="H788" s="75"/>
      <c r="I788" s="75"/>
      <c r="J788" s="178"/>
      <c r="K788" s="75"/>
      <c r="L788" s="75"/>
      <c r="M788" s="75"/>
      <c r="N788" s="75"/>
    </row>
    <row r="789">
      <c r="A789" s="75"/>
      <c r="B789" s="178"/>
      <c r="C789" s="75"/>
      <c r="D789" s="75"/>
      <c r="E789" s="75"/>
      <c r="F789" s="181"/>
      <c r="G789" s="75"/>
      <c r="H789" s="75"/>
      <c r="I789" s="75"/>
      <c r="J789" s="178"/>
      <c r="K789" s="75"/>
      <c r="L789" s="75"/>
      <c r="M789" s="75"/>
      <c r="N789" s="75"/>
    </row>
    <row r="790">
      <c r="A790" s="75"/>
      <c r="B790" s="178"/>
      <c r="C790" s="75"/>
      <c r="D790" s="75"/>
      <c r="E790" s="75"/>
      <c r="F790" s="181"/>
      <c r="G790" s="75"/>
      <c r="H790" s="75"/>
      <c r="I790" s="75"/>
      <c r="J790" s="178"/>
      <c r="K790" s="75"/>
      <c r="L790" s="75"/>
      <c r="M790" s="75"/>
      <c r="N790" s="75"/>
    </row>
    <row r="791">
      <c r="A791" s="75"/>
      <c r="B791" s="178"/>
      <c r="C791" s="75"/>
      <c r="D791" s="75"/>
      <c r="E791" s="75"/>
      <c r="F791" s="181"/>
      <c r="G791" s="75"/>
      <c r="H791" s="75"/>
      <c r="I791" s="75"/>
      <c r="J791" s="178"/>
      <c r="K791" s="75"/>
      <c r="L791" s="75"/>
      <c r="M791" s="75"/>
      <c r="N791" s="75"/>
    </row>
    <row r="792">
      <c r="A792" s="75"/>
      <c r="B792" s="178"/>
      <c r="C792" s="75"/>
      <c r="D792" s="75"/>
      <c r="E792" s="75"/>
      <c r="F792" s="181"/>
      <c r="G792" s="75"/>
      <c r="H792" s="75"/>
      <c r="I792" s="75"/>
      <c r="J792" s="178"/>
      <c r="K792" s="75"/>
      <c r="L792" s="75"/>
      <c r="M792" s="75"/>
      <c r="N792" s="75"/>
    </row>
    <row r="793">
      <c r="A793" s="75"/>
      <c r="B793" s="178"/>
      <c r="C793" s="75"/>
      <c r="D793" s="75"/>
      <c r="E793" s="75"/>
      <c r="F793" s="181"/>
      <c r="G793" s="75"/>
      <c r="H793" s="75"/>
      <c r="I793" s="75"/>
      <c r="J793" s="178"/>
      <c r="K793" s="75"/>
      <c r="L793" s="75"/>
      <c r="M793" s="75"/>
      <c r="N793" s="75"/>
    </row>
    <row r="794">
      <c r="A794" s="75"/>
      <c r="B794" s="178"/>
      <c r="C794" s="75"/>
      <c r="D794" s="75"/>
      <c r="E794" s="75"/>
      <c r="F794" s="181"/>
      <c r="G794" s="75"/>
      <c r="H794" s="75"/>
      <c r="I794" s="75"/>
      <c r="J794" s="178"/>
      <c r="K794" s="75"/>
      <c r="L794" s="75"/>
      <c r="M794" s="75"/>
      <c r="N794" s="75"/>
    </row>
    <row r="795">
      <c r="A795" s="75"/>
      <c r="B795" s="178"/>
      <c r="C795" s="75"/>
      <c r="D795" s="75"/>
      <c r="E795" s="75"/>
      <c r="F795" s="181"/>
      <c r="G795" s="75"/>
      <c r="H795" s="75"/>
      <c r="I795" s="75"/>
      <c r="J795" s="178"/>
      <c r="K795" s="75"/>
      <c r="L795" s="75"/>
      <c r="M795" s="75"/>
      <c r="N795" s="75"/>
    </row>
    <row r="796">
      <c r="A796" s="75"/>
      <c r="B796" s="178"/>
      <c r="C796" s="75"/>
      <c r="D796" s="75"/>
      <c r="E796" s="75"/>
      <c r="F796" s="181"/>
      <c r="G796" s="75"/>
      <c r="H796" s="75"/>
      <c r="I796" s="75"/>
      <c r="J796" s="178"/>
      <c r="K796" s="75"/>
      <c r="L796" s="75"/>
      <c r="M796" s="75"/>
      <c r="N796" s="75"/>
    </row>
    <row r="797">
      <c r="A797" s="75"/>
      <c r="B797" s="178"/>
      <c r="C797" s="75"/>
      <c r="D797" s="75"/>
      <c r="E797" s="75"/>
      <c r="F797" s="181"/>
      <c r="G797" s="75"/>
      <c r="H797" s="75"/>
      <c r="I797" s="75"/>
      <c r="J797" s="178"/>
      <c r="K797" s="75"/>
      <c r="L797" s="75"/>
      <c r="M797" s="75"/>
      <c r="N797" s="75"/>
    </row>
    <row r="798">
      <c r="A798" s="75"/>
      <c r="B798" s="178"/>
      <c r="C798" s="75"/>
      <c r="D798" s="75"/>
      <c r="E798" s="75"/>
      <c r="F798" s="181"/>
      <c r="G798" s="75"/>
      <c r="H798" s="75"/>
      <c r="I798" s="75"/>
      <c r="J798" s="178"/>
      <c r="K798" s="75"/>
      <c r="L798" s="75"/>
      <c r="M798" s="75"/>
      <c r="N798" s="75"/>
    </row>
    <row r="799">
      <c r="A799" s="75"/>
      <c r="B799" s="178"/>
      <c r="C799" s="75"/>
      <c r="D799" s="75"/>
      <c r="E799" s="75"/>
      <c r="F799" s="181"/>
      <c r="G799" s="75"/>
      <c r="H799" s="75"/>
      <c r="I799" s="75"/>
      <c r="J799" s="178"/>
      <c r="K799" s="75"/>
      <c r="L799" s="75"/>
      <c r="M799" s="75"/>
      <c r="N799" s="75"/>
    </row>
    <row r="800">
      <c r="A800" s="75"/>
      <c r="B800" s="178"/>
      <c r="C800" s="75"/>
      <c r="D800" s="75"/>
      <c r="E800" s="75"/>
      <c r="F800" s="181"/>
      <c r="G800" s="75"/>
      <c r="H800" s="75"/>
      <c r="I800" s="75"/>
      <c r="J800" s="178"/>
      <c r="K800" s="75"/>
      <c r="L800" s="75"/>
      <c r="M800" s="75"/>
      <c r="N800" s="75"/>
    </row>
    <row r="801">
      <c r="A801" s="75"/>
      <c r="B801" s="178"/>
      <c r="C801" s="75"/>
      <c r="D801" s="75"/>
      <c r="E801" s="75"/>
      <c r="F801" s="181"/>
      <c r="G801" s="75"/>
      <c r="H801" s="75"/>
      <c r="I801" s="75"/>
      <c r="J801" s="178"/>
      <c r="K801" s="75"/>
      <c r="L801" s="75"/>
      <c r="M801" s="75"/>
      <c r="N801" s="75"/>
    </row>
    <row r="802">
      <c r="A802" s="75"/>
      <c r="B802" s="178"/>
      <c r="C802" s="75"/>
      <c r="D802" s="75"/>
      <c r="E802" s="75"/>
      <c r="F802" s="181"/>
      <c r="G802" s="75"/>
      <c r="H802" s="75"/>
      <c r="I802" s="75"/>
      <c r="J802" s="178"/>
      <c r="K802" s="75"/>
      <c r="L802" s="75"/>
      <c r="M802" s="75"/>
      <c r="N802" s="75"/>
    </row>
    <row r="803">
      <c r="A803" s="75"/>
      <c r="B803" s="178"/>
      <c r="C803" s="75"/>
      <c r="D803" s="75"/>
      <c r="E803" s="75"/>
      <c r="F803" s="181"/>
      <c r="G803" s="75"/>
      <c r="H803" s="75"/>
      <c r="I803" s="75"/>
      <c r="J803" s="178"/>
      <c r="K803" s="75"/>
      <c r="L803" s="75"/>
      <c r="M803" s="75"/>
      <c r="N803" s="75"/>
    </row>
    <row r="804">
      <c r="A804" s="75"/>
      <c r="B804" s="178"/>
      <c r="C804" s="75"/>
      <c r="D804" s="75"/>
      <c r="E804" s="75"/>
      <c r="F804" s="181"/>
      <c r="G804" s="75"/>
      <c r="H804" s="75"/>
      <c r="I804" s="75"/>
      <c r="J804" s="178"/>
      <c r="K804" s="75"/>
      <c r="L804" s="75"/>
      <c r="M804" s="75"/>
      <c r="N804" s="75"/>
    </row>
    <row r="805">
      <c r="A805" s="75"/>
      <c r="B805" s="178"/>
      <c r="C805" s="75"/>
      <c r="D805" s="75"/>
      <c r="E805" s="75"/>
      <c r="F805" s="181"/>
      <c r="G805" s="75"/>
      <c r="H805" s="75"/>
      <c r="I805" s="75"/>
      <c r="J805" s="178"/>
      <c r="K805" s="75"/>
      <c r="L805" s="75"/>
      <c r="M805" s="75"/>
      <c r="N805" s="75"/>
    </row>
    <row r="806">
      <c r="A806" s="75"/>
      <c r="B806" s="178"/>
      <c r="C806" s="75"/>
      <c r="D806" s="75"/>
      <c r="E806" s="75"/>
      <c r="F806" s="181"/>
      <c r="G806" s="75"/>
      <c r="H806" s="75"/>
      <c r="I806" s="75"/>
      <c r="J806" s="178"/>
      <c r="K806" s="75"/>
      <c r="L806" s="75"/>
      <c r="M806" s="75"/>
      <c r="N806" s="75"/>
    </row>
    <row r="807">
      <c r="A807" s="75"/>
      <c r="B807" s="178"/>
      <c r="C807" s="75"/>
      <c r="D807" s="75"/>
      <c r="E807" s="75"/>
      <c r="F807" s="181"/>
      <c r="G807" s="75"/>
      <c r="H807" s="75"/>
      <c r="I807" s="75"/>
      <c r="J807" s="178"/>
      <c r="K807" s="75"/>
      <c r="L807" s="75"/>
      <c r="M807" s="75"/>
      <c r="N807" s="75"/>
    </row>
    <row r="808">
      <c r="A808" s="75"/>
      <c r="B808" s="178"/>
      <c r="C808" s="75"/>
      <c r="D808" s="75"/>
      <c r="E808" s="75"/>
      <c r="F808" s="181"/>
      <c r="G808" s="75"/>
      <c r="H808" s="75"/>
      <c r="I808" s="75"/>
      <c r="J808" s="178"/>
      <c r="K808" s="75"/>
      <c r="L808" s="75"/>
      <c r="M808" s="75"/>
      <c r="N808" s="75"/>
    </row>
    <row r="809">
      <c r="A809" s="75"/>
      <c r="B809" s="178"/>
      <c r="C809" s="75"/>
      <c r="D809" s="75"/>
      <c r="E809" s="75"/>
      <c r="F809" s="181"/>
      <c r="G809" s="75"/>
      <c r="H809" s="75"/>
      <c r="I809" s="75"/>
      <c r="J809" s="178"/>
      <c r="K809" s="75"/>
      <c r="L809" s="75"/>
      <c r="M809" s="75"/>
      <c r="N809" s="75"/>
    </row>
    <row r="810">
      <c r="A810" s="75"/>
      <c r="B810" s="178"/>
      <c r="C810" s="75"/>
      <c r="D810" s="75"/>
      <c r="E810" s="75"/>
      <c r="F810" s="181"/>
      <c r="G810" s="75"/>
      <c r="H810" s="75"/>
      <c r="I810" s="75"/>
      <c r="J810" s="178"/>
      <c r="K810" s="75"/>
      <c r="L810" s="75"/>
      <c r="M810" s="75"/>
      <c r="N810" s="75"/>
    </row>
    <row r="811">
      <c r="A811" s="75"/>
      <c r="B811" s="178"/>
      <c r="C811" s="75"/>
      <c r="D811" s="75"/>
      <c r="E811" s="75"/>
      <c r="F811" s="181"/>
      <c r="G811" s="75"/>
      <c r="H811" s="75"/>
      <c r="I811" s="75"/>
      <c r="J811" s="178"/>
      <c r="K811" s="75"/>
      <c r="L811" s="75"/>
      <c r="M811" s="75"/>
      <c r="N811" s="75"/>
    </row>
    <row r="812">
      <c r="A812" s="75"/>
      <c r="B812" s="178"/>
      <c r="C812" s="75"/>
      <c r="D812" s="75"/>
      <c r="E812" s="75"/>
      <c r="F812" s="181"/>
      <c r="G812" s="75"/>
      <c r="H812" s="75"/>
      <c r="I812" s="75"/>
      <c r="J812" s="178"/>
      <c r="K812" s="75"/>
      <c r="L812" s="75"/>
      <c r="M812" s="75"/>
      <c r="N812" s="75"/>
    </row>
    <row r="813">
      <c r="A813" s="75"/>
      <c r="B813" s="178"/>
      <c r="C813" s="75"/>
      <c r="D813" s="75"/>
      <c r="E813" s="75"/>
      <c r="F813" s="181"/>
      <c r="G813" s="75"/>
      <c r="H813" s="75"/>
      <c r="I813" s="75"/>
      <c r="J813" s="178"/>
      <c r="K813" s="75"/>
      <c r="L813" s="75"/>
      <c r="M813" s="75"/>
      <c r="N813" s="75"/>
    </row>
    <row r="814">
      <c r="A814" s="75"/>
      <c r="B814" s="178"/>
      <c r="C814" s="75"/>
      <c r="D814" s="75"/>
      <c r="E814" s="75"/>
      <c r="F814" s="181"/>
      <c r="G814" s="75"/>
      <c r="H814" s="75"/>
      <c r="I814" s="75"/>
      <c r="J814" s="178"/>
      <c r="K814" s="75"/>
      <c r="L814" s="75"/>
      <c r="M814" s="75"/>
      <c r="N814" s="75"/>
    </row>
    <row r="815">
      <c r="A815" s="75"/>
      <c r="B815" s="178"/>
      <c r="C815" s="75"/>
      <c r="D815" s="75"/>
      <c r="E815" s="75"/>
      <c r="F815" s="181"/>
      <c r="G815" s="75"/>
      <c r="H815" s="75"/>
      <c r="I815" s="75"/>
      <c r="J815" s="178"/>
      <c r="K815" s="75"/>
      <c r="L815" s="75"/>
      <c r="M815" s="75"/>
      <c r="N815" s="75"/>
    </row>
    <row r="816">
      <c r="A816" s="75"/>
      <c r="B816" s="178"/>
      <c r="C816" s="75"/>
      <c r="D816" s="75"/>
      <c r="E816" s="75"/>
      <c r="F816" s="181"/>
      <c r="G816" s="75"/>
      <c r="H816" s="75"/>
      <c r="I816" s="75"/>
      <c r="J816" s="178"/>
      <c r="K816" s="75"/>
      <c r="L816" s="75"/>
      <c r="M816" s="75"/>
      <c r="N816" s="75"/>
    </row>
    <row r="817">
      <c r="A817" s="75"/>
      <c r="B817" s="178"/>
      <c r="C817" s="75"/>
      <c r="D817" s="75"/>
      <c r="E817" s="75"/>
      <c r="F817" s="181"/>
      <c r="G817" s="75"/>
      <c r="H817" s="75"/>
      <c r="I817" s="75"/>
      <c r="J817" s="178"/>
      <c r="K817" s="75"/>
      <c r="L817" s="75"/>
      <c r="M817" s="75"/>
      <c r="N817" s="75"/>
    </row>
    <row r="818">
      <c r="A818" s="75"/>
      <c r="B818" s="178"/>
      <c r="C818" s="75"/>
      <c r="D818" s="75"/>
      <c r="E818" s="75"/>
      <c r="F818" s="181"/>
      <c r="G818" s="75"/>
      <c r="H818" s="75"/>
      <c r="I818" s="75"/>
      <c r="J818" s="178"/>
      <c r="K818" s="75"/>
      <c r="L818" s="75"/>
      <c r="M818" s="75"/>
      <c r="N818" s="75"/>
    </row>
    <row r="819">
      <c r="A819" s="75"/>
      <c r="B819" s="178"/>
      <c r="C819" s="75"/>
      <c r="D819" s="75"/>
      <c r="E819" s="75"/>
      <c r="F819" s="181"/>
      <c r="G819" s="75"/>
      <c r="H819" s="75"/>
      <c r="I819" s="75"/>
      <c r="J819" s="178"/>
      <c r="K819" s="75"/>
      <c r="L819" s="75"/>
      <c r="M819" s="75"/>
      <c r="N819" s="75"/>
    </row>
    <row r="820">
      <c r="A820" s="75"/>
      <c r="B820" s="178"/>
      <c r="C820" s="75"/>
      <c r="D820" s="75"/>
      <c r="E820" s="75"/>
      <c r="F820" s="181"/>
      <c r="G820" s="75"/>
      <c r="H820" s="75"/>
      <c r="I820" s="75"/>
      <c r="J820" s="178"/>
      <c r="K820" s="75"/>
      <c r="L820" s="75"/>
      <c r="M820" s="75"/>
      <c r="N820" s="75"/>
    </row>
    <row r="821">
      <c r="A821" s="75"/>
      <c r="B821" s="178"/>
      <c r="C821" s="75"/>
      <c r="D821" s="75"/>
      <c r="E821" s="75"/>
      <c r="F821" s="181"/>
      <c r="G821" s="75"/>
      <c r="H821" s="75"/>
      <c r="I821" s="75"/>
      <c r="J821" s="178"/>
      <c r="K821" s="75"/>
      <c r="L821" s="75"/>
      <c r="M821" s="75"/>
      <c r="N821" s="75"/>
    </row>
    <row r="822">
      <c r="A822" s="75"/>
      <c r="B822" s="178"/>
      <c r="C822" s="75"/>
      <c r="D822" s="75"/>
      <c r="E822" s="75"/>
      <c r="F822" s="181"/>
      <c r="G822" s="75"/>
      <c r="H822" s="75"/>
      <c r="I822" s="75"/>
      <c r="J822" s="178"/>
      <c r="K822" s="75"/>
      <c r="L822" s="75"/>
      <c r="M822" s="75"/>
      <c r="N822" s="75"/>
    </row>
    <row r="823">
      <c r="A823" s="75"/>
      <c r="B823" s="178"/>
      <c r="C823" s="75"/>
      <c r="D823" s="75"/>
      <c r="E823" s="75"/>
      <c r="F823" s="181"/>
      <c r="G823" s="75"/>
      <c r="H823" s="75"/>
      <c r="I823" s="75"/>
      <c r="J823" s="178"/>
      <c r="K823" s="75"/>
      <c r="L823" s="75"/>
      <c r="M823" s="75"/>
      <c r="N823" s="75"/>
    </row>
    <row r="824">
      <c r="A824" s="75"/>
      <c r="B824" s="178"/>
      <c r="C824" s="75"/>
      <c r="D824" s="75"/>
      <c r="E824" s="75"/>
      <c r="F824" s="181"/>
      <c r="G824" s="75"/>
      <c r="H824" s="75"/>
      <c r="I824" s="75"/>
      <c r="J824" s="178"/>
      <c r="K824" s="75"/>
      <c r="L824" s="75"/>
      <c r="M824" s="75"/>
      <c r="N824" s="75"/>
    </row>
    <row r="825">
      <c r="A825" s="75"/>
      <c r="B825" s="178"/>
      <c r="C825" s="75"/>
      <c r="D825" s="75"/>
      <c r="E825" s="75"/>
      <c r="F825" s="181"/>
      <c r="G825" s="75"/>
      <c r="H825" s="75"/>
      <c r="I825" s="75"/>
      <c r="J825" s="178"/>
      <c r="K825" s="75"/>
      <c r="L825" s="75"/>
      <c r="M825" s="75"/>
      <c r="N825" s="75"/>
    </row>
    <row r="826">
      <c r="A826" s="75"/>
      <c r="B826" s="178"/>
      <c r="C826" s="75"/>
      <c r="D826" s="75"/>
      <c r="E826" s="75"/>
      <c r="F826" s="181"/>
      <c r="G826" s="75"/>
      <c r="H826" s="75"/>
      <c r="I826" s="75"/>
      <c r="J826" s="178"/>
      <c r="K826" s="75"/>
      <c r="L826" s="75"/>
      <c r="M826" s="75"/>
      <c r="N826" s="75"/>
    </row>
    <row r="827">
      <c r="A827" s="75"/>
      <c r="B827" s="178"/>
      <c r="C827" s="75"/>
      <c r="D827" s="75"/>
      <c r="E827" s="75"/>
      <c r="F827" s="181"/>
      <c r="G827" s="75"/>
      <c r="H827" s="75"/>
      <c r="I827" s="75"/>
      <c r="J827" s="178"/>
      <c r="K827" s="75"/>
      <c r="L827" s="75"/>
      <c r="M827" s="75"/>
      <c r="N827" s="75"/>
    </row>
    <row r="828">
      <c r="A828" s="75"/>
      <c r="B828" s="178"/>
      <c r="C828" s="75"/>
      <c r="D828" s="75"/>
      <c r="E828" s="75"/>
      <c r="F828" s="181"/>
      <c r="G828" s="75"/>
      <c r="H828" s="75"/>
      <c r="I828" s="75"/>
      <c r="J828" s="178"/>
      <c r="K828" s="75"/>
      <c r="L828" s="75"/>
      <c r="M828" s="75"/>
      <c r="N828" s="75"/>
    </row>
    <row r="829">
      <c r="A829" s="75"/>
      <c r="B829" s="178"/>
      <c r="C829" s="75"/>
      <c r="D829" s="75"/>
      <c r="E829" s="75"/>
      <c r="F829" s="181"/>
      <c r="G829" s="75"/>
      <c r="H829" s="75"/>
      <c r="I829" s="75"/>
      <c r="J829" s="178"/>
      <c r="K829" s="75"/>
      <c r="L829" s="75"/>
      <c r="M829" s="75"/>
      <c r="N829" s="75"/>
    </row>
    <row r="830">
      <c r="A830" s="75"/>
      <c r="B830" s="178"/>
      <c r="C830" s="75"/>
      <c r="D830" s="75"/>
      <c r="E830" s="75"/>
      <c r="F830" s="181"/>
      <c r="G830" s="75"/>
      <c r="H830" s="75"/>
      <c r="I830" s="75"/>
      <c r="J830" s="178"/>
      <c r="K830" s="75"/>
      <c r="L830" s="75"/>
      <c r="M830" s="75"/>
      <c r="N830" s="75"/>
    </row>
    <row r="831">
      <c r="A831" s="75"/>
      <c r="B831" s="178"/>
      <c r="C831" s="75"/>
      <c r="D831" s="75"/>
      <c r="E831" s="75"/>
      <c r="F831" s="181"/>
      <c r="G831" s="75"/>
      <c r="H831" s="75"/>
      <c r="I831" s="75"/>
      <c r="J831" s="178"/>
      <c r="K831" s="75"/>
      <c r="L831" s="75"/>
      <c r="M831" s="75"/>
      <c r="N831" s="75"/>
    </row>
    <row r="832">
      <c r="A832" s="75"/>
      <c r="B832" s="178"/>
      <c r="C832" s="75"/>
      <c r="D832" s="75"/>
      <c r="E832" s="75"/>
      <c r="F832" s="181"/>
      <c r="G832" s="75"/>
      <c r="H832" s="75"/>
      <c r="I832" s="75"/>
      <c r="J832" s="178"/>
      <c r="K832" s="75"/>
      <c r="L832" s="75"/>
      <c r="M832" s="75"/>
      <c r="N832" s="75"/>
    </row>
    <row r="833">
      <c r="A833" s="75"/>
      <c r="B833" s="178"/>
      <c r="C833" s="75"/>
      <c r="D833" s="75"/>
      <c r="E833" s="75"/>
      <c r="F833" s="181"/>
      <c r="G833" s="75"/>
      <c r="H833" s="75"/>
      <c r="I833" s="75"/>
      <c r="J833" s="178"/>
      <c r="K833" s="75"/>
      <c r="L833" s="75"/>
      <c r="M833" s="75"/>
      <c r="N833" s="75"/>
    </row>
    <row r="834">
      <c r="A834" s="75"/>
      <c r="B834" s="178"/>
      <c r="C834" s="75"/>
      <c r="D834" s="75"/>
      <c r="E834" s="75"/>
      <c r="F834" s="181"/>
      <c r="G834" s="75"/>
      <c r="H834" s="75"/>
      <c r="I834" s="75"/>
      <c r="J834" s="178"/>
      <c r="K834" s="75"/>
      <c r="L834" s="75"/>
      <c r="M834" s="75"/>
      <c r="N834" s="75"/>
    </row>
    <row r="835">
      <c r="A835" s="75"/>
      <c r="B835" s="178"/>
      <c r="C835" s="75"/>
      <c r="D835" s="75"/>
      <c r="E835" s="75"/>
      <c r="F835" s="181"/>
      <c r="G835" s="75"/>
      <c r="H835" s="75"/>
      <c r="I835" s="75"/>
      <c r="J835" s="178"/>
      <c r="K835" s="75"/>
      <c r="L835" s="75"/>
      <c r="M835" s="75"/>
      <c r="N835" s="75"/>
    </row>
    <row r="836">
      <c r="A836" s="75"/>
      <c r="B836" s="178"/>
      <c r="C836" s="75"/>
      <c r="D836" s="75"/>
      <c r="E836" s="75"/>
      <c r="F836" s="181"/>
      <c r="G836" s="75"/>
      <c r="H836" s="75"/>
      <c r="I836" s="75"/>
      <c r="J836" s="178"/>
      <c r="K836" s="75"/>
      <c r="L836" s="75"/>
      <c r="M836" s="75"/>
      <c r="N836" s="75"/>
    </row>
    <row r="837">
      <c r="A837" s="75"/>
      <c r="B837" s="178"/>
      <c r="C837" s="75"/>
      <c r="D837" s="75"/>
      <c r="E837" s="75"/>
      <c r="F837" s="181"/>
      <c r="G837" s="75"/>
      <c r="H837" s="75"/>
      <c r="I837" s="75"/>
      <c r="J837" s="178"/>
      <c r="K837" s="75"/>
      <c r="L837" s="75"/>
      <c r="M837" s="75"/>
      <c r="N837" s="75"/>
    </row>
    <row r="838">
      <c r="A838" s="75"/>
      <c r="B838" s="178"/>
      <c r="C838" s="75"/>
      <c r="D838" s="75"/>
      <c r="E838" s="75"/>
      <c r="F838" s="181"/>
      <c r="G838" s="75"/>
      <c r="H838" s="75"/>
      <c r="I838" s="75"/>
      <c r="J838" s="178"/>
      <c r="K838" s="75"/>
      <c r="L838" s="75"/>
      <c r="M838" s="75"/>
      <c r="N838" s="75"/>
    </row>
    <row r="839">
      <c r="A839" s="75"/>
      <c r="B839" s="178"/>
      <c r="C839" s="75"/>
      <c r="D839" s="75"/>
      <c r="E839" s="75"/>
      <c r="F839" s="181"/>
      <c r="G839" s="75"/>
      <c r="H839" s="75"/>
      <c r="I839" s="75"/>
      <c r="J839" s="178"/>
      <c r="K839" s="75"/>
      <c r="L839" s="75"/>
      <c r="M839" s="75"/>
      <c r="N839" s="75"/>
    </row>
    <row r="840">
      <c r="A840" s="75"/>
      <c r="B840" s="178"/>
      <c r="C840" s="75"/>
      <c r="D840" s="75"/>
      <c r="E840" s="75"/>
      <c r="F840" s="181"/>
      <c r="G840" s="75"/>
      <c r="H840" s="75"/>
      <c r="I840" s="75"/>
      <c r="J840" s="178"/>
      <c r="K840" s="75"/>
      <c r="L840" s="75"/>
      <c r="M840" s="75"/>
      <c r="N840" s="75"/>
    </row>
    <row r="841">
      <c r="A841" s="75"/>
      <c r="B841" s="178"/>
      <c r="C841" s="75"/>
      <c r="D841" s="75"/>
      <c r="E841" s="75"/>
      <c r="F841" s="181"/>
      <c r="G841" s="75"/>
      <c r="H841" s="75"/>
      <c r="I841" s="75"/>
      <c r="J841" s="178"/>
      <c r="K841" s="75"/>
      <c r="L841" s="75"/>
      <c r="M841" s="75"/>
      <c r="N841" s="75"/>
    </row>
    <row r="842">
      <c r="A842" s="75"/>
      <c r="B842" s="178"/>
      <c r="C842" s="75"/>
      <c r="D842" s="75"/>
      <c r="E842" s="75"/>
      <c r="F842" s="181"/>
      <c r="G842" s="75"/>
      <c r="H842" s="75"/>
      <c r="I842" s="75"/>
      <c r="J842" s="178"/>
      <c r="K842" s="75"/>
      <c r="L842" s="75"/>
      <c r="M842" s="75"/>
      <c r="N842" s="75"/>
    </row>
    <row r="843">
      <c r="A843" s="75"/>
      <c r="B843" s="178"/>
      <c r="C843" s="75"/>
      <c r="D843" s="75"/>
      <c r="E843" s="75"/>
      <c r="F843" s="181"/>
      <c r="G843" s="75"/>
      <c r="H843" s="75"/>
      <c r="I843" s="75"/>
      <c r="J843" s="178"/>
      <c r="K843" s="75"/>
      <c r="L843" s="75"/>
      <c r="M843" s="75"/>
      <c r="N843" s="75"/>
    </row>
    <row r="844">
      <c r="A844" s="75"/>
      <c r="B844" s="178"/>
      <c r="C844" s="75"/>
      <c r="D844" s="75"/>
      <c r="E844" s="75"/>
      <c r="F844" s="181"/>
      <c r="G844" s="75"/>
      <c r="H844" s="75"/>
      <c r="I844" s="75"/>
      <c r="J844" s="178"/>
      <c r="K844" s="75"/>
      <c r="L844" s="75"/>
      <c r="M844" s="75"/>
      <c r="N844" s="75"/>
    </row>
    <row r="845">
      <c r="A845" s="75"/>
      <c r="B845" s="178"/>
      <c r="C845" s="75"/>
      <c r="D845" s="75"/>
      <c r="E845" s="75"/>
      <c r="F845" s="181"/>
      <c r="G845" s="75"/>
      <c r="H845" s="75"/>
      <c r="I845" s="75"/>
      <c r="J845" s="178"/>
      <c r="K845" s="75"/>
      <c r="L845" s="75"/>
      <c r="M845" s="75"/>
      <c r="N845" s="75"/>
    </row>
    <row r="846">
      <c r="A846" s="75"/>
      <c r="B846" s="178"/>
      <c r="C846" s="75"/>
      <c r="D846" s="75"/>
      <c r="E846" s="75"/>
      <c r="F846" s="181"/>
      <c r="G846" s="75"/>
      <c r="H846" s="75"/>
      <c r="I846" s="75"/>
      <c r="J846" s="178"/>
      <c r="K846" s="75"/>
      <c r="L846" s="75"/>
      <c r="M846" s="75"/>
      <c r="N846" s="75"/>
    </row>
    <row r="847">
      <c r="A847" s="75"/>
      <c r="B847" s="178"/>
      <c r="C847" s="75"/>
      <c r="D847" s="75"/>
      <c r="E847" s="75"/>
      <c r="F847" s="181"/>
      <c r="G847" s="75"/>
      <c r="H847" s="75"/>
      <c r="I847" s="75"/>
      <c r="J847" s="178"/>
      <c r="K847" s="75"/>
      <c r="L847" s="75"/>
      <c r="M847" s="75"/>
      <c r="N847" s="75"/>
    </row>
    <row r="848">
      <c r="A848" s="75"/>
      <c r="B848" s="178"/>
      <c r="C848" s="75"/>
      <c r="D848" s="75"/>
      <c r="E848" s="75"/>
      <c r="F848" s="181"/>
      <c r="G848" s="75"/>
      <c r="H848" s="75"/>
      <c r="I848" s="75"/>
      <c r="J848" s="178"/>
      <c r="K848" s="75"/>
      <c r="L848" s="75"/>
      <c r="M848" s="75"/>
      <c r="N848" s="75"/>
    </row>
    <row r="849">
      <c r="A849" s="75"/>
      <c r="B849" s="178"/>
      <c r="C849" s="75"/>
      <c r="D849" s="75"/>
      <c r="E849" s="75"/>
      <c r="F849" s="181"/>
      <c r="G849" s="75"/>
      <c r="H849" s="75"/>
      <c r="I849" s="75"/>
      <c r="J849" s="178"/>
      <c r="K849" s="75"/>
      <c r="L849" s="75"/>
      <c r="M849" s="75"/>
      <c r="N849" s="75"/>
    </row>
    <row r="850">
      <c r="A850" s="75"/>
      <c r="B850" s="178"/>
      <c r="C850" s="75"/>
      <c r="D850" s="75"/>
      <c r="E850" s="75"/>
      <c r="F850" s="181"/>
      <c r="G850" s="75"/>
      <c r="H850" s="75"/>
      <c r="I850" s="75"/>
      <c r="J850" s="178"/>
      <c r="K850" s="75"/>
      <c r="L850" s="75"/>
      <c r="M850" s="75"/>
      <c r="N850" s="75"/>
    </row>
    <row r="851">
      <c r="A851" s="75"/>
      <c r="B851" s="178"/>
      <c r="C851" s="75"/>
      <c r="D851" s="75"/>
      <c r="E851" s="75"/>
      <c r="F851" s="181"/>
      <c r="G851" s="75"/>
      <c r="H851" s="75"/>
      <c r="I851" s="75"/>
      <c r="J851" s="178"/>
      <c r="K851" s="75"/>
      <c r="L851" s="75"/>
      <c r="M851" s="75"/>
      <c r="N851" s="75"/>
    </row>
    <row r="852">
      <c r="A852" s="75"/>
      <c r="B852" s="178"/>
      <c r="C852" s="75"/>
      <c r="D852" s="75"/>
      <c r="E852" s="75"/>
      <c r="F852" s="181"/>
      <c r="G852" s="75"/>
      <c r="H852" s="75"/>
      <c r="I852" s="75"/>
      <c r="J852" s="178"/>
      <c r="K852" s="75"/>
      <c r="L852" s="75"/>
      <c r="M852" s="75"/>
      <c r="N852" s="75"/>
    </row>
    <row r="853">
      <c r="A853" s="75"/>
      <c r="B853" s="178"/>
      <c r="C853" s="75"/>
      <c r="D853" s="75"/>
      <c r="E853" s="75"/>
      <c r="F853" s="181"/>
      <c r="G853" s="75"/>
      <c r="H853" s="75"/>
      <c r="I853" s="75"/>
      <c r="J853" s="178"/>
      <c r="K853" s="75"/>
      <c r="L853" s="75"/>
      <c r="M853" s="75"/>
      <c r="N853" s="75"/>
    </row>
    <row r="854">
      <c r="A854" s="75"/>
      <c r="B854" s="178"/>
      <c r="C854" s="75"/>
      <c r="D854" s="75"/>
      <c r="E854" s="75"/>
      <c r="F854" s="181"/>
      <c r="G854" s="75"/>
      <c r="H854" s="75"/>
      <c r="I854" s="75"/>
      <c r="J854" s="178"/>
      <c r="K854" s="75"/>
      <c r="L854" s="75"/>
      <c r="M854" s="75"/>
      <c r="N854" s="75"/>
    </row>
    <row r="855">
      <c r="A855" s="75"/>
      <c r="B855" s="178"/>
      <c r="C855" s="75"/>
      <c r="D855" s="75"/>
      <c r="E855" s="75"/>
      <c r="F855" s="181"/>
      <c r="G855" s="75"/>
      <c r="H855" s="75"/>
      <c r="I855" s="75"/>
      <c r="J855" s="178"/>
      <c r="K855" s="75"/>
      <c r="L855" s="75"/>
      <c r="M855" s="75"/>
      <c r="N855" s="75"/>
    </row>
    <row r="856">
      <c r="A856" s="75"/>
      <c r="B856" s="178"/>
      <c r="C856" s="75"/>
      <c r="D856" s="75"/>
      <c r="E856" s="75"/>
      <c r="F856" s="181"/>
      <c r="G856" s="75"/>
      <c r="H856" s="75"/>
      <c r="I856" s="75"/>
      <c r="J856" s="178"/>
      <c r="K856" s="75"/>
      <c r="L856" s="75"/>
      <c r="M856" s="75"/>
      <c r="N856" s="75"/>
    </row>
    <row r="857">
      <c r="A857" s="75"/>
      <c r="B857" s="178"/>
      <c r="C857" s="75"/>
      <c r="D857" s="75"/>
      <c r="E857" s="75"/>
      <c r="F857" s="181"/>
      <c r="G857" s="75"/>
      <c r="H857" s="75"/>
      <c r="I857" s="75"/>
      <c r="J857" s="178"/>
      <c r="K857" s="75"/>
      <c r="L857" s="75"/>
      <c r="M857" s="75"/>
      <c r="N857" s="75"/>
    </row>
    <row r="858">
      <c r="A858" s="75"/>
      <c r="B858" s="178"/>
      <c r="C858" s="75"/>
      <c r="D858" s="75"/>
      <c r="E858" s="75"/>
      <c r="F858" s="181"/>
      <c r="G858" s="75"/>
      <c r="H858" s="75"/>
      <c r="I858" s="75"/>
      <c r="J858" s="178"/>
      <c r="K858" s="75"/>
      <c r="L858" s="75"/>
      <c r="M858" s="75"/>
      <c r="N858" s="75"/>
    </row>
    <row r="859">
      <c r="A859" s="75"/>
      <c r="B859" s="178"/>
      <c r="C859" s="75"/>
      <c r="D859" s="75"/>
      <c r="E859" s="75"/>
      <c r="F859" s="181"/>
      <c r="G859" s="75"/>
      <c r="H859" s="75"/>
      <c r="I859" s="75"/>
      <c r="J859" s="178"/>
      <c r="K859" s="75"/>
      <c r="L859" s="75"/>
      <c r="M859" s="75"/>
      <c r="N859" s="75"/>
    </row>
    <row r="860">
      <c r="A860" s="75"/>
      <c r="B860" s="178"/>
      <c r="C860" s="75"/>
      <c r="D860" s="75"/>
      <c r="E860" s="75"/>
      <c r="F860" s="181"/>
      <c r="G860" s="75"/>
      <c r="H860" s="75"/>
      <c r="I860" s="75"/>
      <c r="J860" s="178"/>
      <c r="K860" s="75"/>
      <c r="L860" s="75"/>
      <c r="M860" s="75"/>
      <c r="N860" s="75"/>
    </row>
    <row r="861">
      <c r="A861" s="75"/>
      <c r="B861" s="178"/>
      <c r="C861" s="75"/>
      <c r="D861" s="75"/>
      <c r="E861" s="75"/>
      <c r="F861" s="181"/>
      <c r="G861" s="75"/>
      <c r="H861" s="75"/>
      <c r="I861" s="75"/>
      <c r="J861" s="178"/>
      <c r="K861" s="75"/>
      <c r="L861" s="75"/>
      <c r="M861" s="75"/>
      <c r="N861" s="75"/>
    </row>
    <row r="862">
      <c r="A862" s="75"/>
      <c r="B862" s="178"/>
      <c r="C862" s="75"/>
      <c r="D862" s="75"/>
      <c r="E862" s="75"/>
      <c r="F862" s="181"/>
      <c r="G862" s="75"/>
      <c r="H862" s="75"/>
      <c r="I862" s="75"/>
      <c r="J862" s="178"/>
      <c r="K862" s="75"/>
      <c r="L862" s="75"/>
      <c r="M862" s="75"/>
      <c r="N862" s="75"/>
    </row>
    <row r="863">
      <c r="A863" s="75"/>
      <c r="B863" s="178"/>
      <c r="C863" s="75"/>
      <c r="D863" s="75"/>
      <c r="E863" s="75"/>
      <c r="F863" s="181"/>
      <c r="G863" s="75"/>
      <c r="H863" s="75"/>
      <c r="I863" s="75"/>
      <c r="J863" s="178"/>
      <c r="K863" s="75"/>
      <c r="L863" s="75"/>
      <c r="M863" s="75"/>
      <c r="N863" s="75"/>
    </row>
    <row r="864">
      <c r="A864" s="75"/>
      <c r="B864" s="178"/>
      <c r="C864" s="75"/>
      <c r="D864" s="75"/>
      <c r="E864" s="75"/>
      <c r="F864" s="181"/>
      <c r="G864" s="75"/>
      <c r="H864" s="75"/>
      <c r="I864" s="75"/>
      <c r="J864" s="178"/>
      <c r="K864" s="75"/>
      <c r="L864" s="75"/>
      <c r="M864" s="75"/>
      <c r="N864" s="75"/>
    </row>
    <row r="865">
      <c r="A865" s="75"/>
      <c r="B865" s="178"/>
      <c r="C865" s="75"/>
      <c r="D865" s="75"/>
      <c r="E865" s="75"/>
      <c r="F865" s="181"/>
      <c r="G865" s="75"/>
      <c r="H865" s="75"/>
      <c r="I865" s="75"/>
      <c r="J865" s="178"/>
      <c r="K865" s="75"/>
      <c r="L865" s="75"/>
      <c r="M865" s="75"/>
      <c r="N865" s="75"/>
    </row>
    <row r="866">
      <c r="A866" s="75"/>
      <c r="B866" s="178"/>
      <c r="C866" s="75"/>
      <c r="D866" s="75"/>
      <c r="E866" s="75"/>
      <c r="F866" s="181"/>
      <c r="G866" s="75"/>
      <c r="H866" s="75"/>
      <c r="I866" s="75"/>
      <c r="J866" s="178"/>
      <c r="K866" s="75"/>
      <c r="L866" s="75"/>
      <c r="M866" s="75"/>
      <c r="N866" s="75"/>
    </row>
    <row r="867">
      <c r="A867" s="75"/>
      <c r="B867" s="178"/>
      <c r="C867" s="75"/>
      <c r="D867" s="75"/>
      <c r="E867" s="75"/>
      <c r="F867" s="181"/>
      <c r="G867" s="75"/>
      <c r="H867" s="75"/>
      <c r="I867" s="75"/>
      <c r="J867" s="178"/>
      <c r="K867" s="75"/>
      <c r="L867" s="75"/>
      <c r="M867" s="75"/>
      <c r="N867" s="75"/>
    </row>
    <row r="868">
      <c r="A868" s="75"/>
      <c r="B868" s="178"/>
      <c r="C868" s="75"/>
      <c r="D868" s="75"/>
      <c r="E868" s="75"/>
      <c r="F868" s="181"/>
      <c r="G868" s="75"/>
      <c r="H868" s="75"/>
      <c r="I868" s="75"/>
      <c r="J868" s="178"/>
      <c r="K868" s="75"/>
      <c r="L868" s="75"/>
      <c r="M868" s="75"/>
      <c r="N868" s="75"/>
    </row>
    <row r="869">
      <c r="A869" s="75"/>
      <c r="B869" s="178"/>
      <c r="C869" s="75"/>
      <c r="D869" s="75"/>
      <c r="E869" s="75"/>
      <c r="F869" s="181"/>
      <c r="G869" s="75"/>
      <c r="H869" s="75"/>
      <c r="I869" s="75"/>
      <c r="J869" s="178"/>
      <c r="K869" s="75"/>
      <c r="L869" s="75"/>
      <c r="M869" s="75"/>
      <c r="N869" s="75"/>
    </row>
    <row r="870">
      <c r="A870" s="75"/>
      <c r="B870" s="178"/>
      <c r="C870" s="75"/>
      <c r="D870" s="75"/>
      <c r="E870" s="75"/>
      <c r="F870" s="181"/>
      <c r="G870" s="75"/>
      <c r="H870" s="75"/>
      <c r="I870" s="75"/>
      <c r="J870" s="178"/>
      <c r="K870" s="75"/>
      <c r="L870" s="75"/>
      <c r="M870" s="75"/>
      <c r="N870" s="75"/>
    </row>
    <row r="871">
      <c r="A871" s="75"/>
      <c r="B871" s="178"/>
      <c r="C871" s="75"/>
      <c r="D871" s="75"/>
      <c r="E871" s="75"/>
      <c r="F871" s="181"/>
      <c r="G871" s="75"/>
      <c r="H871" s="75"/>
      <c r="I871" s="75"/>
      <c r="J871" s="178"/>
      <c r="K871" s="75"/>
      <c r="L871" s="75"/>
      <c r="M871" s="75"/>
      <c r="N871" s="75"/>
    </row>
    <row r="872">
      <c r="A872" s="75"/>
      <c r="B872" s="178"/>
      <c r="C872" s="75"/>
      <c r="D872" s="75"/>
      <c r="E872" s="75"/>
      <c r="F872" s="181"/>
      <c r="G872" s="75"/>
      <c r="H872" s="75"/>
      <c r="I872" s="75"/>
      <c r="J872" s="178"/>
      <c r="K872" s="75"/>
      <c r="L872" s="75"/>
      <c r="M872" s="75"/>
      <c r="N872" s="75"/>
    </row>
    <row r="873">
      <c r="A873" s="75"/>
      <c r="B873" s="178"/>
      <c r="C873" s="75"/>
      <c r="D873" s="75"/>
      <c r="E873" s="75"/>
      <c r="F873" s="181"/>
      <c r="G873" s="75"/>
      <c r="H873" s="75"/>
      <c r="I873" s="75"/>
      <c r="J873" s="178"/>
      <c r="K873" s="75"/>
      <c r="L873" s="75"/>
      <c r="M873" s="75"/>
      <c r="N873" s="75"/>
    </row>
    <row r="874">
      <c r="A874" s="75"/>
      <c r="B874" s="178"/>
      <c r="C874" s="75"/>
      <c r="D874" s="75"/>
      <c r="E874" s="75"/>
      <c r="F874" s="181"/>
      <c r="G874" s="75"/>
      <c r="H874" s="75"/>
      <c r="I874" s="75"/>
      <c r="J874" s="178"/>
      <c r="K874" s="75"/>
      <c r="L874" s="75"/>
      <c r="M874" s="75"/>
      <c r="N874" s="75"/>
    </row>
    <row r="875">
      <c r="A875" s="75"/>
      <c r="B875" s="178"/>
      <c r="C875" s="75"/>
      <c r="D875" s="75"/>
      <c r="E875" s="75"/>
      <c r="F875" s="181"/>
      <c r="G875" s="75"/>
      <c r="H875" s="75"/>
      <c r="I875" s="75"/>
      <c r="J875" s="178"/>
      <c r="K875" s="75"/>
      <c r="L875" s="75"/>
      <c r="M875" s="75"/>
      <c r="N875" s="75"/>
    </row>
    <row r="876">
      <c r="A876" s="75"/>
      <c r="B876" s="178"/>
      <c r="C876" s="75"/>
      <c r="D876" s="75"/>
      <c r="E876" s="75"/>
      <c r="F876" s="181"/>
      <c r="G876" s="75"/>
      <c r="H876" s="75"/>
      <c r="I876" s="75"/>
      <c r="J876" s="178"/>
      <c r="K876" s="75"/>
      <c r="L876" s="75"/>
      <c r="M876" s="75"/>
      <c r="N876" s="75"/>
    </row>
    <row r="877">
      <c r="A877" s="75"/>
      <c r="B877" s="178"/>
      <c r="C877" s="75"/>
      <c r="D877" s="75"/>
      <c r="E877" s="75"/>
      <c r="F877" s="181"/>
      <c r="G877" s="75"/>
      <c r="H877" s="75"/>
      <c r="I877" s="75"/>
      <c r="J877" s="178"/>
      <c r="K877" s="75"/>
      <c r="L877" s="75"/>
      <c r="M877" s="75"/>
      <c r="N877" s="75"/>
    </row>
    <row r="878">
      <c r="A878" s="75"/>
      <c r="B878" s="178"/>
      <c r="C878" s="75"/>
      <c r="D878" s="75"/>
      <c r="E878" s="75"/>
      <c r="F878" s="181"/>
      <c r="G878" s="75"/>
      <c r="H878" s="75"/>
      <c r="I878" s="75"/>
      <c r="J878" s="178"/>
      <c r="K878" s="75"/>
      <c r="L878" s="75"/>
      <c r="M878" s="75"/>
      <c r="N878" s="75"/>
    </row>
    <row r="879">
      <c r="A879" s="75"/>
      <c r="B879" s="178"/>
      <c r="C879" s="75"/>
      <c r="D879" s="75"/>
      <c r="E879" s="75"/>
      <c r="F879" s="181"/>
      <c r="G879" s="75"/>
      <c r="H879" s="75"/>
      <c r="I879" s="75"/>
      <c r="J879" s="178"/>
      <c r="K879" s="75"/>
      <c r="L879" s="75"/>
      <c r="M879" s="75"/>
      <c r="N879" s="75"/>
    </row>
    <row r="880">
      <c r="A880" s="75"/>
      <c r="B880" s="178"/>
      <c r="C880" s="75"/>
      <c r="D880" s="75"/>
      <c r="E880" s="75"/>
      <c r="F880" s="181"/>
      <c r="G880" s="75"/>
      <c r="H880" s="75"/>
      <c r="I880" s="75"/>
      <c r="J880" s="178"/>
      <c r="K880" s="75"/>
      <c r="L880" s="75"/>
      <c r="M880" s="75"/>
      <c r="N880" s="75"/>
    </row>
    <row r="881">
      <c r="A881" s="75"/>
      <c r="B881" s="178"/>
      <c r="C881" s="75"/>
      <c r="D881" s="75"/>
      <c r="E881" s="75"/>
      <c r="F881" s="181"/>
      <c r="G881" s="75"/>
      <c r="H881" s="75"/>
      <c r="I881" s="75"/>
      <c r="J881" s="178"/>
      <c r="K881" s="75"/>
      <c r="L881" s="75"/>
      <c r="M881" s="75"/>
      <c r="N881" s="75"/>
    </row>
    <row r="882">
      <c r="A882" s="75"/>
      <c r="B882" s="178"/>
      <c r="C882" s="75"/>
      <c r="D882" s="75"/>
      <c r="E882" s="75"/>
      <c r="F882" s="181"/>
      <c r="G882" s="75"/>
      <c r="H882" s="75"/>
      <c r="I882" s="75"/>
      <c r="J882" s="178"/>
      <c r="K882" s="75"/>
      <c r="L882" s="75"/>
      <c r="M882" s="75"/>
      <c r="N882" s="75"/>
    </row>
    <row r="883">
      <c r="A883" s="75"/>
      <c r="B883" s="178"/>
      <c r="C883" s="75"/>
      <c r="D883" s="75"/>
      <c r="E883" s="75"/>
      <c r="F883" s="181"/>
      <c r="G883" s="75"/>
      <c r="H883" s="75"/>
      <c r="I883" s="75"/>
      <c r="J883" s="178"/>
      <c r="K883" s="75"/>
      <c r="L883" s="75"/>
      <c r="M883" s="75"/>
      <c r="N883" s="75"/>
    </row>
    <row r="884">
      <c r="A884" s="75"/>
      <c r="B884" s="178"/>
      <c r="C884" s="75"/>
      <c r="D884" s="75"/>
      <c r="E884" s="75"/>
      <c r="F884" s="181"/>
      <c r="G884" s="75"/>
      <c r="H884" s="75"/>
      <c r="I884" s="75"/>
      <c r="J884" s="178"/>
      <c r="K884" s="75"/>
      <c r="L884" s="75"/>
      <c r="M884" s="75"/>
      <c r="N884" s="75"/>
    </row>
    <row r="885">
      <c r="A885" s="75"/>
      <c r="B885" s="178"/>
      <c r="C885" s="75"/>
      <c r="D885" s="75"/>
      <c r="E885" s="75"/>
      <c r="F885" s="181"/>
      <c r="G885" s="75"/>
      <c r="H885" s="75"/>
      <c r="I885" s="75"/>
      <c r="J885" s="178"/>
      <c r="K885" s="75"/>
      <c r="L885" s="75"/>
      <c r="M885" s="75"/>
      <c r="N885" s="75"/>
    </row>
    <row r="886">
      <c r="A886" s="75"/>
      <c r="B886" s="178"/>
      <c r="C886" s="75"/>
      <c r="D886" s="75"/>
      <c r="E886" s="75"/>
      <c r="F886" s="181"/>
      <c r="G886" s="75"/>
      <c r="H886" s="75"/>
      <c r="I886" s="75"/>
      <c r="J886" s="178"/>
      <c r="K886" s="75"/>
      <c r="L886" s="75"/>
      <c r="M886" s="75"/>
      <c r="N886" s="75"/>
    </row>
    <row r="887">
      <c r="A887" s="75"/>
      <c r="B887" s="178"/>
      <c r="C887" s="75"/>
      <c r="D887" s="75"/>
      <c r="E887" s="75"/>
      <c r="F887" s="181"/>
      <c r="G887" s="75"/>
      <c r="H887" s="75"/>
      <c r="I887" s="75"/>
      <c r="J887" s="178"/>
      <c r="K887" s="75"/>
      <c r="L887" s="75"/>
      <c r="M887" s="75"/>
      <c r="N887" s="75"/>
    </row>
    <row r="888">
      <c r="A888" s="75"/>
      <c r="B888" s="178"/>
      <c r="C888" s="75"/>
      <c r="D888" s="75"/>
      <c r="E888" s="75"/>
      <c r="F888" s="181"/>
      <c r="G888" s="75"/>
      <c r="H888" s="75"/>
      <c r="I888" s="75"/>
      <c r="J888" s="178"/>
      <c r="K888" s="75"/>
      <c r="L888" s="75"/>
      <c r="M888" s="75"/>
      <c r="N888" s="75"/>
    </row>
    <row r="889">
      <c r="A889" s="75"/>
      <c r="B889" s="178"/>
      <c r="C889" s="75"/>
      <c r="D889" s="75"/>
      <c r="E889" s="75"/>
      <c r="F889" s="181"/>
      <c r="G889" s="75"/>
      <c r="H889" s="75"/>
      <c r="I889" s="75"/>
      <c r="J889" s="178"/>
      <c r="K889" s="75"/>
      <c r="L889" s="75"/>
      <c r="M889" s="75"/>
      <c r="N889" s="75"/>
    </row>
    <row r="890">
      <c r="A890" s="75"/>
      <c r="B890" s="178"/>
      <c r="C890" s="75"/>
      <c r="D890" s="75"/>
      <c r="E890" s="75"/>
      <c r="F890" s="181"/>
      <c r="G890" s="75"/>
      <c r="H890" s="75"/>
      <c r="I890" s="75"/>
      <c r="J890" s="178"/>
      <c r="K890" s="75"/>
      <c r="L890" s="75"/>
      <c r="M890" s="75"/>
      <c r="N890" s="75"/>
    </row>
    <row r="891">
      <c r="A891" s="75"/>
      <c r="B891" s="178"/>
      <c r="C891" s="75"/>
      <c r="D891" s="75"/>
      <c r="E891" s="75"/>
      <c r="F891" s="181"/>
      <c r="G891" s="75"/>
      <c r="H891" s="75"/>
      <c r="I891" s="75"/>
      <c r="J891" s="178"/>
      <c r="K891" s="75"/>
      <c r="L891" s="75"/>
      <c r="M891" s="75"/>
      <c r="N891" s="75"/>
    </row>
    <row r="892">
      <c r="A892" s="75"/>
      <c r="B892" s="178"/>
      <c r="C892" s="75"/>
      <c r="D892" s="75"/>
      <c r="E892" s="75"/>
      <c r="F892" s="181"/>
      <c r="G892" s="75"/>
      <c r="H892" s="75"/>
      <c r="I892" s="75"/>
      <c r="J892" s="178"/>
      <c r="K892" s="75"/>
      <c r="L892" s="75"/>
      <c r="M892" s="75"/>
      <c r="N892" s="75"/>
    </row>
    <row r="893">
      <c r="A893" s="75"/>
      <c r="B893" s="178"/>
      <c r="C893" s="75"/>
      <c r="D893" s="75"/>
      <c r="E893" s="75"/>
      <c r="F893" s="181"/>
      <c r="G893" s="75"/>
      <c r="H893" s="75"/>
      <c r="I893" s="75"/>
      <c r="J893" s="178"/>
      <c r="K893" s="75"/>
      <c r="L893" s="75"/>
      <c r="M893" s="75"/>
      <c r="N893" s="75"/>
    </row>
    <row r="894">
      <c r="A894" s="75"/>
      <c r="B894" s="178"/>
      <c r="C894" s="75"/>
      <c r="D894" s="75"/>
      <c r="E894" s="75"/>
      <c r="F894" s="181"/>
      <c r="G894" s="75"/>
      <c r="H894" s="75"/>
      <c r="I894" s="75"/>
      <c r="J894" s="178"/>
      <c r="K894" s="75"/>
      <c r="L894" s="75"/>
      <c r="M894" s="75"/>
      <c r="N894" s="75"/>
    </row>
    <row r="895">
      <c r="A895" s="75"/>
      <c r="B895" s="178"/>
      <c r="C895" s="75"/>
      <c r="D895" s="75"/>
      <c r="E895" s="75"/>
      <c r="F895" s="181"/>
      <c r="G895" s="75"/>
      <c r="H895" s="75"/>
      <c r="I895" s="75"/>
      <c r="J895" s="178"/>
      <c r="K895" s="75"/>
      <c r="L895" s="75"/>
      <c r="M895" s="75"/>
      <c r="N895" s="75"/>
    </row>
    <row r="896">
      <c r="A896" s="75"/>
      <c r="B896" s="178"/>
      <c r="C896" s="75"/>
      <c r="D896" s="75"/>
      <c r="E896" s="75"/>
      <c r="F896" s="181"/>
      <c r="G896" s="75"/>
      <c r="H896" s="75"/>
      <c r="I896" s="75"/>
      <c r="J896" s="178"/>
      <c r="K896" s="75"/>
      <c r="L896" s="75"/>
      <c r="M896" s="75"/>
      <c r="N896" s="75"/>
    </row>
    <row r="897">
      <c r="A897" s="75"/>
      <c r="B897" s="178"/>
      <c r="C897" s="75"/>
      <c r="D897" s="75"/>
      <c r="E897" s="75"/>
      <c r="F897" s="181"/>
      <c r="G897" s="75"/>
      <c r="H897" s="75"/>
      <c r="I897" s="75"/>
      <c r="J897" s="178"/>
      <c r="K897" s="75"/>
      <c r="L897" s="75"/>
      <c r="M897" s="75"/>
      <c r="N897" s="75"/>
    </row>
    <row r="898">
      <c r="A898" s="75"/>
      <c r="B898" s="178"/>
      <c r="C898" s="75"/>
      <c r="D898" s="75"/>
      <c r="E898" s="75"/>
      <c r="F898" s="181"/>
      <c r="G898" s="75"/>
      <c r="H898" s="75"/>
      <c r="I898" s="75"/>
      <c r="J898" s="178"/>
      <c r="K898" s="75"/>
      <c r="L898" s="75"/>
      <c r="M898" s="75"/>
      <c r="N898" s="75"/>
    </row>
    <row r="899">
      <c r="A899" s="75"/>
      <c r="B899" s="178"/>
      <c r="C899" s="75"/>
      <c r="D899" s="75"/>
      <c r="E899" s="75"/>
      <c r="F899" s="181"/>
      <c r="G899" s="75"/>
      <c r="H899" s="75"/>
      <c r="I899" s="75"/>
      <c r="J899" s="178"/>
      <c r="K899" s="75"/>
      <c r="L899" s="75"/>
      <c r="M899" s="75"/>
      <c r="N899" s="75"/>
    </row>
    <row r="900">
      <c r="A900" s="75"/>
      <c r="B900" s="178"/>
      <c r="C900" s="75"/>
      <c r="D900" s="75"/>
      <c r="E900" s="75"/>
      <c r="F900" s="181"/>
      <c r="G900" s="75"/>
      <c r="H900" s="75"/>
      <c r="I900" s="75"/>
      <c r="J900" s="178"/>
      <c r="K900" s="75"/>
      <c r="L900" s="75"/>
      <c r="M900" s="75"/>
      <c r="N900" s="75"/>
    </row>
    <row r="901">
      <c r="A901" s="75"/>
      <c r="B901" s="178"/>
      <c r="C901" s="75"/>
      <c r="D901" s="75"/>
      <c r="E901" s="75"/>
      <c r="F901" s="181"/>
      <c r="G901" s="75"/>
      <c r="H901" s="75"/>
      <c r="I901" s="75"/>
      <c r="J901" s="178"/>
      <c r="K901" s="75"/>
      <c r="L901" s="75"/>
      <c r="M901" s="75"/>
      <c r="N901" s="75"/>
    </row>
    <row r="902">
      <c r="A902" s="75"/>
      <c r="B902" s="178"/>
      <c r="C902" s="75"/>
      <c r="D902" s="75"/>
      <c r="E902" s="75"/>
      <c r="F902" s="181"/>
      <c r="G902" s="75"/>
      <c r="H902" s="75"/>
      <c r="I902" s="75"/>
      <c r="J902" s="178"/>
      <c r="K902" s="75"/>
      <c r="L902" s="75"/>
      <c r="M902" s="75"/>
      <c r="N902" s="75"/>
    </row>
    <row r="903">
      <c r="A903" s="75"/>
      <c r="B903" s="178"/>
      <c r="C903" s="75"/>
      <c r="D903" s="75"/>
      <c r="E903" s="75"/>
      <c r="F903" s="181"/>
      <c r="G903" s="75"/>
      <c r="H903" s="75"/>
      <c r="I903" s="75"/>
      <c r="J903" s="178"/>
      <c r="K903" s="75"/>
      <c r="L903" s="75"/>
      <c r="M903" s="75"/>
      <c r="N903" s="75"/>
    </row>
    <row r="904">
      <c r="A904" s="75"/>
      <c r="B904" s="178"/>
      <c r="C904" s="75"/>
      <c r="D904" s="75"/>
      <c r="E904" s="75"/>
      <c r="F904" s="181"/>
      <c r="G904" s="75"/>
      <c r="H904" s="75"/>
      <c r="I904" s="75"/>
      <c r="J904" s="178"/>
      <c r="K904" s="75"/>
      <c r="L904" s="75"/>
      <c r="M904" s="75"/>
      <c r="N904" s="75"/>
    </row>
    <row r="905">
      <c r="A905" s="75"/>
      <c r="B905" s="178"/>
      <c r="C905" s="75"/>
      <c r="D905" s="75"/>
      <c r="E905" s="75"/>
      <c r="F905" s="181"/>
      <c r="G905" s="75"/>
      <c r="H905" s="75"/>
      <c r="I905" s="75"/>
      <c r="J905" s="178"/>
      <c r="K905" s="75"/>
      <c r="L905" s="75"/>
      <c r="M905" s="75"/>
      <c r="N905" s="75"/>
    </row>
    <row r="906">
      <c r="A906" s="75"/>
      <c r="B906" s="178"/>
      <c r="C906" s="75"/>
      <c r="D906" s="75"/>
      <c r="E906" s="75"/>
      <c r="F906" s="181"/>
      <c r="G906" s="75"/>
      <c r="H906" s="75"/>
      <c r="I906" s="75"/>
      <c r="J906" s="178"/>
      <c r="K906" s="75"/>
      <c r="L906" s="75"/>
      <c r="M906" s="75"/>
      <c r="N906" s="75"/>
    </row>
    <row r="907">
      <c r="A907" s="75"/>
      <c r="B907" s="178"/>
      <c r="C907" s="75"/>
      <c r="D907" s="75"/>
      <c r="E907" s="75"/>
      <c r="F907" s="181"/>
      <c r="G907" s="75"/>
      <c r="H907" s="75"/>
      <c r="I907" s="75"/>
      <c r="J907" s="178"/>
      <c r="K907" s="75"/>
      <c r="L907" s="75"/>
      <c r="M907" s="75"/>
      <c r="N907" s="75"/>
    </row>
    <row r="908">
      <c r="A908" s="75"/>
      <c r="B908" s="178"/>
      <c r="C908" s="75"/>
      <c r="D908" s="75"/>
      <c r="E908" s="75"/>
      <c r="F908" s="181"/>
      <c r="G908" s="75"/>
      <c r="H908" s="75"/>
      <c r="I908" s="75"/>
      <c r="J908" s="178"/>
      <c r="K908" s="75"/>
      <c r="L908" s="75"/>
      <c r="M908" s="75"/>
      <c r="N908" s="75"/>
    </row>
    <row r="909">
      <c r="A909" s="75"/>
      <c r="B909" s="178"/>
      <c r="C909" s="75"/>
      <c r="D909" s="75"/>
      <c r="E909" s="75"/>
      <c r="F909" s="181"/>
      <c r="G909" s="75"/>
      <c r="H909" s="75"/>
      <c r="I909" s="75"/>
      <c r="J909" s="178"/>
      <c r="K909" s="75"/>
      <c r="L909" s="75"/>
      <c r="M909" s="75"/>
      <c r="N909" s="75"/>
    </row>
    <row r="910">
      <c r="A910" s="75"/>
      <c r="B910" s="178"/>
      <c r="C910" s="75"/>
      <c r="D910" s="75"/>
      <c r="E910" s="75"/>
      <c r="F910" s="181"/>
      <c r="G910" s="75"/>
      <c r="H910" s="75"/>
      <c r="I910" s="75"/>
      <c r="J910" s="178"/>
      <c r="K910" s="75"/>
      <c r="L910" s="75"/>
      <c r="M910" s="75"/>
      <c r="N910" s="75"/>
    </row>
    <row r="911">
      <c r="A911" s="75"/>
      <c r="B911" s="178"/>
      <c r="C911" s="75"/>
      <c r="D911" s="75"/>
      <c r="E911" s="75"/>
      <c r="F911" s="181"/>
      <c r="G911" s="75"/>
      <c r="H911" s="75"/>
      <c r="I911" s="75"/>
      <c r="J911" s="178"/>
      <c r="K911" s="75"/>
      <c r="L911" s="75"/>
      <c r="M911" s="75"/>
      <c r="N911" s="75"/>
    </row>
    <row r="912">
      <c r="A912" s="75"/>
      <c r="B912" s="178"/>
      <c r="C912" s="75"/>
      <c r="D912" s="75"/>
      <c r="E912" s="75"/>
      <c r="F912" s="181"/>
      <c r="G912" s="75"/>
      <c r="H912" s="75"/>
      <c r="I912" s="75"/>
      <c r="J912" s="178"/>
      <c r="K912" s="75"/>
      <c r="L912" s="75"/>
      <c r="M912" s="75"/>
      <c r="N912" s="75"/>
    </row>
    <row r="913">
      <c r="A913" s="75"/>
      <c r="B913" s="178"/>
      <c r="C913" s="75"/>
      <c r="D913" s="75"/>
      <c r="E913" s="75"/>
      <c r="F913" s="181"/>
      <c r="G913" s="75"/>
      <c r="H913" s="75"/>
      <c r="I913" s="75"/>
      <c r="J913" s="178"/>
      <c r="K913" s="75"/>
      <c r="L913" s="75"/>
      <c r="M913" s="75"/>
      <c r="N913" s="75"/>
    </row>
    <row r="914">
      <c r="A914" s="75"/>
      <c r="B914" s="178"/>
      <c r="C914" s="75"/>
      <c r="D914" s="75"/>
      <c r="E914" s="75"/>
      <c r="F914" s="181"/>
      <c r="G914" s="75"/>
      <c r="H914" s="75"/>
      <c r="I914" s="75"/>
      <c r="J914" s="178"/>
      <c r="K914" s="75"/>
      <c r="L914" s="75"/>
      <c r="M914" s="75"/>
      <c r="N914" s="75"/>
    </row>
    <row r="915">
      <c r="A915" s="75"/>
      <c r="B915" s="178"/>
      <c r="C915" s="75"/>
      <c r="D915" s="75"/>
      <c r="E915" s="75"/>
      <c r="F915" s="181"/>
      <c r="G915" s="75"/>
      <c r="H915" s="75"/>
      <c r="I915" s="75"/>
      <c r="J915" s="178"/>
      <c r="K915" s="75"/>
      <c r="L915" s="75"/>
      <c r="M915" s="75"/>
      <c r="N915" s="75"/>
    </row>
    <row r="916">
      <c r="A916" s="75"/>
      <c r="B916" s="178"/>
      <c r="C916" s="75"/>
      <c r="D916" s="75"/>
      <c r="E916" s="75"/>
      <c r="F916" s="181"/>
      <c r="G916" s="75"/>
      <c r="H916" s="75"/>
      <c r="I916" s="75"/>
      <c r="J916" s="178"/>
      <c r="K916" s="75"/>
      <c r="L916" s="75"/>
      <c r="M916" s="75"/>
      <c r="N916" s="75"/>
    </row>
    <row r="917">
      <c r="A917" s="75"/>
      <c r="B917" s="178"/>
      <c r="C917" s="75"/>
      <c r="D917" s="75"/>
      <c r="E917" s="75"/>
      <c r="F917" s="181"/>
      <c r="G917" s="75"/>
      <c r="H917" s="75"/>
      <c r="I917" s="75"/>
      <c r="J917" s="178"/>
      <c r="K917" s="75"/>
      <c r="L917" s="75"/>
      <c r="M917" s="75"/>
      <c r="N917" s="75"/>
    </row>
    <row r="918">
      <c r="A918" s="75"/>
      <c r="B918" s="178"/>
      <c r="C918" s="75"/>
      <c r="D918" s="75"/>
      <c r="E918" s="75"/>
      <c r="F918" s="181"/>
      <c r="G918" s="75"/>
      <c r="H918" s="75"/>
      <c r="I918" s="75"/>
      <c r="J918" s="178"/>
      <c r="K918" s="75"/>
      <c r="L918" s="75"/>
      <c r="M918" s="75"/>
      <c r="N918" s="75"/>
    </row>
    <row r="919">
      <c r="A919" s="75"/>
      <c r="B919" s="178"/>
      <c r="C919" s="75"/>
      <c r="D919" s="75"/>
      <c r="E919" s="75"/>
      <c r="F919" s="181"/>
      <c r="G919" s="75"/>
      <c r="H919" s="75"/>
      <c r="I919" s="75"/>
      <c r="J919" s="178"/>
      <c r="K919" s="75"/>
      <c r="L919" s="75"/>
      <c r="M919" s="75"/>
      <c r="N919" s="75"/>
    </row>
    <row r="920">
      <c r="A920" s="75"/>
      <c r="B920" s="178"/>
      <c r="C920" s="75"/>
      <c r="D920" s="75"/>
      <c r="E920" s="75"/>
      <c r="F920" s="181"/>
      <c r="G920" s="75"/>
      <c r="H920" s="75"/>
      <c r="I920" s="75"/>
      <c r="J920" s="178"/>
      <c r="K920" s="75"/>
      <c r="L920" s="75"/>
      <c r="M920" s="75"/>
      <c r="N920" s="75"/>
    </row>
    <row r="921">
      <c r="A921" s="75"/>
      <c r="B921" s="178"/>
      <c r="C921" s="75"/>
      <c r="D921" s="75"/>
      <c r="E921" s="75"/>
      <c r="F921" s="181"/>
      <c r="G921" s="75"/>
      <c r="H921" s="75"/>
      <c r="I921" s="75"/>
      <c r="J921" s="178"/>
      <c r="K921" s="75"/>
      <c r="L921" s="75"/>
      <c r="M921" s="75"/>
      <c r="N921" s="75"/>
    </row>
    <row r="922">
      <c r="A922" s="75"/>
      <c r="B922" s="178"/>
      <c r="C922" s="75"/>
      <c r="D922" s="75"/>
      <c r="E922" s="75"/>
      <c r="F922" s="181"/>
      <c r="G922" s="75"/>
      <c r="H922" s="75"/>
      <c r="I922" s="75"/>
      <c r="J922" s="178"/>
      <c r="K922" s="75"/>
      <c r="L922" s="75"/>
      <c r="M922" s="75"/>
      <c r="N922" s="75"/>
    </row>
    <row r="923">
      <c r="A923" s="75"/>
      <c r="B923" s="178"/>
      <c r="C923" s="75"/>
      <c r="D923" s="75"/>
      <c r="E923" s="75"/>
      <c r="F923" s="181"/>
      <c r="G923" s="75"/>
      <c r="H923" s="75"/>
      <c r="I923" s="75"/>
      <c r="J923" s="178"/>
      <c r="K923" s="75"/>
      <c r="L923" s="75"/>
      <c r="M923" s="75"/>
      <c r="N923" s="75"/>
    </row>
    <row r="924">
      <c r="A924" s="75"/>
      <c r="B924" s="178"/>
      <c r="C924" s="75"/>
      <c r="D924" s="75"/>
      <c r="E924" s="75"/>
      <c r="F924" s="181"/>
      <c r="G924" s="75"/>
      <c r="H924" s="75"/>
      <c r="I924" s="75"/>
      <c r="J924" s="178"/>
      <c r="K924" s="75"/>
      <c r="L924" s="75"/>
      <c r="M924" s="75"/>
      <c r="N924" s="75"/>
    </row>
    <row r="925">
      <c r="A925" s="75"/>
      <c r="B925" s="178"/>
      <c r="C925" s="75"/>
      <c r="D925" s="75"/>
      <c r="E925" s="75"/>
      <c r="F925" s="181"/>
      <c r="G925" s="75"/>
      <c r="H925" s="75"/>
      <c r="I925" s="75"/>
      <c r="J925" s="178"/>
      <c r="K925" s="75"/>
      <c r="L925" s="75"/>
      <c r="M925" s="75"/>
      <c r="N925" s="75"/>
    </row>
    <row r="926">
      <c r="A926" s="75"/>
      <c r="B926" s="178"/>
      <c r="C926" s="75"/>
      <c r="D926" s="75"/>
      <c r="E926" s="75"/>
      <c r="F926" s="181"/>
      <c r="G926" s="75"/>
      <c r="H926" s="75"/>
      <c r="I926" s="75"/>
      <c r="J926" s="178"/>
      <c r="K926" s="75"/>
      <c r="L926" s="75"/>
      <c r="M926" s="75"/>
      <c r="N926" s="75"/>
    </row>
    <row r="927">
      <c r="A927" s="75"/>
      <c r="B927" s="178"/>
      <c r="C927" s="75"/>
      <c r="D927" s="75"/>
      <c r="E927" s="75"/>
      <c r="F927" s="181"/>
      <c r="G927" s="75"/>
      <c r="H927" s="75"/>
      <c r="I927" s="75"/>
      <c r="J927" s="178"/>
      <c r="K927" s="75"/>
      <c r="L927" s="75"/>
      <c r="M927" s="75"/>
      <c r="N927" s="75"/>
    </row>
    <row r="928">
      <c r="A928" s="75"/>
      <c r="B928" s="178"/>
      <c r="C928" s="75"/>
      <c r="D928" s="75"/>
      <c r="E928" s="75"/>
      <c r="F928" s="181"/>
      <c r="G928" s="75"/>
      <c r="H928" s="75"/>
      <c r="I928" s="75"/>
      <c r="J928" s="178"/>
      <c r="K928" s="75"/>
      <c r="L928" s="75"/>
      <c r="M928" s="75"/>
      <c r="N928" s="75"/>
    </row>
    <row r="929">
      <c r="A929" s="75"/>
      <c r="B929" s="178"/>
      <c r="C929" s="75"/>
      <c r="D929" s="75"/>
      <c r="E929" s="75"/>
      <c r="F929" s="181"/>
      <c r="G929" s="75"/>
      <c r="H929" s="75"/>
      <c r="I929" s="75"/>
      <c r="J929" s="178"/>
      <c r="K929" s="75"/>
      <c r="L929" s="75"/>
      <c r="M929" s="75"/>
      <c r="N929" s="75"/>
    </row>
    <row r="930">
      <c r="A930" s="75"/>
      <c r="B930" s="178"/>
      <c r="C930" s="75"/>
      <c r="D930" s="75"/>
      <c r="E930" s="75"/>
      <c r="F930" s="181"/>
      <c r="G930" s="75"/>
      <c r="H930" s="75"/>
      <c r="I930" s="75"/>
      <c r="J930" s="178"/>
      <c r="K930" s="75"/>
      <c r="L930" s="75"/>
      <c r="M930" s="75"/>
      <c r="N930" s="75"/>
    </row>
    <row r="931">
      <c r="A931" s="75"/>
      <c r="B931" s="178"/>
      <c r="C931" s="75"/>
      <c r="D931" s="75"/>
      <c r="E931" s="75"/>
      <c r="F931" s="181"/>
      <c r="G931" s="75"/>
      <c r="H931" s="75"/>
      <c r="I931" s="75"/>
      <c r="J931" s="178"/>
      <c r="K931" s="75"/>
      <c r="L931" s="75"/>
      <c r="M931" s="75"/>
      <c r="N931" s="75"/>
    </row>
    <row r="932">
      <c r="A932" s="75"/>
      <c r="B932" s="178"/>
      <c r="C932" s="75"/>
      <c r="D932" s="75"/>
      <c r="E932" s="75"/>
      <c r="F932" s="181"/>
      <c r="G932" s="75"/>
      <c r="H932" s="75"/>
      <c r="I932" s="75"/>
      <c r="J932" s="178"/>
      <c r="K932" s="75"/>
      <c r="L932" s="75"/>
      <c r="M932" s="75"/>
      <c r="N932" s="75"/>
    </row>
    <row r="933">
      <c r="A933" s="75"/>
      <c r="B933" s="178"/>
      <c r="C933" s="75"/>
      <c r="D933" s="75"/>
      <c r="E933" s="75"/>
      <c r="F933" s="181"/>
      <c r="G933" s="75"/>
      <c r="H933" s="75"/>
      <c r="I933" s="75"/>
      <c r="J933" s="178"/>
      <c r="K933" s="75"/>
      <c r="L933" s="75"/>
      <c r="M933" s="75"/>
      <c r="N933" s="75"/>
    </row>
    <row r="934">
      <c r="A934" s="75"/>
      <c r="B934" s="178"/>
      <c r="C934" s="75"/>
      <c r="D934" s="75"/>
      <c r="E934" s="75"/>
      <c r="F934" s="181"/>
      <c r="G934" s="75"/>
      <c r="H934" s="75"/>
      <c r="I934" s="75"/>
      <c r="J934" s="178"/>
      <c r="K934" s="75"/>
      <c r="L934" s="75"/>
      <c r="M934" s="75"/>
      <c r="N934" s="75"/>
    </row>
    <row r="935">
      <c r="A935" s="75"/>
      <c r="B935" s="178"/>
      <c r="C935" s="75"/>
      <c r="D935" s="75"/>
      <c r="E935" s="75"/>
      <c r="F935" s="181"/>
      <c r="G935" s="75"/>
      <c r="H935" s="75"/>
      <c r="I935" s="75"/>
      <c r="J935" s="178"/>
      <c r="K935" s="75"/>
      <c r="L935" s="75"/>
      <c r="M935" s="75"/>
      <c r="N935" s="75"/>
    </row>
    <row r="936">
      <c r="A936" s="75"/>
      <c r="B936" s="178"/>
      <c r="C936" s="75"/>
      <c r="D936" s="75"/>
      <c r="E936" s="75"/>
      <c r="F936" s="181"/>
      <c r="G936" s="75"/>
      <c r="H936" s="75"/>
      <c r="I936" s="75"/>
      <c r="J936" s="178"/>
      <c r="K936" s="75"/>
      <c r="L936" s="75"/>
      <c r="M936" s="75"/>
      <c r="N936" s="75"/>
    </row>
    <row r="937">
      <c r="A937" s="75"/>
      <c r="B937" s="178"/>
      <c r="C937" s="75"/>
      <c r="D937" s="75"/>
      <c r="E937" s="75"/>
      <c r="F937" s="181"/>
      <c r="G937" s="75"/>
      <c r="H937" s="75"/>
      <c r="I937" s="75"/>
      <c r="J937" s="178"/>
      <c r="K937" s="75"/>
      <c r="L937" s="75"/>
      <c r="M937" s="75"/>
      <c r="N937" s="75"/>
    </row>
    <row r="938">
      <c r="A938" s="75"/>
      <c r="B938" s="178"/>
      <c r="C938" s="75"/>
      <c r="D938" s="75"/>
      <c r="E938" s="75"/>
      <c r="F938" s="181"/>
      <c r="G938" s="75"/>
      <c r="H938" s="75"/>
      <c r="I938" s="75"/>
      <c r="J938" s="178"/>
      <c r="K938" s="75"/>
      <c r="L938" s="75"/>
      <c r="M938" s="75"/>
      <c r="N938" s="75"/>
    </row>
    <row r="939">
      <c r="A939" s="75"/>
      <c r="B939" s="178"/>
      <c r="C939" s="75"/>
      <c r="D939" s="75"/>
      <c r="E939" s="75"/>
      <c r="F939" s="181"/>
      <c r="G939" s="75"/>
      <c r="H939" s="75"/>
      <c r="I939" s="75"/>
      <c r="J939" s="178"/>
      <c r="K939" s="75"/>
      <c r="L939" s="75"/>
      <c r="M939" s="75"/>
      <c r="N939" s="75"/>
    </row>
    <row r="940">
      <c r="B940" s="211"/>
      <c r="J940" s="211"/>
    </row>
    <row r="941">
      <c r="B941" s="211"/>
      <c r="J941" s="211"/>
    </row>
    <row r="942">
      <c r="B942" s="211"/>
      <c r="J942" s="211"/>
    </row>
    <row r="943">
      <c r="B943" s="211"/>
      <c r="J943" s="211"/>
    </row>
    <row r="944">
      <c r="B944" s="211"/>
      <c r="J944" s="211"/>
    </row>
    <row r="945">
      <c r="B945" s="211"/>
      <c r="J945" s="211"/>
    </row>
    <row r="946">
      <c r="B946" s="211"/>
      <c r="J946" s="211"/>
    </row>
    <row r="947">
      <c r="B947" s="211"/>
      <c r="J947" s="211"/>
    </row>
    <row r="948">
      <c r="B948" s="211"/>
      <c r="J948" s="211"/>
    </row>
    <row r="949">
      <c r="B949" s="211"/>
      <c r="J949" s="211"/>
    </row>
    <row r="950">
      <c r="B950" s="211"/>
      <c r="J950" s="211"/>
    </row>
    <row r="951">
      <c r="B951" s="211"/>
      <c r="J951" s="211"/>
    </row>
    <row r="952">
      <c r="B952" s="211"/>
      <c r="J952" s="211"/>
    </row>
    <row r="953">
      <c r="B953" s="211"/>
      <c r="J953" s="211"/>
    </row>
    <row r="954">
      <c r="B954" s="211"/>
      <c r="J954" s="211"/>
    </row>
    <row r="955">
      <c r="B955" s="211"/>
      <c r="J955" s="211"/>
    </row>
    <row r="956">
      <c r="B956" s="211"/>
      <c r="J956" s="211"/>
    </row>
    <row r="957">
      <c r="B957" s="211"/>
      <c r="J957" s="211"/>
    </row>
    <row r="958">
      <c r="B958" s="211"/>
      <c r="J958" s="211"/>
    </row>
    <row r="959">
      <c r="B959" s="211"/>
      <c r="J959" s="211"/>
    </row>
    <row r="960">
      <c r="B960" s="211"/>
      <c r="J960" s="211"/>
    </row>
    <row r="961">
      <c r="B961" s="211"/>
      <c r="J961" s="211"/>
    </row>
    <row r="962">
      <c r="B962" s="211"/>
      <c r="J962" s="211"/>
    </row>
    <row r="963">
      <c r="B963" s="211"/>
      <c r="J963" s="211"/>
    </row>
    <row r="964">
      <c r="B964" s="211"/>
      <c r="J964" s="211"/>
    </row>
    <row r="965">
      <c r="B965" s="211"/>
      <c r="J965" s="211"/>
    </row>
    <row r="966">
      <c r="B966" s="211"/>
      <c r="J966" s="211"/>
    </row>
    <row r="967">
      <c r="B967" s="211"/>
      <c r="J967" s="211"/>
    </row>
    <row r="968">
      <c r="B968" s="211"/>
      <c r="J968" s="211"/>
    </row>
    <row r="969">
      <c r="B969" s="211"/>
      <c r="J969" s="211"/>
    </row>
    <row r="970">
      <c r="B970" s="211"/>
      <c r="J970" s="211"/>
    </row>
    <row r="971">
      <c r="B971" s="211"/>
      <c r="J971" s="211"/>
    </row>
    <row r="972">
      <c r="B972" s="211"/>
      <c r="J972" s="211"/>
    </row>
    <row r="973">
      <c r="B973" s="211"/>
      <c r="J973" s="211"/>
    </row>
    <row r="974">
      <c r="B974" s="211"/>
      <c r="J974" s="211"/>
    </row>
    <row r="975">
      <c r="B975" s="211"/>
      <c r="J975" s="211"/>
    </row>
    <row r="976">
      <c r="B976" s="211"/>
      <c r="J976" s="211"/>
    </row>
    <row r="977">
      <c r="B977" s="211"/>
      <c r="J977" s="211"/>
    </row>
    <row r="978">
      <c r="B978" s="211"/>
      <c r="J978" s="211"/>
    </row>
    <row r="979">
      <c r="B979" s="211"/>
      <c r="J979" s="211"/>
    </row>
    <row r="980">
      <c r="B980" s="211"/>
      <c r="J980" s="211"/>
    </row>
    <row r="981">
      <c r="B981" s="211"/>
      <c r="J981" s="211"/>
    </row>
    <row r="982">
      <c r="B982" s="211"/>
      <c r="J982" s="211"/>
    </row>
    <row r="983">
      <c r="B983" s="211"/>
      <c r="J983" s="211"/>
    </row>
    <row r="984">
      <c r="B984" s="211"/>
      <c r="J984" s="211"/>
    </row>
    <row r="985">
      <c r="B985" s="211"/>
      <c r="J985" s="211"/>
    </row>
    <row r="986">
      <c r="B986" s="211"/>
      <c r="J986" s="211"/>
    </row>
    <row r="987">
      <c r="B987" s="211"/>
      <c r="J987" s="211"/>
    </row>
    <row r="988">
      <c r="B988" s="211"/>
      <c r="J988" s="211"/>
    </row>
    <row r="989">
      <c r="B989" s="211"/>
      <c r="J989" s="211"/>
    </row>
    <row r="990">
      <c r="B990" s="211"/>
      <c r="J990" s="211"/>
    </row>
    <row r="991">
      <c r="B991" s="211"/>
      <c r="J991" s="211"/>
    </row>
    <row r="992">
      <c r="B992" s="211"/>
      <c r="J992" s="211"/>
    </row>
    <row r="993">
      <c r="B993" s="211"/>
      <c r="J993" s="211"/>
    </row>
    <row r="994">
      <c r="B994" s="211"/>
      <c r="J994" s="211"/>
    </row>
    <row r="995">
      <c r="B995" s="211"/>
      <c r="J995" s="211"/>
    </row>
    <row r="996">
      <c r="B996" s="211"/>
      <c r="J996" s="211"/>
    </row>
    <row r="997">
      <c r="B997" s="211"/>
      <c r="J997" s="211"/>
    </row>
    <row r="998">
      <c r="B998" s="211"/>
      <c r="J998" s="211"/>
    </row>
    <row r="999">
      <c r="B999" s="211"/>
      <c r="J999" s="211"/>
    </row>
    <row r="1000">
      <c r="B1000" s="211"/>
      <c r="J1000" s="211"/>
    </row>
  </sheetData>
  <mergeCells count="63">
    <mergeCell ref="H54:H65"/>
    <mergeCell ref="H66:H77"/>
    <mergeCell ref="E78:E89"/>
    <mergeCell ref="E90:E101"/>
    <mergeCell ref="H90:H101"/>
    <mergeCell ref="K66:K77"/>
    <mergeCell ref="L66:L77"/>
    <mergeCell ref="K78:K89"/>
    <mergeCell ref="L78:L89"/>
    <mergeCell ref="K90:K101"/>
    <mergeCell ref="L90:L101"/>
    <mergeCell ref="M66:M77"/>
    <mergeCell ref="N66:N77"/>
    <mergeCell ref="M78:M89"/>
    <mergeCell ref="N78:N89"/>
    <mergeCell ref="O78:O89"/>
    <mergeCell ref="M90:M101"/>
    <mergeCell ref="N90:N101"/>
    <mergeCell ref="O90:O101"/>
    <mergeCell ref="E54:E65"/>
    <mergeCell ref="K54:K65"/>
    <mergeCell ref="L54:L65"/>
    <mergeCell ref="M54:M65"/>
    <mergeCell ref="N54:N65"/>
    <mergeCell ref="O54:O65"/>
    <mergeCell ref="E66:E77"/>
    <mergeCell ref="O66:O77"/>
    <mergeCell ref="M6:M17"/>
    <mergeCell ref="N6:N17"/>
    <mergeCell ref="O6:O17"/>
    <mergeCell ref="A1:N1"/>
    <mergeCell ref="A2:N2"/>
    <mergeCell ref="A3:N3"/>
    <mergeCell ref="A4:N4"/>
    <mergeCell ref="A6:A10"/>
    <mergeCell ref="E6:E17"/>
    <mergeCell ref="H6:H17"/>
    <mergeCell ref="K6:K17"/>
    <mergeCell ref="L6:L17"/>
    <mergeCell ref="K18:K29"/>
    <mergeCell ref="L18:L29"/>
    <mergeCell ref="M18:M29"/>
    <mergeCell ref="N18:N29"/>
    <mergeCell ref="O18:O29"/>
    <mergeCell ref="H30:H41"/>
    <mergeCell ref="H42:H53"/>
    <mergeCell ref="M42:M53"/>
    <mergeCell ref="N42:N53"/>
    <mergeCell ref="K30:K41"/>
    <mergeCell ref="L30:L41"/>
    <mergeCell ref="M30:M41"/>
    <mergeCell ref="N30:N41"/>
    <mergeCell ref="O30:O41"/>
    <mergeCell ref="K42:K53"/>
    <mergeCell ref="L42:L53"/>
    <mergeCell ref="O42:O53"/>
    <mergeCell ref="A11:A15"/>
    <mergeCell ref="A18:A22"/>
    <mergeCell ref="E18:E29"/>
    <mergeCell ref="H18:H29"/>
    <mergeCell ref="A23:A27"/>
    <mergeCell ref="E30:E41"/>
    <mergeCell ref="E42:E53"/>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2"/>
      <c r="B1" s="73"/>
      <c r="C1" s="73"/>
      <c r="D1" s="73"/>
      <c r="E1" s="73"/>
      <c r="F1" s="73"/>
      <c r="G1" s="73"/>
      <c r="H1" s="73"/>
      <c r="I1" s="73"/>
      <c r="J1" s="73"/>
      <c r="K1" s="73"/>
      <c r="L1" s="75"/>
      <c r="M1" s="75"/>
      <c r="N1" s="75"/>
      <c r="O1" s="75"/>
      <c r="P1" s="75"/>
      <c r="Q1" s="75"/>
      <c r="R1" s="75"/>
      <c r="S1" s="75"/>
      <c r="T1" s="75"/>
      <c r="U1" s="75"/>
      <c r="V1" s="75"/>
      <c r="W1" s="75"/>
      <c r="X1" s="75"/>
      <c r="Y1" s="75"/>
      <c r="Z1" s="75"/>
    </row>
    <row r="2">
      <c r="A2" s="77"/>
      <c r="B2" s="78">
        <v>1.0</v>
      </c>
      <c r="C2" s="78">
        <v>2.0</v>
      </c>
      <c r="D2" s="78">
        <v>3.0</v>
      </c>
      <c r="E2" s="78">
        <v>4.0</v>
      </c>
      <c r="F2" s="80">
        <v>5.0</v>
      </c>
      <c r="G2" s="80">
        <v>6.0</v>
      </c>
      <c r="H2" s="80">
        <v>7.0</v>
      </c>
      <c r="I2" s="80">
        <v>8.0</v>
      </c>
      <c r="J2" s="80">
        <v>9.0</v>
      </c>
      <c r="K2" s="80">
        <v>10.0</v>
      </c>
      <c r="L2" s="81">
        <v>11.0</v>
      </c>
      <c r="M2" s="81">
        <v>12.0</v>
      </c>
      <c r="N2" s="75"/>
      <c r="O2" s="75"/>
      <c r="P2" s="75"/>
      <c r="Q2" s="75"/>
      <c r="R2" s="75"/>
      <c r="S2" s="75"/>
      <c r="T2" s="75"/>
      <c r="U2" s="75"/>
      <c r="V2" s="75"/>
      <c r="W2" s="75"/>
      <c r="X2" s="75"/>
      <c r="Y2" s="75"/>
      <c r="Z2" s="75"/>
    </row>
    <row r="3">
      <c r="A3" s="85" t="s">
        <v>138</v>
      </c>
      <c r="B3" s="86" t="s">
        <v>139</v>
      </c>
      <c r="C3" s="86" t="s">
        <v>139</v>
      </c>
      <c r="D3" s="86" t="s">
        <v>139</v>
      </c>
      <c r="E3" s="86" t="s">
        <v>140</v>
      </c>
      <c r="F3" s="86" t="s">
        <v>140</v>
      </c>
      <c r="G3" s="86" t="s">
        <v>140</v>
      </c>
      <c r="H3" s="86" t="s">
        <v>141</v>
      </c>
      <c r="I3" s="86" t="s">
        <v>141</v>
      </c>
      <c r="J3" s="86" t="s">
        <v>141</v>
      </c>
      <c r="K3" s="86" t="s">
        <v>142</v>
      </c>
      <c r="L3" s="86" t="s">
        <v>142</v>
      </c>
      <c r="M3" s="86" t="s">
        <v>142</v>
      </c>
      <c r="N3" s="75"/>
      <c r="O3" s="75"/>
      <c r="P3" s="75"/>
      <c r="Q3" s="75"/>
      <c r="R3" s="75"/>
      <c r="S3" s="75"/>
      <c r="T3" s="75"/>
      <c r="U3" s="75"/>
      <c r="V3" s="75"/>
      <c r="W3" s="75"/>
      <c r="X3" s="75"/>
      <c r="Y3" s="75"/>
      <c r="Z3" s="75"/>
    </row>
    <row r="4">
      <c r="A4" s="85" t="s">
        <v>143</v>
      </c>
      <c r="B4" s="91" t="s">
        <v>144</v>
      </c>
      <c r="C4" s="91" t="s">
        <v>144</v>
      </c>
      <c r="D4" s="91" t="s">
        <v>144</v>
      </c>
      <c r="E4" s="91" t="s">
        <v>145</v>
      </c>
      <c r="F4" s="91" t="s">
        <v>145</v>
      </c>
      <c r="G4" s="91" t="s">
        <v>145</v>
      </c>
      <c r="H4" s="94"/>
      <c r="I4" s="94"/>
      <c r="J4" s="94"/>
      <c r="K4" s="94"/>
      <c r="L4" s="94"/>
      <c r="M4" s="94"/>
      <c r="N4" s="75"/>
      <c r="O4" s="75"/>
      <c r="P4" s="75"/>
      <c r="Q4" s="75"/>
      <c r="R4" s="75"/>
      <c r="S4" s="75"/>
      <c r="T4" s="75"/>
      <c r="U4" s="75"/>
      <c r="V4" s="75"/>
      <c r="W4" s="75"/>
      <c r="X4" s="75"/>
      <c r="Y4" s="75"/>
      <c r="Z4" s="75"/>
    </row>
    <row r="5">
      <c r="A5" s="96" t="s">
        <v>146</v>
      </c>
      <c r="B5" s="98" t="s">
        <v>147</v>
      </c>
      <c r="C5" s="99" t="s">
        <v>147</v>
      </c>
      <c r="D5" s="99" t="s">
        <v>147</v>
      </c>
      <c r="E5" s="99" t="s">
        <v>148</v>
      </c>
      <c r="F5" s="99" t="s">
        <v>148</v>
      </c>
      <c r="G5" s="99" t="s">
        <v>148</v>
      </c>
      <c r="H5" s="100" t="s">
        <v>149</v>
      </c>
      <c r="I5" s="100" t="s">
        <v>149</v>
      </c>
      <c r="J5" s="100" t="s">
        <v>149</v>
      </c>
      <c r="K5" s="100" t="s">
        <v>150</v>
      </c>
      <c r="L5" s="100" t="s">
        <v>150</v>
      </c>
      <c r="M5" s="101" t="s">
        <v>150</v>
      </c>
      <c r="N5" s="75"/>
      <c r="O5" s="75"/>
      <c r="P5" s="75"/>
      <c r="Q5" s="75"/>
      <c r="R5" s="75"/>
      <c r="S5" s="75"/>
      <c r="T5" s="75"/>
      <c r="U5" s="75"/>
      <c r="V5" s="75"/>
      <c r="W5" s="75"/>
      <c r="X5" s="75"/>
      <c r="Y5" s="75"/>
      <c r="Z5" s="75"/>
    </row>
    <row r="6">
      <c r="A6" s="96" t="s">
        <v>153</v>
      </c>
      <c r="B6" s="102" t="s">
        <v>155</v>
      </c>
      <c r="C6" s="104" t="s">
        <v>155</v>
      </c>
      <c r="D6" s="104" t="s">
        <v>155</v>
      </c>
      <c r="E6" s="104" t="s">
        <v>156</v>
      </c>
      <c r="F6" s="104" t="s">
        <v>156</v>
      </c>
      <c r="G6" s="104" t="s">
        <v>156</v>
      </c>
      <c r="H6" s="109" t="s">
        <v>157</v>
      </c>
      <c r="I6" s="109" t="s">
        <v>157</v>
      </c>
      <c r="J6" s="109" t="s">
        <v>157</v>
      </c>
      <c r="K6" s="109" t="s">
        <v>158</v>
      </c>
      <c r="L6" s="109" t="s">
        <v>158</v>
      </c>
      <c r="M6" s="111" t="s">
        <v>158</v>
      </c>
      <c r="N6" s="75"/>
      <c r="O6" s="75"/>
      <c r="P6" s="75"/>
      <c r="Q6" s="75"/>
      <c r="R6" s="75"/>
      <c r="S6" s="75"/>
      <c r="T6" s="75"/>
      <c r="U6" s="75"/>
      <c r="V6" s="75"/>
      <c r="W6" s="75"/>
      <c r="X6" s="75"/>
      <c r="Y6" s="75"/>
      <c r="Z6" s="75"/>
    </row>
    <row r="7">
      <c r="A7" s="96" t="s">
        <v>159</v>
      </c>
      <c r="B7" s="112" t="s">
        <v>160</v>
      </c>
      <c r="C7" s="113" t="s">
        <v>160</v>
      </c>
      <c r="D7" s="113" t="s">
        <v>160</v>
      </c>
      <c r="E7" s="113" t="s">
        <v>161</v>
      </c>
      <c r="F7" s="113" t="s">
        <v>161</v>
      </c>
      <c r="G7" s="113" t="s">
        <v>161</v>
      </c>
      <c r="H7" s="104" t="s">
        <v>162</v>
      </c>
      <c r="I7" s="104" t="s">
        <v>162</v>
      </c>
      <c r="J7" s="104" t="s">
        <v>162</v>
      </c>
      <c r="K7" s="104" t="s">
        <v>163</v>
      </c>
      <c r="L7" s="104" t="s">
        <v>163</v>
      </c>
      <c r="M7" s="114" t="s">
        <v>163</v>
      </c>
      <c r="N7" s="75"/>
      <c r="O7" s="75"/>
      <c r="P7" s="75"/>
      <c r="Q7" s="75"/>
      <c r="R7" s="75"/>
      <c r="S7" s="75"/>
      <c r="T7" s="75"/>
      <c r="U7" s="75"/>
      <c r="V7" s="75"/>
      <c r="W7" s="75"/>
      <c r="X7" s="75"/>
      <c r="Y7" s="75"/>
      <c r="Z7" s="75"/>
    </row>
    <row r="8">
      <c r="A8" s="96" t="s">
        <v>164</v>
      </c>
      <c r="B8" s="102" t="s">
        <v>165</v>
      </c>
      <c r="C8" s="104" t="s">
        <v>165</v>
      </c>
      <c r="D8" s="104" t="s">
        <v>165</v>
      </c>
      <c r="E8" s="104" t="s">
        <v>166</v>
      </c>
      <c r="F8" s="104" t="s">
        <v>166</v>
      </c>
      <c r="G8" s="104" t="s">
        <v>166</v>
      </c>
      <c r="H8" s="109" t="s">
        <v>167</v>
      </c>
      <c r="I8" s="109" t="s">
        <v>167</v>
      </c>
      <c r="J8" s="109" t="s">
        <v>167</v>
      </c>
      <c r="K8" s="109" t="s">
        <v>168</v>
      </c>
      <c r="L8" s="109" t="s">
        <v>168</v>
      </c>
      <c r="M8" s="111" t="s">
        <v>168</v>
      </c>
      <c r="N8" s="75"/>
      <c r="O8" s="75"/>
      <c r="P8" s="75"/>
      <c r="Q8" s="75"/>
      <c r="R8" s="75"/>
      <c r="S8" s="75"/>
      <c r="T8" s="75"/>
      <c r="U8" s="75"/>
      <c r="V8" s="75"/>
      <c r="W8" s="75"/>
      <c r="X8" s="75"/>
      <c r="Y8" s="75"/>
      <c r="Z8" s="75"/>
    </row>
    <row r="9">
      <c r="A9" s="96" t="s">
        <v>169</v>
      </c>
      <c r="B9" s="115" t="s">
        <v>170</v>
      </c>
      <c r="C9" s="116" t="s">
        <v>170</v>
      </c>
      <c r="D9" s="116" t="s">
        <v>170</v>
      </c>
      <c r="E9" s="116" t="s">
        <v>171</v>
      </c>
      <c r="F9" s="116" t="s">
        <v>171</v>
      </c>
      <c r="G9" s="116" t="s">
        <v>171</v>
      </c>
      <c r="H9" s="117" t="s">
        <v>172</v>
      </c>
      <c r="I9" s="117" t="s">
        <v>172</v>
      </c>
      <c r="J9" s="117" t="s">
        <v>172</v>
      </c>
      <c r="K9" s="117" t="s">
        <v>173</v>
      </c>
      <c r="L9" s="117" t="s">
        <v>173</v>
      </c>
      <c r="M9" s="118" t="s">
        <v>173</v>
      </c>
      <c r="N9" s="75"/>
      <c r="O9" s="75"/>
      <c r="P9" s="75"/>
      <c r="Q9" s="75"/>
      <c r="R9" s="75"/>
      <c r="S9" s="75"/>
      <c r="T9" s="75"/>
      <c r="U9" s="75"/>
      <c r="V9" s="75"/>
      <c r="W9" s="75"/>
      <c r="X9" s="75"/>
      <c r="Y9" s="75"/>
      <c r="Z9" s="75"/>
    </row>
    <row r="10">
      <c r="A10" s="96" t="s">
        <v>174</v>
      </c>
      <c r="B10" s="119"/>
      <c r="C10" s="119"/>
      <c r="D10" s="119"/>
      <c r="E10" s="119"/>
      <c r="F10" s="119"/>
      <c r="G10" s="119"/>
      <c r="H10" s="120"/>
      <c r="I10" s="120"/>
      <c r="J10" s="121"/>
      <c r="K10" s="120"/>
      <c r="L10" s="120"/>
      <c r="M10" s="121"/>
      <c r="N10" s="75"/>
      <c r="O10" s="75"/>
      <c r="P10" s="75"/>
      <c r="Q10" s="75"/>
      <c r="R10" s="75"/>
      <c r="S10" s="75"/>
      <c r="T10" s="75"/>
      <c r="U10" s="75"/>
      <c r="V10" s="75"/>
      <c r="W10" s="75"/>
      <c r="X10" s="75"/>
      <c r="Y10" s="75"/>
      <c r="Z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c r="A13" s="122" t="s">
        <v>178</v>
      </c>
      <c r="B13" s="123"/>
      <c r="C13" s="72"/>
      <c r="D13" s="75"/>
      <c r="E13" s="75"/>
      <c r="F13" s="75"/>
      <c r="G13" s="75"/>
      <c r="H13" s="75"/>
      <c r="I13" s="75"/>
      <c r="J13" s="75"/>
      <c r="K13" s="75"/>
      <c r="L13" s="75"/>
      <c r="M13" s="75"/>
      <c r="N13" s="75"/>
      <c r="O13" s="75"/>
      <c r="P13" s="75"/>
      <c r="Q13" s="75"/>
      <c r="R13" s="75"/>
      <c r="S13" s="75"/>
      <c r="T13" s="75"/>
      <c r="U13" s="75"/>
      <c r="V13" s="75"/>
      <c r="W13" s="75"/>
      <c r="X13" s="75"/>
      <c r="Y13" s="75"/>
      <c r="Z13" s="75"/>
    </row>
    <row r="14">
      <c r="A14" s="124" t="s">
        <v>179</v>
      </c>
      <c r="B14" s="125"/>
      <c r="C14" s="78" t="s">
        <v>180</v>
      </c>
      <c r="D14" s="126" t="s">
        <v>181</v>
      </c>
      <c r="E14" s="126" t="s">
        <v>182</v>
      </c>
      <c r="F14" s="75"/>
      <c r="G14" s="127" t="s">
        <v>183</v>
      </c>
      <c r="H14" s="126" t="s">
        <v>184</v>
      </c>
      <c r="I14" s="75"/>
      <c r="J14" s="128" t="s">
        <v>185</v>
      </c>
      <c r="K14" s="129"/>
      <c r="L14" s="129"/>
      <c r="M14" s="130"/>
      <c r="N14" s="75"/>
      <c r="O14" s="75"/>
      <c r="P14" s="75"/>
      <c r="Q14" s="75"/>
      <c r="R14" s="75"/>
      <c r="S14" s="75"/>
      <c r="T14" s="75"/>
      <c r="U14" s="75"/>
      <c r="V14" s="75"/>
      <c r="W14" s="75"/>
      <c r="X14" s="75"/>
      <c r="Y14" s="75"/>
      <c r="Z14" s="75"/>
    </row>
    <row r="15">
      <c r="A15" s="131" t="s">
        <v>186</v>
      </c>
      <c r="B15" s="125"/>
      <c r="C15" s="132" t="s">
        <v>187</v>
      </c>
      <c r="D15" s="132" t="s">
        <v>188</v>
      </c>
      <c r="E15" s="132" t="s">
        <v>189</v>
      </c>
      <c r="F15" s="75"/>
      <c r="G15" s="133" t="s">
        <v>190</v>
      </c>
      <c r="H15" s="132">
        <v>20.0</v>
      </c>
      <c r="I15" s="75"/>
      <c r="J15" s="134" t="s">
        <v>191</v>
      </c>
      <c r="K15" s="135" t="s">
        <v>192</v>
      </c>
      <c r="L15" s="135" t="s">
        <v>193</v>
      </c>
      <c r="M15" s="136" t="s">
        <v>194</v>
      </c>
      <c r="N15" s="75"/>
      <c r="O15" s="75"/>
      <c r="P15" s="75"/>
      <c r="Q15" s="75"/>
      <c r="R15" s="75"/>
      <c r="S15" s="75"/>
      <c r="T15" s="75"/>
      <c r="U15" s="75"/>
      <c r="V15" s="75"/>
      <c r="W15" s="75"/>
      <c r="X15" s="75"/>
      <c r="Y15" s="75"/>
      <c r="Z15" s="75"/>
    </row>
    <row r="16">
      <c r="A16" s="131" t="s">
        <v>195</v>
      </c>
      <c r="B16" s="125"/>
      <c r="C16" s="132" t="s">
        <v>187</v>
      </c>
      <c r="D16" s="132" t="s">
        <v>196</v>
      </c>
      <c r="E16" s="137" t="s">
        <v>197</v>
      </c>
      <c r="F16" s="75"/>
      <c r="G16" s="133" t="s">
        <v>198</v>
      </c>
      <c r="H16" s="132">
        <v>2.0</v>
      </c>
      <c r="I16" s="75"/>
      <c r="J16" s="139" t="s">
        <v>200</v>
      </c>
      <c r="K16" s="140">
        <v>6.0</v>
      </c>
      <c r="L16" s="140">
        <v>1188.0</v>
      </c>
      <c r="M16" s="141">
        <v>198.0</v>
      </c>
      <c r="N16" s="75"/>
      <c r="O16" s="75"/>
      <c r="P16" s="75"/>
      <c r="Q16" s="75"/>
      <c r="R16" s="75"/>
      <c r="S16" s="75"/>
      <c r="T16" s="75"/>
      <c r="U16" s="75"/>
      <c r="V16" s="75"/>
      <c r="W16" s="75"/>
      <c r="X16" s="75"/>
      <c r="Y16" s="75"/>
      <c r="Z16" s="75"/>
    </row>
    <row r="17">
      <c r="A17" s="131" t="s">
        <v>214</v>
      </c>
      <c r="B17" s="125"/>
      <c r="C17" s="132" t="s">
        <v>215</v>
      </c>
      <c r="D17" s="132" t="s">
        <v>216</v>
      </c>
      <c r="E17" s="69"/>
      <c r="F17" s="75"/>
      <c r="G17" s="133" t="s">
        <v>217</v>
      </c>
      <c r="H17" s="132">
        <v>0.2</v>
      </c>
      <c r="I17" s="75"/>
      <c r="J17" s="142" t="s">
        <v>218</v>
      </c>
      <c r="K17" s="140">
        <v>0.0</v>
      </c>
      <c r="L17" s="140">
        <v>0.0</v>
      </c>
      <c r="M17" s="141">
        <v>0.0</v>
      </c>
      <c r="N17" s="75"/>
      <c r="O17" s="75"/>
      <c r="P17" s="75"/>
      <c r="Q17" s="75"/>
      <c r="R17" s="75"/>
      <c r="S17" s="75"/>
      <c r="T17" s="75"/>
      <c r="U17" s="75"/>
      <c r="V17" s="75"/>
      <c r="W17" s="75"/>
      <c r="X17" s="75"/>
      <c r="Y17" s="75"/>
      <c r="Z17" s="75"/>
    </row>
    <row r="18">
      <c r="A18" s="75"/>
      <c r="B18" s="75"/>
      <c r="C18" s="75"/>
      <c r="D18" s="75"/>
      <c r="E18" s="75"/>
      <c r="F18" s="75"/>
      <c r="G18" s="133" t="s">
        <v>221</v>
      </c>
      <c r="H18" s="132">
        <v>0.02</v>
      </c>
      <c r="I18" s="75"/>
      <c r="J18" s="142" t="s">
        <v>222</v>
      </c>
      <c r="K18" s="140">
        <v>0.0</v>
      </c>
      <c r="L18" s="140">
        <v>0.0</v>
      </c>
      <c r="M18" s="141">
        <v>0.0</v>
      </c>
      <c r="N18" s="75"/>
      <c r="O18" s="75"/>
      <c r="P18" s="75"/>
      <c r="Q18" s="75"/>
      <c r="R18" s="75"/>
      <c r="S18" s="75"/>
      <c r="T18" s="75"/>
      <c r="U18" s="75"/>
      <c r="V18" s="75"/>
      <c r="W18" s="75"/>
      <c r="X18" s="75"/>
      <c r="Y18" s="75"/>
      <c r="Z18" s="75"/>
    </row>
    <row r="19">
      <c r="A19" s="75"/>
      <c r="B19" s="75"/>
      <c r="C19" s="75"/>
      <c r="D19" s="75"/>
      <c r="E19" s="75"/>
      <c r="F19" s="75"/>
      <c r="G19" s="133" t="s">
        <v>224</v>
      </c>
      <c r="H19" s="132">
        <v>0.002</v>
      </c>
      <c r="I19" s="75"/>
      <c r="J19" s="142" t="s">
        <v>225</v>
      </c>
      <c r="K19" s="140">
        <v>4.0</v>
      </c>
      <c r="L19" s="145"/>
      <c r="M19" s="147"/>
      <c r="N19" s="75"/>
      <c r="O19" s="75"/>
      <c r="P19" s="75"/>
      <c r="Q19" s="75"/>
      <c r="R19" s="75"/>
      <c r="S19" s="75"/>
      <c r="T19" s="75"/>
      <c r="U19" s="75"/>
      <c r="V19" s="75"/>
      <c r="W19" s="75"/>
      <c r="X19" s="75"/>
      <c r="Y19" s="75"/>
      <c r="Z19" s="75"/>
    </row>
    <row r="20">
      <c r="A20" s="138" t="s">
        <v>228</v>
      </c>
      <c r="B20" s="75"/>
      <c r="C20" s="75"/>
      <c r="D20" s="75"/>
      <c r="E20" s="75"/>
      <c r="F20" s="75"/>
      <c r="G20" s="133" t="s">
        <v>232</v>
      </c>
      <c r="H20" s="132">
        <v>2.0E-4</v>
      </c>
      <c r="I20" s="75"/>
      <c r="J20" s="150"/>
      <c r="K20" s="152">
        <v>10.0</v>
      </c>
      <c r="L20" s="152">
        <v>1188.0</v>
      </c>
      <c r="M20" s="153">
        <v>198.0</v>
      </c>
      <c r="N20" s="75"/>
      <c r="O20" s="75"/>
      <c r="P20" s="75"/>
      <c r="Q20" s="75"/>
      <c r="R20" s="75"/>
      <c r="S20" s="75"/>
      <c r="T20" s="75"/>
      <c r="U20" s="75"/>
      <c r="V20" s="75"/>
      <c r="W20" s="75"/>
      <c r="X20" s="75"/>
      <c r="Y20" s="75"/>
      <c r="Z20" s="75"/>
    </row>
    <row r="21">
      <c r="A21" s="84" t="s">
        <v>238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c r="A22" s="84" t="s">
        <v>240</v>
      </c>
      <c r="B22" s="75"/>
      <c r="C22" s="75"/>
      <c r="D22" s="75"/>
      <c r="E22" s="75"/>
      <c r="F22" s="75"/>
      <c r="G22" s="75"/>
      <c r="H22" s="75"/>
      <c r="I22" s="75"/>
      <c r="J22" s="158" t="s">
        <v>241</v>
      </c>
      <c r="K22" s="75"/>
      <c r="L22" s="75"/>
      <c r="M22" s="75"/>
      <c r="N22" s="75"/>
      <c r="O22" s="75"/>
      <c r="P22" s="75"/>
      <c r="Q22" s="75"/>
      <c r="R22" s="75"/>
      <c r="S22" s="75"/>
      <c r="T22" s="75"/>
      <c r="U22" s="75"/>
      <c r="V22" s="75"/>
      <c r="W22" s="75"/>
      <c r="X22" s="75"/>
      <c r="Y22" s="75"/>
      <c r="Z22" s="75"/>
    </row>
    <row r="23">
      <c r="A23" s="84" t="s">
        <v>242</v>
      </c>
      <c r="B23" s="75"/>
      <c r="C23" s="75"/>
      <c r="D23" s="75"/>
      <c r="E23" s="75"/>
      <c r="F23" s="75"/>
      <c r="G23" s="75"/>
      <c r="H23" s="75"/>
      <c r="I23" s="75"/>
      <c r="J23" s="158"/>
      <c r="K23" s="75"/>
      <c r="L23" s="75"/>
      <c r="M23" s="75"/>
      <c r="N23" s="75"/>
      <c r="O23" s="75"/>
      <c r="P23" s="75"/>
      <c r="Q23" s="75"/>
      <c r="R23" s="75"/>
      <c r="S23" s="75"/>
      <c r="T23" s="75"/>
      <c r="U23" s="75"/>
      <c r="V23" s="75"/>
      <c r="W23" s="75"/>
      <c r="X23" s="75"/>
      <c r="Y23" s="75"/>
      <c r="Z23" s="75"/>
    </row>
    <row r="24">
      <c r="A24" s="84" t="s">
        <v>243</v>
      </c>
      <c r="B24" s="75"/>
      <c r="C24" s="75"/>
      <c r="D24" s="75"/>
      <c r="E24" s="75"/>
      <c r="F24" s="75"/>
      <c r="G24" s="75"/>
      <c r="H24" s="75"/>
      <c r="I24" s="75"/>
      <c r="J24" s="158" t="s">
        <v>244</v>
      </c>
      <c r="K24" s="75"/>
      <c r="L24" s="75"/>
      <c r="M24" s="75"/>
      <c r="N24" s="75"/>
      <c r="O24" s="75"/>
      <c r="P24" s="75"/>
      <c r="Q24" s="75"/>
      <c r="R24" s="75"/>
      <c r="S24" s="75"/>
      <c r="T24" s="75"/>
      <c r="U24" s="75"/>
      <c r="V24" s="75"/>
      <c r="W24" s="75"/>
      <c r="X24" s="75"/>
      <c r="Y24" s="75"/>
      <c r="Z24" s="75"/>
    </row>
    <row r="25">
      <c r="A25" s="84" t="s">
        <v>245</v>
      </c>
      <c r="B25" s="75"/>
      <c r="C25" s="75"/>
      <c r="D25" s="75"/>
      <c r="E25" s="75"/>
      <c r="F25" s="75"/>
      <c r="G25" s="75"/>
      <c r="H25" s="75"/>
      <c r="I25" s="75"/>
      <c r="J25" s="158"/>
      <c r="K25" s="75"/>
      <c r="L25" s="75"/>
      <c r="M25" s="75"/>
      <c r="N25" s="75"/>
      <c r="O25" s="75"/>
      <c r="P25" s="75"/>
      <c r="Q25" s="75"/>
      <c r="R25" s="75"/>
      <c r="S25" s="75"/>
      <c r="T25" s="75"/>
      <c r="U25" s="75"/>
      <c r="V25" s="75"/>
      <c r="W25" s="75"/>
      <c r="X25" s="75"/>
      <c r="Y25" s="75"/>
      <c r="Z25" s="75"/>
    </row>
    <row r="26">
      <c r="A26" s="84" t="s">
        <v>252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E16:E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
        <v>199</v>
      </c>
      <c r="B1" s="138" t="s">
        <v>201</v>
      </c>
      <c r="C1" s="138" t="s">
        <v>202</v>
      </c>
      <c r="D1" s="138" t="s">
        <v>203</v>
      </c>
      <c r="E1" s="138" t="s">
        <v>204</v>
      </c>
      <c r="F1" s="138" t="s">
        <v>205</v>
      </c>
      <c r="G1" s="138" t="s">
        <v>206</v>
      </c>
      <c r="H1" s="138" t="s">
        <v>207</v>
      </c>
      <c r="I1" s="138" t="s">
        <v>208</v>
      </c>
      <c r="J1" s="138" t="s">
        <v>209</v>
      </c>
      <c r="K1" s="138" t="s">
        <v>210</v>
      </c>
      <c r="L1" s="138" t="s">
        <v>211</v>
      </c>
      <c r="M1" s="138" t="s">
        <v>212</v>
      </c>
      <c r="N1" s="138" t="s">
        <v>213</v>
      </c>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row>
    <row r="2">
      <c r="A2" s="75" t="s">
        <v>80</v>
      </c>
      <c r="B2" s="75" t="s">
        <v>219</v>
      </c>
      <c r="C2" s="75"/>
      <c r="D2" s="75" t="s">
        <v>220</v>
      </c>
      <c r="E2" s="75"/>
      <c r="F2" s="75"/>
      <c r="G2" s="143">
        <v>9.73959159485058</v>
      </c>
      <c r="H2" s="143">
        <v>9.73959159485058</v>
      </c>
      <c r="I2" s="143">
        <v>0.0</v>
      </c>
      <c r="J2" s="143">
        <v>20.0</v>
      </c>
      <c r="K2" s="143">
        <v>1.30102999566398</v>
      </c>
      <c r="L2" s="143">
        <v>20.0</v>
      </c>
      <c r="M2" s="143">
        <v>0.0</v>
      </c>
      <c r="N2" s="143">
        <v>60.0</v>
      </c>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row>
    <row r="3">
      <c r="A3" s="75" t="s">
        <v>151</v>
      </c>
      <c r="B3" s="75" t="s">
        <v>219</v>
      </c>
      <c r="C3" s="75"/>
      <c r="D3" s="75" t="s">
        <v>220</v>
      </c>
      <c r="E3" s="75"/>
      <c r="F3" s="75"/>
      <c r="G3" s="143">
        <v>9.61004997583679</v>
      </c>
      <c r="H3" s="143">
        <v>9.61004997583679</v>
      </c>
      <c r="I3" s="143">
        <v>0.0</v>
      </c>
      <c r="J3" s="143">
        <v>20.0</v>
      </c>
      <c r="K3" s="143">
        <v>1.30102999566398</v>
      </c>
      <c r="L3" s="143">
        <v>20.0</v>
      </c>
      <c r="M3" s="143">
        <v>0.0</v>
      </c>
      <c r="N3" s="143">
        <v>60.0</v>
      </c>
      <c r="O3" s="75"/>
      <c r="P3" s="146" t="s">
        <v>226</v>
      </c>
      <c r="Q3" s="148" t="s">
        <v>227</v>
      </c>
      <c r="R3" s="148" t="s">
        <v>229</v>
      </c>
      <c r="S3" s="148" t="s">
        <v>230</v>
      </c>
      <c r="T3" s="148" t="s">
        <v>231</v>
      </c>
      <c r="U3" s="148" t="s">
        <v>233</v>
      </c>
      <c r="V3" s="148" t="s">
        <v>234</v>
      </c>
      <c r="W3" s="149" t="s">
        <v>235</v>
      </c>
      <c r="X3" s="148" t="s">
        <v>236</v>
      </c>
      <c r="Y3" s="151" t="s">
        <v>237</v>
      </c>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row>
    <row r="4">
      <c r="A4" s="75" t="s">
        <v>175</v>
      </c>
      <c r="B4" s="75" t="s">
        <v>219</v>
      </c>
      <c r="C4" s="75"/>
      <c r="D4" s="75" t="s">
        <v>220</v>
      </c>
      <c r="E4" s="75"/>
      <c r="F4" s="75"/>
      <c r="G4" s="143">
        <v>9.6616571308087</v>
      </c>
      <c r="H4" s="143">
        <v>9.6616571308087</v>
      </c>
      <c r="I4" s="143">
        <v>0.0</v>
      </c>
      <c r="J4" s="143">
        <v>20.0</v>
      </c>
      <c r="K4" s="143">
        <v>1.30102999566398</v>
      </c>
      <c r="L4" s="143">
        <v>20.0</v>
      </c>
      <c r="M4" s="143">
        <v>0.0</v>
      </c>
      <c r="N4" s="143">
        <v>60.0</v>
      </c>
      <c r="O4" s="75"/>
      <c r="P4" s="155" t="s">
        <v>239</v>
      </c>
      <c r="Q4" s="156">
        <v>200000.0</v>
      </c>
      <c r="R4" s="157">
        <v>0.907386334554973</v>
      </c>
      <c r="S4" s="157">
        <v>0.917535922100798</v>
      </c>
      <c r="T4" s="157">
        <v>0.943438649329294</v>
      </c>
      <c r="U4" s="159">
        <f>AVERAGE(R4:T4)</f>
        <v>0.9227869687</v>
      </c>
      <c r="V4" s="160">
        <f>U4*(452/600)</f>
        <v>0.6951661831</v>
      </c>
      <c r="W4" s="161">
        <f>V4*Q4</f>
        <v>139033.2366</v>
      </c>
      <c r="X4" s="162">
        <f>W4/1000</f>
        <v>139.0332366</v>
      </c>
      <c r="Y4" s="163">
        <f>AVERAGE(X4:X7)</f>
        <v>150.492392</v>
      </c>
      <c r="Z4" s="75"/>
      <c r="AA4" s="164" t="s">
        <v>246</v>
      </c>
      <c r="AB4" s="165" t="s">
        <v>247</v>
      </c>
      <c r="AC4" s="166" t="s">
        <v>248</v>
      </c>
      <c r="AD4" s="165" t="s">
        <v>249</v>
      </c>
      <c r="AE4" s="165" t="s">
        <v>250</v>
      </c>
      <c r="AF4" s="166" t="s">
        <v>251</v>
      </c>
      <c r="AG4" s="167" t="s">
        <v>253</v>
      </c>
      <c r="AH4" s="168" t="s">
        <v>254</v>
      </c>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row>
    <row r="5">
      <c r="A5" s="75" t="s">
        <v>223</v>
      </c>
      <c r="B5" s="75" t="s">
        <v>219</v>
      </c>
      <c r="C5" s="75"/>
      <c r="D5" s="75" t="s">
        <v>220</v>
      </c>
      <c r="E5" s="75"/>
      <c r="F5" s="75"/>
      <c r="G5" s="143">
        <v>14.5151816935329</v>
      </c>
      <c r="H5" s="143">
        <v>14.5151816935329</v>
      </c>
      <c r="I5" s="143">
        <v>0.0</v>
      </c>
      <c r="J5" s="143">
        <v>2.0</v>
      </c>
      <c r="K5" s="143">
        <v>0.301029995663981</v>
      </c>
      <c r="L5" s="143">
        <v>2.0</v>
      </c>
      <c r="M5" s="143">
        <v>0.0</v>
      </c>
      <c r="N5" s="143">
        <v>60.0</v>
      </c>
      <c r="O5" s="75"/>
      <c r="P5" s="169"/>
      <c r="Q5" s="170"/>
      <c r="R5" s="171"/>
      <c r="S5" s="171"/>
      <c r="T5" s="172"/>
      <c r="U5" s="171"/>
      <c r="V5" s="173"/>
      <c r="W5" s="174"/>
      <c r="X5" s="175"/>
      <c r="Y5" s="176"/>
      <c r="Z5" s="75"/>
      <c r="AA5" s="177" t="s">
        <v>255</v>
      </c>
      <c r="AB5" s="178">
        <v>10.0</v>
      </c>
      <c r="AC5" s="87">
        <f>Y4</f>
        <v>150.492392</v>
      </c>
      <c r="AD5" s="179" t="s">
        <v>256</v>
      </c>
      <c r="AE5" s="180">
        <v>10.0</v>
      </c>
      <c r="AF5" s="182">
        <f t="shared" ref="AF5:AF14" si="1">AE5/AC5</f>
        <v>0.06644854182</v>
      </c>
      <c r="AG5" s="183">
        <f t="shared" ref="AG5:AG14" si="2">AF5*100</f>
        <v>6.644854182</v>
      </c>
      <c r="AH5" s="143">
        <f t="shared" ref="AH5:AH14" si="3">AG5*AC5</f>
        <v>1000</v>
      </c>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row>
    <row r="6">
      <c r="A6" s="75" t="s">
        <v>257</v>
      </c>
      <c r="B6" s="75" t="s">
        <v>219</v>
      </c>
      <c r="C6" s="75"/>
      <c r="D6" s="75" t="s">
        <v>220</v>
      </c>
      <c r="E6" s="75"/>
      <c r="F6" s="75"/>
      <c r="G6" s="143">
        <v>15.0978135213396</v>
      </c>
      <c r="H6" s="143">
        <v>15.0978135213396</v>
      </c>
      <c r="I6" s="143">
        <v>0.0</v>
      </c>
      <c r="J6" s="143">
        <v>2.0</v>
      </c>
      <c r="K6" s="143">
        <v>0.301029995663981</v>
      </c>
      <c r="L6" s="143">
        <v>2.0</v>
      </c>
      <c r="M6" s="143">
        <v>0.0</v>
      </c>
      <c r="N6" s="143">
        <v>60.0</v>
      </c>
      <c r="O6" s="75"/>
      <c r="P6" s="169" t="s">
        <v>258</v>
      </c>
      <c r="Q6" s="185">
        <v>1000000.0</v>
      </c>
      <c r="R6" s="157">
        <v>0.208303213738741</v>
      </c>
      <c r="S6" s="157">
        <v>0.22188887643804</v>
      </c>
      <c r="T6" s="157">
        <v>0.214747699971575</v>
      </c>
      <c r="U6" s="159">
        <f>AVERAGE(R6:T6)</f>
        <v>0.21497993</v>
      </c>
      <c r="V6" s="182">
        <f>U6*(452/600)</f>
        <v>0.1619515473</v>
      </c>
      <c r="W6" s="87">
        <f>V6*Q6</f>
        <v>161951.5473</v>
      </c>
      <c r="X6" s="186">
        <f>W6/1000</f>
        <v>161.9515473</v>
      </c>
      <c r="Y6" s="176"/>
      <c r="Z6" s="75"/>
      <c r="AA6" s="177" t="s">
        <v>259</v>
      </c>
      <c r="AB6" s="178">
        <v>10.0</v>
      </c>
      <c r="AC6" s="87">
        <f>Y8</f>
        <v>155.5255758</v>
      </c>
      <c r="AD6" s="179" t="s">
        <v>256</v>
      </c>
      <c r="AE6" s="180">
        <v>10.0</v>
      </c>
      <c r="AF6" s="182">
        <f t="shared" si="1"/>
        <v>0.06429810628</v>
      </c>
      <c r="AG6" s="183">
        <f t="shared" si="2"/>
        <v>6.429810628</v>
      </c>
      <c r="AH6" s="143">
        <f t="shared" si="3"/>
        <v>1000</v>
      </c>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row>
    <row r="7">
      <c r="A7" s="75" t="s">
        <v>260</v>
      </c>
      <c r="B7" s="75" t="s">
        <v>219</v>
      </c>
      <c r="C7" s="75"/>
      <c r="D7" s="75" t="s">
        <v>220</v>
      </c>
      <c r="E7" s="75"/>
      <c r="F7" s="75"/>
      <c r="G7" s="143">
        <v>15.8183893174886</v>
      </c>
      <c r="H7" s="143">
        <v>15.8183893174886</v>
      </c>
      <c r="I7" s="143">
        <v>0.0</v>
      </c>
      <c r="J7" s="143">
        <v>2.0</v>
      </c>
      <c r="K7" s="143">
        <v>0.301029995663981</v>
      </c>
      <c r="L7" s="143">
        <v>2.0</v>
      </c>
      <c r="M7" s="143">
        <v>0.0</v>
      </c>
      <c r="N7" s="143">
        <v>60.0</v>
      </c>
      <c r="O7" s="75"/>
      <c r="P7" s="187"/>
      <c r="Q7" s="188"/>
      <c r="R7" s="189"/>
      <c r="S7" s="189"/>
      <c r="T7" s="190"/>
      <c r="U7" s="189"/>
      <c r="V7" s="191"/>
      <c r="W7" s="192"/>
      <c r="X7" s="193"/>
      <c r="Y7" s="194"/>
      <c r="Z7" s="75"/>
      <c r="AA7" s="177" t="s">
        <v>261</v>
      </c>
      <c r="AB7" s="178">
        <v>10.0</v>
      </c>
      <c r="AC7" s="87">
        <f>Y12</f>
        <v>623.8284694</v>
      </c>
      <c r="AD7" s="179" t="s">
        <v>256</v>
      </c>
      <c r="AE7" s="180">
        <v>10.0</v>
      </c>
      <c r="AF7" s="182">
        <f t="shared" si="1"/>
        <v>0.01603004751</v>
      </c>
      <c r="AG7" s="183">
        <f t="shared" si="2"/>
        <v>1.603004751</v>
      </c>
      <c r="AH7" s="143">
        <f t="shared" si="3"/>
        <v>1000</v>
      </c>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c r="BJ7" s="75"/>
    </row>
    <row r="8">
      <c r="A8" s="75" t="s">
        <v>262</v>
      </c>
      <c r="B8" s="75" t="s">
        <v>219</v>
      </c>
      <c r="C8" s="75"/>
      <c r="D8" s="75" t="s">
        <v>220</v>
      </c>
      <c r="E8" s="75"/>
      <c r="F8" s="75"/>
      <c r="G8" s="143">
        <v>17.2176075625864</v>
      </c>
      <c r="H8" s="143">
        <v>17.2176075625864</v>
      </c>
      <c r="I8" s="143">
        <v>0.0</v>
      </c>
      <c r="J8" s="143">
        <v>0.2</v>
      </c>
      <c r="K8" s="143">
        <v>-0.698970004336019</v>
      </c>
      <c r="L8" s="143">
        <v>0.2</v>
      </c>
      <c r="M8" s="143">
        <v>0.0</v>
      </c>
      <c r="N8" s="143">
        <v>60.0</v>
      </c>
      <c r="O8" s="75"/>
      <c r="P8" s="155" t="s">
        <v>263</v>
      </c>
      <c r="Q8" s="156">
        <v>200000.0</v>
      </c>
      <c r="R8" s="157">
        <v>1.96962526106992</v>
      </c>
      <c r="S8" s="157">
        <v>2.00637399437984</v>
      </c>
      <c r="T8" s="157">
        <v>1.94576968857802</v>
      </c>
      <c r="U8" s="159">
        <f>AVERAGE(R8:T8)</f>
        <v>1.973922981</v>
      </c>
      <c r="V8" s="160">
        <f>U8*(452/600)</f>
        <v>1.487021979</v>
      </c>
      <c r="W8" s="161">
        <f>V8*Q8</f>
        <v>297404.3959</v>
      </c>
      <c r="X8" s="162">
        <f>W8/1000</f>
        <v>297.4043959</v>
      </c>
      <c r="Y8" s="163">
        <f>AVERAGE(X10:X11)</f>
        <v>155.5255758</v>
      </c>
      <c r="Z8" s="75"/>
      <c r="AA8" s="177" t="s">
        <v>264</v>
      </c>
      <c r="AB8" s="178">
        <v>10.0</v>
      </c>
      <c r="AC8" s="87">
        <f>Y16</f>
        <v>640.9696538</v>
      </c>
      <c r="AD8" s="179" t="s">
        <v>256</v>
      </c>
      <c r="AE8" s="180">
        <v>10.0</v>
      </c>
      <c r="AF8" s="182">
        <f t="shared" si="1"/>
        <v>0.01560136263</v>
      </c>
      <c r="AG8" s="183">
        <f t="shared" si="2"/>
        <v>1.560136263</v>
      </c>
      <c r="AH8" s="143">
        <f t="shared" si="3"/>
        <v>1000</v>
      </c>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row>
    <row r="9">
      <c r="A9" s="75" t="s">
        <v>265</v>
      </c>
      <c r="B9" s="75" t="s">
        <v>219</v>
      </c>
      <c r="C9" s="75"/>
      <c r="D9" s="75" t="s">
        <v>220</v>
      </c>
      <c r="E9" s="75"/>
      <c r="F9" s="75"/>
      <c r="G9" s="143">
        <v>17.9017871309052</v>
      </c>
      <c r="H9" s="143">
        <v>17.9017871309052</v>
      </c>
      <c r="I9" s="143">
        <v>0.0</v>
      </c>
      <c r="J9" s="143">
        <v>0.2</v>
      </c>
      <c r="K9" s="143">
        <v>-0.698970004336019</v>
      </c>
      <c r="L9" s="143">
        <v>0.2</v>
      </c>
      <c r="M9" s="143">
        <v>0.0</v>
      </c>
      <c r="N9" s="143">
        <v>60.0</v>
      </c>
      <c r="O9" s="75"/>
      <c r="P9" s="169"/>
      <c r="Q9" s="170"/>
      <c r="R9" s="171"/>
      <c r="S9" s="171"/>
      <c r="T9" s="172"/>
      <c r="U9" s="171"/>
      <c r="V9" s="173"/>
      <c r="W9" s="174"/>
      <c r="X9" s="175"/>
      <c r="Y9" s="176"/>
      <c r="Z9" s="75"/>
      <c r="AA9" s="177" t="s">
        <v>266</v>
      </c>
      <c r="AB9" s="178">
        <v>10.0</v>
      </c>
      <c r="AC9" s="87">
        <f>Y20</f>
        <v>607.444243</v>
      </c>
      <c r="AD9" s="179" t="s">
        <v>256</v>
      </c>
      <c r="AE9" s="180">
        <v>10.0</v>
      </c>
      <c r="AF9" s="182">
        <f t="shared" si="1"/>
        <v>0.01646241629</v>
      </c>
      <c r="AG9" s="183">
        <f t="shared" si="2"/>
        <v>1.646241629</v>
      </c>
      <c r="AH9" s="143">
        <f t="shared" si="3"/>
        <v>1000</v>
      </c>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row>
    <row r="10">
      <c r="A10" s="75" t="s">
        <v>267</v>
      </c>
      <c r="B10" s="75" t="s">
        <v>219</v>
      </c>
      <c r="C10" s="75"/>
      <c r="D10" s="75" t="s">
        <v>220</v>
      </c>
      <c r="E10" s="75"/>
      <c r="F10" s="75"/>
      <c r="G10" s="143">
        <v>18.1490633374145</v>
      </c>
      <c r="H10" s="143">
        <v>18.1490633374145</v>
      </c>
      <c r="I10" s="143">
        <v>0.0</v>
      </c>
      <c r="J10" s="143">
        <v>0.2</v>
      </c>
      <c r="K10" s="143">
        <v>-0.698970004336019</v>
      </c>
      <c r="L10" s="143">
        <v>0.2</v>
      </c>
      <c r="M10" s="143">
        <v>0.0</v>
      </c>
      <c r="N10" s="143">
        <v>60.0</v>
      </c>
      <c r="O10" s="75"/>
      <c r="P10" s="169" t="s">
        <v>268</v>
      </c>
      <c r="Q10" s="185">
        <v>1000000.0</v>
      </c>
      <c r="R10" s="157">
        <v>0.203627376939579</v>
      </c>
      <c r="S10" s="157">
        <v>0.216769355172459</v>
      </c>
      <c r="T10" s="157">
        <v>0.198952905876657</v>
      </c>
      <c r="U10" s="159">
        <f>AVERAGE(R10:T10)</f>
        <v>0.2064498793</v>
      </c>
      <c r="V10" s="182">
        <f>U10*(452/600)</f>
        <v>0.1555255758</v>
      </c>
      <c r="W10" s="87">
        <f>V10*Q10</f>
        <v>155525.5758</v>
      </c>
      <c r="X10" s="186">
        <f>W10/1000</f>
        <v>155.5255758</v>
      </c>
      <c r="Y10" s="176"/>
      <c r="Z10" s="75"/>
      <c r="AA10" s="177" t="s">
        <v>269</v>
      </c>
      <c r="AB10" s="178">
        <v>10.0</v>
      </c>
      <c r="AC10" s="87">
        <f>Y24</f>
        <v>580.6210409</v>
      </c>
      <c r="AD10" s="179" t="s">
        <v>256</v>
      </c>
      <c r="AE10" s="180">
        <v>10.0</v>
      </c>
      <c r="AF10" s="182">
        <f t="shared" si="1"/>
        <v>0.01722293767</v>
      </c>
      <c r="AG10" s="183">
        <f t="shared" si="2"/>
        <v>1.722293767</v>
      </c>
      <c r="AH10" s="143">
        <f t="shared" si="3"/>
        <v>1000</v>
      </c>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row>
    <row r="11">
      <c r="A11" s="75" t="s">
        <v>270</v>
      </c>
      <c r="B11" s="75" t="s">
        <v>219</v>
      </c>
      <c r="C11" s="75"/>
      <c r="D11" s="75" t="s">
        <v>220</v>
      </c>
      <c r="E11" s="75"/>
      <c r="F11" s="75"/>
      <c r="G11" s="143">
        <v>20.5456000306854</v>
      </c>
      <c r="H11" s="143">
        <v>20.5456000306854</v>
      </c>
      <c r="I11" s="143">
        <v>0.0</v>
      </c>
      <c r="J11" s="143">
        <v>0.02</v>
      </c>
      <c r="K11" s="143">
        <v>-1.69897000433602</v>
      </c>
      <c r="L11" s="143">
        <v>0.02</v>
      </c>
      <c r="M11" s="143">
        <v>0.0</v>
      </c>
      <c r="N11" s="143">
        <v>60.0</v>
      </c>
      <c r="O11" s="75"/>
      <c r="P11" s="187"/>
      <c r="Q11" s="188"/>
      <c r="R11" s="189"/>
      <c r="S11" s="189"/>
      <c r="T11" s="190"/>
      <c r="U11" s="189"/>
      <c r="V11" s="191"/>
      <c r="W11" s="192"/>
      <c r="X11" s="193"/>
      <c r="Y11" s="194"/>
      <c r="Z11" s="75"/>
      <c r="AA11" s="177" t="s">
        <v>271</v>
      </c>
      <c r="AB11" s="178">
        <v>9.0</v>
      </c>
      <c r="AC11" s="87">
        <f>Y28</f>
        <v>333.3728862</v>
      </c>
      <c r="AD11" s="179" t="s">
        <v>256</v>
      </c>
      <c r="AE11" s="180">
        <v>10.0</v>
      </c>
      <c r="AF11" s="182">
        <f t="shared" si="1"/>
        <v>0.02999644067</v>
      </c>
      <c r="AG11" s="183">
        <f t="shared" si="2"/>
        <v>2.999644067</v>
      </c>
      <c r="AH11" s="143">
        <f t="shared" si="3"/>
        <v>1000</v>
      </c>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row>
    <row r="12">
      <c r="A12" s="75" t="s">
        <v>272</v>
      </c>
      <c r="B12" s="75" t="s">
        <v>219</v>
      </c>
      <c r="C12" s="75"/>
      <c r="D12" s="75" t="s">
        <v>220</v>
      </c>
      <c r="E12" s="75"/>
      <c r="F12" s="75"/>
      <c r="G12" s="143">
        <v>19.6810859713799</v>
      </c>
      <c r="H12" s="143">
        <v>19.6810859713799</v>
      </c>
      <c r="I12" s="143">
        <v>0.0</v>
      </c>
      <c r="J12" s="143">
        <v>0.02</v>
      </c>
      <c r="K12" s="143">
        <v>-1.69897000433602</v>
      </c>
      <c r="L12" s="143">
        <v>0.02</v>
      </c>
      <c r="M12" s="143">
        <v>0.0</v>
      </c>
      <c r="N12" s="143">
        <v>60.0</v>
      </c>
      <c r="O12" s="75"/>
      <c r="P12" s="155" t="s">
        <v>273</v>
      </c>
      <c r="Q12" s="156">
        <v>200000.0</v>
      </c>
      <c r="R12" s="157">
        <v>4.14850213737252</v>
      </c>
      <c r="S12" s="157">
        <v>3.8151960452425</v>
      </c>
      <c r="T12" s="157">
        <v>4.45766514538873</v>
      </c>
      <c r="U12" s="159">
        <f>AVERAGE(R12:T12)</f>
        <v>4.140454443</v>
      </c>
      <c r="V12" s="160">
        <f>U12*(452/600)</f>
        <v>3.119142347</v>
      </c>
      <c r="W12" s="161">
        <f>V12*Q12</f>
        <v>623828.4694</v>
      </c>
      <c r="X12" s="162">
        <f>W12/1000</f>
        <v>623.8284694</v>
      </c>
      <c r="Y12" s="163">
        <f>AVERAGE(X12,X14:X15)</f>
        <v>623.8284694</v>
      </c>
      <c r="Z12" s="75"/>
      <c r="AA12" s="177" t="s">
        <v>274</v>
      </c>
      <c r="AB12" s="178">
        <v>9.0</v>
      </c>
      <c r="AC12" s="87">
        <f>Y32</f>
        <v>965.7215419</v>
      </c>
      <c r="AD12" s="179" t="s">
        <v>256</v>
      </c>
      <c r="AE12" s="180">
        <v>10.0</v>
      </c>
      <c r="AF12" s="182">
        <f t="shared" si="1"/>
        <v>0.01035495178</v>
      </c>
      <c r="AG12" s="183">
        <f t="shared" si="2"/>
        <v>1.035495178</v>
      </c>
      <c r="AH12" s="143">
        <f t="shared" si="3"/>
        <v>1000</v>
      </c>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row>
    <row r="13">
      <c r="A13" s="75" t="s">
        <v>275</v>
      </c>
      <c r="B13" s="75" t="s">
        <v>219</v>
      </c>
      <c r="C13" s="75"/>
      <c r="D13" s="75" t="s">
        <v>220</v>
      </c>
      <c r="E13" s="75"/>
      <c r="F13" s="75"/>
      <c r="G13" s="143">
        <v>21.1924000102232</v>
      </c>
      <c r="H13" s="143">
        <v>21.1924000102232</v>
      </c>
      <c r="I13" s="143">
        <v>0.0</v>
      </c>
      <c r="J13" s="143">
        <v>0.02</v>
      </c>
      <c r="K13" s="143">
        <v>-1.69897000433602</v>
      </c>
      <c r="L13" s="143">
        <v>0.02</v>
      </c>
      <c r="M13" s="143">
        <v>0.0</v>
      </c>
      <c r="N13" s="143">
        <v>60.0</v>
      </c>
      <c r="O13" s="75"/>
      <c r="P13" s="169"/>
      <c r="Q13" s="170"/>
      <c r="R13" s="171"/>
      <c r="S13" s="171"/>
      <c r="T13" s="172"/>
      <c r="U13" s="171"/>
      <c r="V13" s="173"/>
      <c r="W13" s="174"/>
      <c r="X13" s="175"/>
      <c r="Y13" s="195"/>
      <c r="Z13" s="75"/>
      <c r="AA13" s="177" t="s">
        <v>276</v>
      </c>
      <c r="AB13" s="178">
        <v>9.0</v>
      </c>
      <c r="AC13" s="87">
        <f>Y36</f>
        <v>816.8345232</v>
      </c>
      <c r="AD13" s="179" t="s">
        <v>256</v>
      </c>
      <c r="AE13" s="180">
        <v>10.0</v>
      </c>
      <c r="AF13" s="182">
        <f t="shared" si="1"/>
        <v>0.01224238168</v>
      </c>
      <c r="AG13" s="183">
        <f t="shared" si="2"/>
        <v>1.224238168</v>
      </c>
      <c r="AH13" s="143">
        <f t="shared" si="3"/>
        <v>1000</v>
      </c>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row>
    <row r="14">
      <c r="A14" s="75" t="s">
        <v>277</v>
      </c>
      <c r="B14" s="75" t="s">
        <v>219</v>
      </c>
      <c r="C14" s="75"/>
      <c r="D14" s="75" t="s">
        <v>220</v>
      </c>
      <c r="E14" s="75"/>
      <c r="F14" s="75"/>
      <c r="G14" s="143">
        <v>24.6277494706028</v>
      </c>
      <c r="H14" s="143">
        <v>24.6277494706028</v>
      </c>
      <c r="I14" s="143">
        <v>0.0</v>
      </c>
      <c r="J14" s="143">
        <v>0.002</v>
      </c>
      <c r="K14" s="143">
        <v>-2.69897000433602</v>
      </c>
      <c r="L14" s="143">
        <v>0.002</v>
      </c>
      <c r="M14" s="143">
        <v>0.0</v>
      </c>
      <c r="N14" s="143">
        <v>60.0</v>
      </c>
      <c r="O14" s="75"/>
      <c r="P14" s="169" t="s">
        <v>278</v>
      </c>
      <c r="Q14" s="185">
        <v>1000000.0</v>
      </c>
      <c r="R14" s="196"/>
      <c r="S14" s="196"/>
      <c r="T14" s="196"/>
      <c r="U14" s="159" t="str">
        <f>AVERAGE(R14:T14)</f>
        <v>#DIV/0!</v>
      </c>
      <c r="V14" s="182" t="str">
        <f>U14*(452/600)</f>
        <v>#DIV/0!</v>
      </c>
      <c r="W14" s="87" t="str">
        <f>V14*Q14</f>
        <v>#DIV/0!</v>
      </c>
      <c r="X14" s="175"/>
      <c r="Y14" s="195"/>
      <c r="Z14" s="75"/>
      <c r="AA14" s="177" t="s">
        <v>279</v>
      </c>
      <c r="AB14" s="178">
        <v>9.0</v>
      </c>
      <c r="AC14" s="87">
        <f>Y40</f>
        <v>954.6677948</v>
      </c>
      <c r="AD14" s="179" t="s">
        <v>256</v>
      </c>
      <c r="AE14" s="180">
        <v>10.0</v>
      </c>
      <c r="AF14" s="182">
        <f t="shared" si="1"/>
        <v>0.01047484796</v>
      </c>
      <c r="AG14" s="183">
        <f t="shared" si="2"/>
        <v>1.047484796</v>
      </c>
      <c r="AH14" s="143">
        <f t="shared" si="3"/>
        <v>1000</v>
      </c>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row>
    <row r="15">
      <c r="A15" s="75" t="s">
        <v>280</v>
      </c>
      <c r="B15" s="75" t="s">
        <v>219</v>
      </c>
      <c r="C15" s="75"/>
      <c r="D15" s="75" t="s">
        <v>220</v>
      </c>
      <c r="E15" s="75"/>
      <c r="F15" s="75"/>
      <c r="G15" s="143">
        <v>25.1430036196111</v>
      </c>
      <c r="H15" s="143">
        <v>25.1430036196111</v>
      </c>
      <c r="I15" s="143">
        <v>0.0</v>
      </c>
      <c r="J15" s="143">
        <v>0.002</v>
      </c>
      <c r="K15" s="143">
        <v>-2.69897000433602</v>
      </c>
      <c r="L15" s="143">
        <v>0.002</v>
      </c>
      <c r="M15" s="143">
        <v>0.0</v>
      </c>
      <c r="N15" s="143">
        <v>60.0</v>
      </c>
      <c r="O15" s="75"/>
      <c r="P15" s="187"/>
      <c r="Q15" s="188"/>
      <c r="R15" s="189"/>
      <c r="S15" s="189"/>
      <c r="T15" s="190"/>
      <c r="U15" s="189"/>
      <c r="V15" s="191"/>
      <c r="W15" s="192"/>
      <c r="X15" s="193"/>
      <c r="Y15" s="197"/>
      <c r="Z15" s="75"/>
      <c r="AA15" s="198" t="s">
        <v>281</v>
      </c>
      <c r="AB15" s="199">
        <f>SUM(AB5:AB14)</f>
        <v>96</v>
      </c>
      <c r="AC15" s="174"/>
      <c r="AD15" s="199" t="s">
        <v>282</v>
      </c>
      <c r="AE15" s="200">
        <f>SUM(AE5:AE14)</f>
        <v>100</v>
      </c>
      <c r="AF15" s="87" t="s">
        <v>283</v>
      </c>
      <c r="AG15" s="201">
        <f>SUM(AG5:AG14)</f>
        <v>25.91320343</v>
      </c>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row>
    <row r="16">
      <c r="A16" s="75" t="s">
        <v>284</v>
      </c>
      <c r="B16" s="75" t="s">
        <v>219</v>
      </c>
      <c r="C16" s="75"/>
      <c r="D16" s="75" t="s">
        <v>220</v>
      </c>
      <c r="E16" s="75"/>
      <c r="F16" s="75"/>
      <c r="G16" s="143">
        <v>24.9103518798904</v>
      </c>
      <c r="H16" s="143">
        <v>24.9103518798904</v>
      </c>
      <c r="I16" s="143">
        <v>0.0</v>
      </c>
      <c r="J16" s="143">
        <v>0.002</v>
      </c>
      <c r="K16" s="143">
        <v>-2.69897000433602</v>
      </c>
      <c r="L16" s="143">
        <v>0.002</v>
      </c>
      <c r="M16" s="143">
        <v>0.0</v>
      </c>
      <c r="N16" s="143">
        <v>60.0</v>
      </c>
      <c r="O16" s="75"/>
      <c r="P16" s="155" t="s">
        <v>285</v>
      </c>
      <c r="Q16" s="156">
        <v>200000.0</v>
      </c>
      <c r="R16" s="196"/>
      <c r="S16" s="196"/>
      <c r="T16" s="196"/>
      <c r="U16" s="159" t="str">
        <f>AVERAGE(R16:T16)</f>
        <v>#DIV/0!</v>
      </c>
      <c r="V16" s="182" t="str">
        <f>U16*(452/600)</f>
        <v>#DIV/0!</v>
      </c>
      <c r="W16" s="87" t="str">
        <f>V16*Q16</f>
        <v>#DIV/0!</v>
      </c>
      <c r="X16" s="175"/>
      <c r="Y16" s="202">
        <f>AVERAGE(X16:X18)</f>
        <v>640.9696538</v>
      </c>
      <c r="Z16" s="75"/>
      <c r="AA16" s="177"/>
      <c r="AB16" s="75"/>
      <c r="AC16" s="174"/>
      <c r="AD16" s="75"/>
      <c r="AE16" s="75"/>
      <c r="AF16" s="87" t="s">
        <v>286</v>
      </c>
      <c r="AG16" s="203">
        <f>100-AG15</f>
        <v>74.08679657</v>
      </c>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row>
    <row r="17">
      <c r="A17" s="75" t="s">
        <v>287</v>
      </c>
      <c r="B17" s="75" t="s">
        <v>219</v>
      </c>
      <c r="C17" s="75"/>
      <c r="D17" s="75" t="s">
        <v>220</v>
      </c>
      <c r="E17" s="75"/>
      <c r="F17" s="75"/>
      <c r="G17" s="143">
        <v>28.2213199793804</v>
      </c>
      <c r="H17" s="143">
        <v>28.2213199793804</v>
      </c>
      <c r="I17" s="143">
        <v>0.0</v>
      </c>
      <c r="J17" s="143">
        <v>2.0E-4</v>
      </c>
      <c r="K17" s="143">
        <v>-3.69897000433602</v>
      </c>
      <c r="L17" s="143">
        <v>2.0E-4</v>
      </c>
      <c r="M17" s="143">
        <v>0.0</v>
      </c>
      <c r="N17" s="143">
        <v>60.0</v>
      </c>
      <c r="O17" s="75"/>
      <c r="P17" s="169"/>
      <c r="Q17" s="170"/>
      <c r="R17" s="171"/>
      <c r="S17" s="171"/>
      <c r="T17" s="172"/>
      <c r="U17" s="171"/>
      <c r="V17" s="173"/>
      <c r="W17" s="174"/>
      <c r="X17" s="175"/>
      <c r="Y17" s="195"/>
      <c r="Z17" s="75"/>
      <c r="AA17" s="204"/>
      <c r="AB17" s="205"/>
      <c r="AC17" s="205"/>
      <c r="AD17" s="205"/>
      <c r="AE17" s="205"/>
      <c r="AF17" s="206" t="s">
        <v>288</v>
      </c>
      <c r="AG17" s="207">
        <f>SUM(AG15:AG16)</f>
        <v>100</v>
      </c>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row>
    <row r="18">
      <c r="A18" s="75" t="s">
        <v>289</v>
      </c>
      <c r="B18" s="75" t="s">
        <v>219</v>
      </c>
      <c r="C18" s="75"/>
      <c r="D18" s="75" t="s">
        <v>220</v>
      </c>
      <c r="E18" s="75"/>
      <c r="F18" s="75"/>
      <c r="G18" s="143">
        <v>28.4632756079935</v>
      </c>
      <c r="H18" s="143">
        <v>28.4632756079935</v>
      </c>
      <c r="I18" s="143">
        <v>0.0</v>
      </c>
      <c r="J18" s="143">
        <v>2.0E-4</v>
      </c>
      <c r="K18" s="143">
        <v>-3.69897000433602</v>
      </c>
      <c r="L18" s="143">
        <v>2.0E-4</v>
      </c>
      <c r="M18" s="143">
        <v>0.0</v>
      </c>
      <c r="N18" s="143">
        <v>60.0</v>
      </c>
      <c r="O18" s="75"/>
      <c r="P18" s="169" t="s">
        <v>290</v>
      </c>
      <c r="Q18" s="185">
        <v>1000000.0</v>
      </c>
      <c r="R18" s="157">
        <v>0.747398673324701</v>
      </c>
      <c r="S18" s="157">
        <v>0.953326124272561</v>
      </c>
      <c r="T18" s="157">
        <v>0.85180922176606</v>
      </c>
      <c r="U18" s="159">
        <f>AVERAGE(R18:T18)</f>
        <v>0.8508446731</v>
      </c>
      <c r="V18" s="182">
        <f>U18*(452/600)</f>
        <v>0.6409696538</v>
      </c>
      <c r="W18" s="87">
        <f>V18*Q18</f>
        <v>640969.6538</v>
      </c>
      <c r="X18" s="186">
        <f>W18/1000</f>
        <v>640.9696538</v>
      </c>
      <c r="Y18" s="19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row>
    <row r="19">
      <c r="A19" s="75" t="s">
        <v>291</v>
      </c>
      <c r="B19" s="75" t="s">
        <v>219</v>
      </c>
      <c r="C19" s="75"/>
      <c r="D19" s="75" t="s">
        <v>220</v>
      </c>
      <c r="E19" s="75"/>
      <c r="F19" s="75"/>
      <c r="G19" s="143">
        <v>27.1673228054885</v>
      </c>
      <c r="H19" s="143">
        <v>27.1673228054885</v>
      </c>
      <c r="I19" s="143">
        <v>0.0</v>
      </c>
      <c r="J19" s="143">
        <v>2.0E-4</v>
      </c>
      <c r="K19" s="143">
        <v>-3.69897000433602</v>
      </c>
      <c r="L19" s="143">
        <v>2.0E-4</v>
      </c>
      <c r="M19" s="143">
        <v>0.0</v>
      </c>
      <c r="N19" s="143">
        <v>60.0</v>
      </c>
      <c r="O19" s="75"/>
      <c r="P19" s="187"/>
      <c r="Q19" s="188"/>
      <c r="R19" s="189"/>
      <c r="S19" s="189"/>
      <c r="T19" s="190"/>
      <c r="U19" s="189"/>
      <c r="V19" s="191"/>
      <c r="W19" s="192"/>
      <c r="X19" s="193"/>
      <c r="Y19" s="197"/>
      <c r="Z19" s="75"/>
      <c r="AA19" s="75" t="s">
        <v>292</v>
      </c>
      <c r="AB19" s="208" t="s">
        <v>293</v>
      </c>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row>
    <row r="20">
      <c r="A20" s="75" t="s">
        <v>294</v>
      </c>
      <c r="B20" s="75" t="s">
        <v>219</v>
      </c>
      <c r="C20" s="75"/>
      <c r="D20" s="75" t="s">
        <v>295</v>
      </c>
      <c r="E20" s="75"/>
      <c r="F20" s="75"/>
      <c r="G20" s="75" t="s">
        <v>296</v>
      </c>
      <c r="H20" s="143">
        <v>0.0</v>
      </c>
      <c r="I20" s="143">
        <v>0.0</v>
      </c>
      <c r="J20" s="75" t="s">
        <v>296</v>
      </c>
      <c r="K20" s="75" t="s">
        <v>296</v>
      </c>
      <c r="L20" s="143">
        <v>0.0</v>
      </c>
      <c r="M20" s="143">
        <v>0.0</v>
      </c>
      <c r="N20" s="143">
        <v>60.0</v>
      </c>
      <c r="O20" s="75"/>
      <c r="P20" s="155" t="s">
        <v>297</v>
      </c>
      <c r="Q20" s="156">
        <v>200000.0</v>
      </c>
      <c r="R20" s="157">
        <v>4.37968470823438</v>
      </c>
      <c r="S20" s="157">
        <v>4.24326142701867</v>
      </c>
      <c r="T20" s="157">
        <v>3.71168974715015</v>
      </c>
      <c r="U20" s="159">
        <f>AVERAGE(R20:T20)</f>
        <v>4.111545294</v>
      </c>
      <c r="V20" s="182">
        <f>U20*(452/600)</f>
        <v>3.097364122</v>
      </c>
      <c r="W20" s="87">
        <f>V20*Q20</f>
        <v>619472.8243</v>
      </c>
      <c r="X20" s="186">
        <f>W20/1000</f>
        <v>619.4728243</v>
      </c>
      <c r="Y20" s="209">
        <f>AVERAGE(X20:X23)</f>
        <v>607.444243</v>
      </c>
      <c r="Z20" s="75"/>
      <c r="AA20" s="75"/>
      <c r="AB20" s="75" t="s">
        <v>298</v>
      </c>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row>
    <row r="21">
      <c r="A21" s="75" t="s">
        <v>299</v>
      </c>
      <c r="B21" s="75" t="s">
        <v>219</v>
      </c>
      <c r="C21" s="75"/>
      <c r="D21" s="75" t="s">
        <v>295</v>
      </c>
      <c r="E21" s="75"/>
      <c r="F21" s="75"/>
      <c r="G21" s="75" t="s">
        <v>296</v>
      </c>
      <c r="H21" s="143">
        <v>0.0</v>
      </c>
      <c r="I21" s="143">
        <v>0.0</v>
      </c>
      <c r="J21" s="75" t="s">
        <v>296</v>
      </c>
      <c r="K21" s="75" t="s">
        <v>296</v>
      </c>
      <c r="L21" s="143">
        <v>0.0</v>
      </c>
      <c r="M21" s="143">
        <v>0.0</v>
      </c>
      <c r="N21" s="143">
        <v>60.0</v>
      </c>
      <c r="O21" s="75"/>
      <c r="P21" s="169"/>
      <c r="Q21" s="170"/>
      <c r="R21" s="171"/>
      <c r="S21" s="171"/>
      <c r="T21" s="172"/>
      <c r="U21" s="171"/>
      <c r="V21" s="173"/>
      <c r="W21" s="174"/>
      <c r="X21" s="175"/>
      <c r="Y21" s="19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row>
    <row r="22">
      <c r="A22" s="75" t="s">
        <v>300</v>
      </c>
      <c r="B22" s="75" t="s">
        <v>219</v>
      </c>
      <c r="C22" s="75"/>
      <c r="D22" s="75" t="s">
        <v>295</v>
      </c>
      <c r="E22" s="75"/>
      <c r="F22" s="75"/>
      <c r="G22" s="75" t="s">
        <v>296</v>
      </c>
      <c r="H22" s="143">
        <v>0.0</v>
      </c>
      <c r="I22" s="143">
        <v>0.0</v>
      </c>
      <c r="J22" s="75" t="s">
        <v>296</v>
      </c>
      <c r="K22" s="75" t="s">
        <v>296</v>
      </c>
      <c r="L22" s="143">
        <v>0.0</v>
      </c>
      <c r="M22" s="143">
        <v>0.0</v>
      </c>
      <c r="N22" s="143">
        <v>60.0</v>
      </c>
      <c r="O22" s="75"/>
      <c r="P22" s="169" t="s">
        <v>301</v>
      </c>
      <c r="Q22" s="185">
        <v>1000000.0</v>
      </c>
      <c r="R22" s="157">
        <v>0.786136007996172</v>
      </c>
      <c r="S22" s="157">
        <v>0.799040988261509</v>
      </c>
      <c r="T22" s="157">
        <v>0.785947320513084</v>
      </c>
      <c r="U22" s="159">
        <f>AVERAGE(R22:T22)</f>
        <v>0.7903747723</v>
      </c>
      <c r="V22" s="182">
        <f>U22*(452/600)</f>
        <v>0.5954156618</v>
      </c>
      <c r="W22" s="87">
        <f>V22*Q22</f>
        <v>595415.6618</v>
      </c>
      <c r="X22" s="186">
        <f>W22/1000</f>
        <v>595.4156618</v>
      </c>
      <c r="Y22" s="195"/>
      <c r="Z22" s="75"/>
      <c r="AA22" s="75" t="s">
        <v>302</v>
      </c>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row>
    <row r="23">
      <c r="A23" s="75" t="s">
        <v>303</v>
      </c>
      <c r="B23" s="75" t="s">
        <v>219</v>
      </c>
      <c r="C23" s="75"/>
      <c r="D23" s="75" t="s">
        <v>295</v>
      </c>
      <c r="E23" s="75"/>
      <c r="F23" s="75"/>
      <c r="G23" s="75" t="s">
        <v>296</v>
      </c>
      <c r="H23" s="143">
        <v>0.0</v>
      </c>
      <c r="I23" s="143">
        <v>0.0</v>
      </c>
      <c r="J23" s="75" t="s">
        <v>296</v>
      </c>
      <c r="K23" s="75" t="s">
        <v>296</v>
      </c>
      <c r="L23" s="143">
        <v>0.0</v>
      </c>
      <c r="M23" s="143">
        <v>0.0</v>
      </c>
      <c r="N23" s="143">
        <v>60.0</v>
      </c>
      <c r="O23" s="75"/>
      <c r="P23" s="187"/>
      <c r="Q23" s="188"/>
      <c r="R23" s="189"/>
      <c r="S23" s="189"/>
      <c r="T23" s="190"/>
      <c r="U23" s="189"/>
      <c r="V23" s="191"/>
      <c r="W23" s="192"/>
      <c r="X23" s="193"/>
      <c r="Y23" s="197"/>
      <c r="Z23" s="75"/>
      <c r="AA23" s="75" t="s">
        <v>304</v>
      </c>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row>
    <row r="24">
      <c r="A24" s="75" t="s">
        <v>305</v>
      </c>
      <c r="B24" s="75" t="s">
        <v>219</v>
      </c>
      <c r="C24" s="75"/>
      <c r="D24" s="75" t="s">
        <v>295</v>
      </c>
      <c r="E24" s="75"/>
      <c r="F24" s="75"/>
      <c r="G24" s="75" t="s">
        <v>296</v>
      </c>
      <c r="H24" s="143">
        <v>0.0</v>
      </c>
      <c r="I24" s="143">
        <v>0.0</v>
      </c>
      <c r="J24" s="75" t="s">
        <v>296</v>
      </c>
      <c r="K24" s="75" t="s">
        <v>296</v>
      </c>
      <c r="L24" s="143">
        <v>0.0</v>
      </c>
      <c r="M24" s="143">
        <v>0.0</v>
      </c>
      <c r="N24" s="143">
        <v>60.0</v>
      </c>
      <c r="O24" s="75"/>
      <c r="P24" s="155" t="s">
        <v>306</v>
      </c>
      <c r="Q24" s="156">
        <v>200000.0</v>
      </c>
      <c r="R24" s="157">
        <v>4.66249224915785</v>
      </c>
      <c r="S24" s="157">
        <v>4.56490019076365</v>
      </c>
      <c r="T24" s="157">
        <v>5.17208512045708</v>
      </c>
      <c r="U24" s="159">
        <f>AVERAGE(R24:T24)</f>
        <v>4.799825853</v>
      </c>
      <c r="V24" s="182">
        <f>U24*(452/600)</f>
        <v>3.61586881</v>
      </c>
      <c r="W24" s="87">
        <f>V24*Q24</f>
        <v>723173.7619</v>
      </c>
      <c r="X24" s="186">
        <f>W24/1000</f>
        <v>723.1737619</v>
      </c>
      <c r="Y24" s="209">
        <f>AVERAGE(X24:X26)</f>
        <v>580.6210409</v>
      </c>
      <c r="Z24" s="75"/>
      <c r="AA24" s="75" t="s">
        <v>307</v>
      </c>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row>
    <row r="25">
      <c r="A25" s="75" t="s">
        <v>308</v>
      </c>
      <c r="B25" s="75" t="s">
        <v>219</v>
      </c>
      <c r="C25" s="75"/>
      <c r="D25" s="75" t="s">
        <v>295</v>
      </c>
      <c r="E25" s="75"/>
      <c r="F25" s="75"/>
      <c r="G25" s="75" t="s">
        <v>296</v>
      </c>
      <c r="H25" s="143">
        <v>0.0</v>
      </c>
      <c r="I25" s="143">
        <v>0.0</v>
      </c>
      <c r="J25" s="75" t="s">
        <v>296</v>
      </c>
      <c r="K25" s="75" t="s">
        <v>296</v>
      </c>
      <c r="L25" s="143">
        <v>0.0</v>
      </c>
      <c r="M25" s="143">
        <v>0.0</v>
      </c>
      <c r="N25" s="143">
        <v>60.0</v>
      </c>
      <c r="O25" s="75"/>
      <c r="P25" s="169"/>
      <c r="Q25" s="170"/>
      <c r="R25" s="171"/>
      <c r="S25" s="171"/>
      <c r="T25" s="172"/>
      <c r="U25" s="171"/>
      <c r="V25" s="173"/>
      <c r="W25" s="174"/>
      <c r="X25" s="175"/>
      <c r="Y25" s="195"/>
      <c r="Z25" s="75"/>
      <c r="AA25" s="75" t="s">
        <v>309</v>
      </c>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row>
    <row r="26">
      <c r="A26" s="75" t="s">
        <v>310</v>
      </c>
      <c r="B26" s="75" t="s">
        <v>219</v>
      </c>
      <c r="C26" s="75" t="s">
        <v>311</v>
      </c>
      <c r="D26" s="75" t="s">
        <v>295</v>
      </c>
      <c r="E26" s="75" t="s">
        <v>239</v>
      </c>
      <c r="F26" s="75"/>
      <c r="G26" s="143">
        <v>15.2372817498422</v>
      </c>
      <c r="H26" s="143">
        <v>15.2372817498422</v>
      </c>
      <c r="I26" s="143">
        <v>0.0</v>
      </c>
      <c r="J26" s="157">
        <v>0.907386334554973</v>
      </c>
      <c r="K26" s="143">
        <v>-0.0422077655946413</v>
      </c>
      <c r="L26" s="143">
        <v>0.907386334554973</v>
      </c>
      <c r="M26" s="143">
        <v>0.0</v>
      </c>
      <c r="N26" s="143">
        <v>60.0</v>
      </c>
      <c r="O26" s="75"/>
      <c r="P26" s="169" t="s">
        <v>312</v>
      </c>
      <c r="Q26" s="185">
        <v>1000000.0</v>
      </c>
      <c r="R26" s="157">
        <v>0.62391930886942</v>
      </c>
      <c r="S26" s="157">
        <v>0.58179084383076</v>
      </c>
      <c r="T26" s="157">
        <v>0.538809705216328</v>
      </c>
      <c r="U26" s="159">
        <f>AVERAGE(R26:T26)</f>
        <v>0.5815066193</v>
      </c>
      <c r="V26" s="182">
        <f>U26*(452/600)</f>
        <v>0.4380683199</v>
      </c>
      <c r="W26" s="87">
        <f>V26*Q26</f>
        <v>438068.3199</v>
      </c>
      <c r="X26" s="186">
        <f>W26/1000</f>
        <v>438.0683199</v>
      </c>
      <c r="Y26" s="195"/>
      <c r="Z26" s="75"/>
      <c r="AA26" s="75" t="s">
        <v>313</v>
      </c>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row>
    <row r="27">
      <c r="A27" s="75" t="s">
        <v>314</v>
      </c>
      <c r="B27" s="75" t="s">
        <v>219</v>
      </c>
      <c r="C27" s="75" t="s">
        <v>311</v>
      </c>
      <c r="D27" s="75" t="s">
        <v>295</v>
      </c>
      <c r="E27" s="75" t="s">
        <v>239</v>
      </c>
      <c r="F27" s="75"/>
      <c r="G27" s="143">
        <v>15.2202540500138</v>
      </c>
      <c r="H27" s="143">
        <v>15.2202540500138</v>
      </c>
      <c r="I27" s="143">
        <v>0.0</v>
      </c>
      <c r="J27" s="157">
        <v>0.917535922100798</v>
      </c>
      <c r="K27" s="143">
        <v>-0.0373769238445257</v>
      </c>
      <c r="L27" s="143">
        <v>0.917535922100798</v>
      </c>
      <c r="M27" s="143">
        <v>0.0</v>
      </c>
      <c r="N27" s="143">
        <v>60.0</v>
      </c>
      <c r="O27" s="75"/>
      <c r="P27" s="187"/>
      <c r="Q27" s="188"/>
      <c r="R27" s="189"/>
      <c r="S27" s="189"/>
      <c r="T27" s="190"/>
      <c r="U27" s="189"/>
      <c r="V27" s="191"/>
      <c r="W27" s="192"/>
      <c r="X27" s="193"/>
      <c r="Y27" s="197"/>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row>
    <row r="28">
      <c r="A28" s="75" t="s">
        <v>315</v>
      </c>
      <c r="B28" s="75" t="s">
        <v>219</v>
      </c>
      <c r="C28" s="75" t="s">
        <v>311</v>
      </c>
      <c r="D28" s="75" t="s">
        <v>295</v>
      </c>
      <c r="E28" s="75" t="s">
        <v>239</v>
      </c>
      <c r="F28" s="75"/>
      <c r="G28" s="143">
        <v>15.1776372748429</v>
      </c>
      <c r="H28" s="143">
        <v>15.1776372748429</v>
      </c>
      <c r="I28" s="143">
        <v>0.0</v>
      </c>
      <c r="J28" s="157">
        <v>0.943438649329294</v>
      </c>
      <c r="K28" s="143">
        <v>-0.025286336224065</v>
      </c>
      <c r="L28" s="143">
        <v>0.943438649329294</v>
      </c>
      <c r="M28" s="143">
        <v>0.0</v>
      </c>
      <c r="N28" s="143">
        <v>60.0</v>
      </c>
      <c r="O28" s="75"/>
      <c r="P28" s="155" t="s">
        <v>316</v>
      </c>
      <c r="Q28" s="156">
        <v>200000.0</v>
      </c>
      <c r="R28" s="157">
        <v>3.10917447567591</v>
      </c>
      <c r="S28" s="157">
        <v>2.86196772120035</v>
      </c>
      <c r="T28" s="157">
        <v>2.62850766455836</v>
      </c>
      <c r="U28" s="159">
        <f>AVERAGE(R28:T28)</f>
        <v>2.866549954</v>
      </c>
      <c r="V28" s="182">
        <f>U28*(452/600)</f>
        <v>2.159467632</v>
      </c>
      <c r="W28" s="87">
        <f>V28*Q28</f>
        <v>431893.5264</v>
      </c>
      <c r="X28" s="186">
        <f>W28/1000</f>
        <v>431.8935264</v>
      </c>
      <c r="Y28" s="209">
        <f>AVERAGE(X28:X30)</f>
        <v>333.3728862</v>
      </c>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row>
    <row r="29">
      <c r="A29" s="75" t="s">
        <v>317</v>
      </c>
      <c r="B29" s="75" t="s">
        <v>219</v>
      </c>
      <c r="C29" s="75" t="s">
        <v>311</v>
      </c>
      <c r="D29" s="75" t="s">
        <v>295</v>
      </c>
      <c r="E29" s="75" t="s">
        <v>258</v>
      </c>
      <c r="F29" s="75"/>
      <c r="G29" s="143">
        <v>17.4899614914627</v>
      </c>
      <c r="H29" s="143">
        <v>17.4899614914627</v>
      </c>
      <c r="I29" s="143">
        <v>0.0</v>
      </c>
      <c r="J29" s="157">
        <v>0.208303213738741</v>
      </c>
      <c r="K29" s="143">
        <v>-0.681304029628658</v>
      </c>
      <c r="L29" s="143">
        <v>0.208303213738741</v>
      </c>
      <c r="M29" s="143">
        <v>0.0</v>
      </c>
      <c r="N29" s="143">
        <v>60.0</v>
      </c>
      <c r="O29" s="75"/>
      <c r="P29" s="169"/>
      <c r="Q29" s="170"/>
      <c r="R29" s="171"/>
      <c r="S29" s="171"/>
      <c r="T29" s="172"/>
      <c r="U29" s="171"/>
      <c r="V29" s="173"/>
      <c r="W29" s="174"/>
      <c r="X29" s="175"/>
      <c r="Y29" s="19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5"/>
      <c r="BJ29" s="75"/>
    </row>
    <row r="30">
      <c r="A30" s="75" t="s">
        <v>318</v>
      </c>
      <c r="B30" s="75" t="s">
        <v>219</v>
      </c>
      <c r="C30" s="75" t="s">
        <v>311</v>
      </c>
      <c r="D30" s="75" t="s">
        <v>295</v>
      </c>
      <c r="E30" s="75" t="s">
        <v>258</v>
      </c>
      <c r="F30" s="75"/>
      <c r="G30" s="143">
        <v>17.3932428186039</v>
      </c>
      <c r="H30" s="143">
        <v>17.3932428186039</v>
      </c>
      <c r="I30" s="143">
        <v>0.0</v>
      </c>
      <c r="J30" s="157">
        <v>0.22188887643804</v>
      </c>
      <c r="K30" s="143">
        <v>-0.653864468938186</v>
      </c>
      <c r="L30" s="143">
        <v>0.22188887643804</v>
      </c>
      <c r="M30" s="143">
        <v>0.0</v>
      </c>
      <c r="N30" s="143">
        <v>60.0</v>
      </c>
      <c r="O30" s="75"/>
      <c r="P30" s="169" t="s">
        <v>319</v>
      </c>
      <c r="Q30" s="185">
        <v>1000000.0</v>
      </c>
      <c r="R30" s="157">
        <v>0.283174474755687</v>
      </c>
      <c r="S30" s="157">
        <v>0.324256260586398</v>
      </c>
      <c r="T30" s="157">
        <v>0.327821571727549</v>
      </c>
      <c r="U30" s="159">
        <f>AVERAGE(R30:T30)</f>
        <v>0.311750769</v>
      </c>
      <c r="V30" s="182">
        <f>U30*(452/600)</f>
        <v>0.234852246</v>
      </c>
      <c r="W30" s="87">
        <f>V30*Q30</f>
        <v>234852.246</v>
      </c>
      <c r="X30" s="186">
        <f>W30/1000</f>
        <v>234.852246</v>
      </c>
      <c r="Y30" s="19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row>
    <row r="31">
      <c r="A31" s="75" t="s">
        <v>320</v>
      </c>
      <c r="B31" s="75" t="s">
        <v>219</v>
      </c>
      <c r="C31" s="75" t="s">
        <v>311</v>
      </c>
      <c r="D31" s="75" t="s">
        <v>295</v>
      </c>
      <c r="E31" s="75" t="s">
        <v>258</v>
      </c>
      <c r="F31" s="75"/>
      <c r="G31" s="143">
        <v>17.4433195369256</v>
      </c>
      <c r="H31" s="143">
        <v>17.4433195369256</v>
      </c>
      <c r="I31" s="143">
        <v>0.0</v>
      </c>
      <c r="J31" s="157">
        <v>0.214747699971575</v>
      </c>
      <c r="K31" s="143">
        <v>-0.668071478928629</v>
      </c>
      <c r="L31" s="143">
        <v>0.214747699971575</v>
      </c>
      <c r="M31" s="143">
        <v>0.0</v>
      </c>
      <c r="N31" s="143">
        <v>60.0</v>
      </c>
      <c r="O31" s="75"/>
      <c r="P31" s="187"/>
      <c r="Q31" s="188"/>
      <c r="R31" s="189"/>
      <c r="S31" s="189"/>
      <c r="T31" s="190"/>
      <c r="U31" s="189"/>
      <c r="V31" s="191"/>
      <c r="W31" s="192"/>
      <c r="X31" s="193"/>
      <c r="Y31" s="197"/>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row>
    <row r="32">
      <c r="A32" s="75" t="s">
        <v>321</v>
      </c>
      <c r="B32" s="75" t="s">
        <v>219</v>
      </c>
      <c r="C32" s="75" t="s">
        <v>311</v>
      </c>
      <c r="D32" s="75" t="s">
        <v>295</v>
      </c>
      <c r="E32" s="75" t="s">
        <v>263</v>
      </c>
      <c r="F32" s="75"/>
      <c r="G32" s="143">
        <v>14.0508680501583</v>
      </c>
      <c r="H32" s="143">
        <v>14.0508680501583</v>
      </c>
      <c r="I32" s="143">
        <v>0.0</v>
      </c>
      <c r="J32" s="157">
        <v>1.96962526106992</v>
      </c>
      <c r="K32" s="143">
        <v>0.29438360558771</v>
      </c>
      <c r="L32" s="143">
        <v>1.96962526106992</v>
      </c>
      <c r="M32" s="143">
        <v>0.0</v>
      </c>
      <c r="N32" s="143">
        <v>60.0</v>
      </c>
      <c r="O32" s="75"/>
      <c r="P32" s="155" t="s">
        <v>322</v>
      </c>
      <c r="Q32" s="156">
        <v>200000.0</v>
      </c>
      <c r="R32" s="157">
        <v>6.01041577377571</v>
      </c>
      <c r="S32" s="157">
        <v>6.37064974833287</v>
      </c>
      <c r="T32" s="157">
        <v>6.23936860006232</v>
      </c>
      <c r="U32" s="159">
        <f>AVERAGE(R32:T32)</f>
        <v>6.206811374</v>
      </c>
      <c r="V32" s="182">
        <f>U32*(452/600)</f>
        <v>4.675797902</v>
      </c>
      <c r="W32" s="87">
        <f>V32*Q32</f>
        <v>935159.5804</v>
      </c>
      <c r="X32" s="186">
        <f>W32/1000</f>
        <v>935.1595804</v>
      </c>
      <c r="Y32" s="209">
        <f>AVERAGE(X32:X34)</f>
        <v>965.7215419</v>
      </c>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row>
    <row r="33">
      <c r="A33" s="75" t="s">
        <v>323</v>
      </c>
      <c r="B33" s="75" t="s">
        <v>219</v>
      </c>
      <c r="C33" s="75" t="s">
        <v>311</v>
      </c>
      <c r="D33" s="75" t="s">
        <v>295</v>
      </c>
      <c r="E33" s="75" t="s">
        <v>263</v>
      </c>
      <c r="F33" s="75"/>
      <c r="G33" s="143">
        <v>14.022570038028</v>
      </c>
      <c r="H33" s="143">
        <v>14.022570038028</v>
      </c>
      <c r="I33" s="143">
        <v>0.0</v>
      </c>
      <c r="J33" s="157">
        <v>2.00637399437984</v>
      </c>
      <c r="K33" s="143">
        <v>0.302411890078389</v>
      </c>
      <c r="L33" s="143">
        <v>2.00637399437984</v>
      </c>
      <c r="M33" s="143">
        <v>0.0</v>
      </c>
      <c r="N33" s="143">
        <v>60.0</v>
      </c>
      <c r="O33" s="75"/>
      <c r="P33" s="169"/>
      <c r="Q33" s="170"/>
      <c r="R33" s="171"/>
      <c r="S33" s="171"/>
      <c r="T33" s="172"/>
      <c r="U33" s="171"/>
      <c r="V33" s="173"/>
      <c r="W33" s="174"/>
      <c r="X33" s="175"/>
      <c r="Y33" s="19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row>
    <row r="34">
      <c r="A34" s="75" t="s">
        <v>324</v>
      </c>
      <c r="B34" s="75" t="s">
        <v>219</v>
      </c>
      <c r="C34" s="75" t="s">
        <v>311</v>
      </c>
      <c r="D34" s="75" t="s">
        <v>295</v>
      </c>
      <c r="E34" s="75" t="s">
        <v>263</v>
      </c>
      <c r="F34" s="75"/>
      <c r="G34" s="143">
        <v>14.0695218418497</v>
      </c>
      <c r="H34" s="143">
        <v>14.0695218418497</v>
      </c>
      <c r="I34" s="143">
        <v>0.0</v>
      </c>
      <c r="J34" s="157">
        <v>1.94576968857802</v>
      </c>
      <c r="K34" s="143">
        <v>0.289091433620374</v>
      </c>
      <c r="L34" s="143">
        <v>1.94576968857802</v>
      </c>
      <c r="M34" s="143">
        <v>0.0</v>
      </c>
      <c r="N34" s="143">
        <v>60.0</v>
      </c>
      <c r="O34" s="75"/>
      <c r="P34" s="169" t="s">
        <v>325</v>
      </c>
      <c r="Q34" s="185">
        <v>1000000.0</v>
      </c>
      <c r="R34" s="157">
        <v>1.3393447256143</v>
      </c>
      <c r="S34" s="157">
        <v>1.32880459839041</v>
      </c>
      <c r="T34" s="157">
        <v>1.29935135358355</v>
      </c>
      <c r="U34" s="159">
        <f>AVERAGE(R34:T34)</f>
        <v>1.322500226</v>
      </c>
      <c r="V34" s="182">
        <f>U34*(452/600)</f>
        <v>0.9962835035</v>
      </c>
      <c r="W34" s="87">
        <f>V34*Q34</f>
        <v>996283.5035</v>
      </c>
      <c r="X34" s="186">
        <f>W34/1000</f>
        <v>996.2835035</v>
      </c>
      <c r="Y34" s="19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row>
    <row r="35">
      <c r="A35" s="75" t="s">
        <v>326</v>
      </c>
      <c r="B35" s="75" t="s">
        <v>219</v>
      </c>
      <c r="C35" s="75" t="s">
        <v>311</v>
      </c>
      <c r="D35" s="75" t="s">
        <v>295</v>
      </c>
      <c r="E35" s="75" t="s">
        <v>268</v>
      </c>
      <c r="F35" s="75"/>
      <c r="G35" s="143">
        <v>17.5247152224372</v>
      </c>
      <c r="H35" s="143">
        <v>17.5247152224372</v>
      </c>
      <c r="I35" s="143">
        <v>0.0</v>
      </c>
      <c r="J35" s="157">
        <v>0.203627376939579</v>
      </c>
      <c r="K35" s="143">
        <v>-0.691163833140313</v>
      </c>
      <c r="L35" s="143">
        <v>0.203627376939579</v>
      </c>
      <c r="M35" s="143">
        <v>0.0</v>
      </c>
      <c r="N35" s="143">
        <v>60.0</v>
      </c>
      <c r="O35" s="75"/>
      <c r="P35" s="187"/>
      <c r="Q35" s="188"/>
      <c r="R35" s="189"/>
      <c r="S35" s="189"/>
      <c r="T35" s="190"/>
      <c r="U35" s="189"/>
      <c r="V35" s="191"/>
      <c r="W35" s="192"/>
      <c r="X35" s="193"/>
      <c r="Y35" s="197"/>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c r="BJ35" s="75"/>
    </row>
    <row r="36">
      <c r="A36" s="75" t="s">
        <v>327</v>
      </c>
      <c r="B36" s="75" t="s">
        <v>219</v>
      </c>
      <c r="C36" s="75" t="s">
        <v>311</v>
      </c>
      <c r="D36" s="75" t="s">
        <v>295</v>
      </c>
      <c r="E36" s="75" t="s">
        <v>268</v>
      </c>
      <c r="F36" s="75"/>
      <c r="G36" s="143">
        <v>17.4289758835649</v>
      </c>
      <c r="H36" s="143">
        <v>17.4289758835649</v>
      </c>
      <c r="I36" s="143">
        <v>0.0</v>
      </c>
      <c r="J36" s="157">
        <v>0.216769355172459</v>
      </c>
      <c r="K36" s="143">
        <v>-0.664002114293236</v>
      </c>
      <c r="L36" s="143">
        <v>0.216769355172459</v>
      </c>
      <c r="M36" s="143">
        <v>0.0</v>
      </c>
      <c r="N36" s="143">
        <v>60.0</v>
      </c>
      <c r="O36" s="75"/>
      <c r="P36" s="155" t="s">
        <v>328</v>
      </c>
      <c r="Q36" s="156">
        <v>200000.0</v>
      </c>
      <c r="R36" s="157">
        <v>5.86755624911513</v>
      </c>
      <c r="S36" s="157">
        <v>5.97699758166455</v>
      </c>
      <c r="T36" s="157">
        <v>5.54208607461578</v>
      </c>
      <c r="U36" s="159">
        <f>AVERAGE(R36:T36)</f>
        <v>5.795546635</v>
      </c>
      <c r="V36" s="182">
        <f>U36*(452/600)</f>
        <v>4.365978465</v>
      </c>
      <c r="W36" s="87">
        <f>V36*Q36</f>
        <v>873195.693</v>
      </c>
      <c r="X36" s="186">
        <f>W36/1000</f>
        <v>873.195693</v>
      </c>
      <c r="Y36" s="209">
        <f>AVERAGE(X36:X38)</f>
        <v>816.8345232</v>
      </c>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row>
    <row r="37">
      <c r="A37" s="75" t="s">
        <v>329</v>
      </c>
      <c r="B37" s="75" t="s">
        <v>219</v>
      </c>
      <c r="C37" s="75" t="s">
        <v>311</v>
      </c>
      <c r="D37" s="75" t="s">
        <v>295</v>
      </c>
      <c r="E37" s="75" t="s">
        <v>268</v>
      </c>
      <c r="F37" s="75"/>
      <c r="G37" s="143">
        <v>17.5602658257407</v>
      </c>
      <c r="H37" s="143">
        <v>17.5602658257407</v>
      </c>
      <c r="I37" s="143">
        <v>0.0</v>
      </c>
      <c r="J37" s="157">
        <v>0.198952905876657</v>
      </c>
      <c r="K37" s="143">
        <v>-0.701249713230432</v>
      </c>
      <c r="L37" s="143">
        <v>0.198952905876657</v>
      </c>
      <c r="M37" s="143">
        <v>0.0</v>
      </c>
      <c r="N37" s="143">
        <v>60.0</v>
      </c>
      <c r="O37" s="75"/>
      <c r="P37" s="169"/>
      <c r="Q37" s="170"/>
      <c r="R37" s="171"/>
      <c r="S37" s="171"/>
      <c r="T37" s="172"/>
      <c r="U37" s="171"/>
      <c r="V37" s="173"/>
      <c r="W37" s="174"/>
      <c r="X37" s="175"/>
      <c r="Y37" s="195"/>
      <c r="Z37" s="75"/>
      <c r="AA37" s="75"/>
      <c r="AB37" s="75"/>
      <c r="AC37" s="75"/>
      <c r="AD37" s="75"/>
      <c r="AE37" s="75"/>
      <c r="AF37" s="181"/>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row>
    <row r="38">
      <c r="A38" s="75" t="s">
        <v>330</v>
      </c>
      <c r="B38" s="75" t="s">
        <v>219</v>
      </c>
      <c r="C38" s="75" t="s">
        <v>311</v>
      </c>
      <c r="D38" s="75" t="s">
        <v>295</v>
      </c>
      <c r="E38" s="75" t="s">
        <v>273</v>
      </c>
      <c r="F38" s="75"/>
      <c r="G38" s="143">
        <v>12.9105714916702</v>
      </c>
      <c r="H38" s="143">
        <v>12.9105714916702</v>
      </c>
      <c r="I38" s="143">
        <v>0.0</v>
      </c>
      <c r="J38" s="157">
        <v>4.14850213737252</v>
      </c>
      <c r="K38" s="143">
        <v>0.617891318182652</v>
      </c>
      <c r="L38" s="143">
        <v>4.14850213737252</v>
      </c>
      <c r="M38" s="143">
        <v>0.0</v>
      </c>
      <c r="N38" s="143">
        <v>60.0</v>
      </c>
      <c r="O38" s="75"/>
      <c r="P38" s="169" t="s">
        <v>331</v>
      </c>
      <c r="Q38" s="185">
        <v>1000000.0</v>
      </c>
      <c r="R38" s="157">
        <v>0.969828772802402</v>
      </c>
      <c r="S38" s="157">
        <v>1.03508613207619</v>
      </c>
      <c r="T38" s="157">
        <v>1.02351880304744</v>
      </c>
      <c r="U38" s="159">
        <f>AVERAGE(R38:T38)</f>
        <v>1.009477903</v>
      </c>
      <c r="V38" s="182">
        <f>U38*(452/600)</f>
        <v>0.7604733533</v>
      </c>
      <c r="W38" s="87">
        <f>V38*Q38</f>
        <v>760473.3533</v>
      </c>
      <c r="X38" s="186">
        <f>W38/1000</f>
        <v>760.4733533</v>
      </c>
      <c r="Y38" s="195"/>
      <c r="Z38" s="75"/>
      <c r="AA38" s="75"/>
      <c r="AB38" s="75"/>
      <c r="AC38" s="75"/>
      <c r="AD38" s="75"/>
      <c r="AE38" s="75"/>
      <c r="AF38" s="181"/>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row>
    <row r="39">
      <c r="A39" s="75" t="s">
        <v>332</v>
      </c>
      <c r="B39" s="75" t="s">
        <v>219</v>
      </c>
      <c r="C39" s="75" t="s">
        <v>311</v>
      </c>
      <c r="D39" s="75" t="s">
        <v>295</v>
      </c>
      <c r="E39" s="75" t="s">
        <v>273</v>
      </c>
      <c r="F39" s="75"/>
      <c r="G39" s="143">
        <v>13.0387837992251</v>
      </c>
      <c r="H39" s="143">
        <v>13.0387837992251</v>
      </c>
      <c r="I39" s="143">
        <v>0.0</v>
      </c>
      <c r="J39" s="157">
        <v>3.8151960452425</v>
      </c>
      <c r="K39" s="143">
        <v>0.58151685924489</v>
      </c>
      <c r="L39" s="143">
        <v>3.8151960452425</v>
      </c>
      <c r="M39" s="143">
        <v>0.0</v>
      </c>
      <c r="N39" s="143">
        <v>60.0</v>
      </c>
      <c r="O39" s="75"/>
      <c r="P39" s="187"/>
      <c r="Q39" s="188"/>
      <c r="R39" s="189"/>
      <c r="S39" s="189"/>
      <c r="T39" s="190"/>
      <c r="U39" s="189"/>
      <c r="V39" s="191"/>
      <c r="W39" s="192"/>
      <c r="X39" s="193"/>
      <c r="Y39" s="197"/>
      <c r="Z39" s="75"/>
      <c r="AA39" s="75"/>
      <c r="AB39" s="75"/>
      <c r="AC39" s="75"/>
      <c r="AD39" s="75"/>
      <c r="AE39" s="75"/>
      <c r="AF39" s="210"/>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row>
    <row r="40">
      <c r="A40" s="75" t="s">
        <v>333</v>
      </c>
      <c r="B40" s="75" t="s">
        <v>219</v>
      </c>
      <c r="C40" s="75" t="s">
        <v>311</v>
      </c>
      <c r="D40" s="75" t="s">
        <v>295</v>
      </c>
      <c r="E40" s="75" t="s">
        <v>273</v>
      </c>
      <c r="F40" s="75"/>
      <c r="G40" s="143">
        <v>12.8005412302551</v>
      </c>
      <c r="H40" s="143">
        <v>12.8005412302551</v>
      </c>
      <c r="I40" s="143">
        <v>0.0</v>
      </c>
      <c r="J40" s="157">
        <v>4.45766514538873</v>
      </c>
      <c r="K40" s="143">
        <v>0.649107441674081</v>
      </c>
      <c r="L40" s="143">
        <v>4.45766514538873</v>
      </c>
      <c r="M40" s="143">
        <v>0.0</v>
      </c>
      <c r="N40" s="143">
        <v>60.0</v>
      </c>
      <c r="O40" s="75"/>
      <c r="P40" s="155" t="s">
        <v>334</v>
      </c>
      <c r="Q40" s="156">
        <v>200000.0</v>
      </c>
      <c r="R40" s="157">
        <v>6.65293115990065</v>
      </c>
      <c r="S40" s="157">
        <v>6.71946768672396</v>
      </c>
      <c r="T40" s="157">
        <v>6.75758228400766</v>
      </c>
      <c r="U40" s="159">
        <f>AVERAGE(R40:T40)</f>
        <v>6.70999371</v>
      </c>
      <c r="V40" s="182">
        <f>U40*(452/600)</f>
        <v>5.054861928</v>
      </c>
      <c r="W40" s="87">
        <f>V40*Q40</f>
        <v>1010972.386</v>
      </c>
      <c r="X40" s="186">
        <f>W40/1000</f>
        <v>1010.972386</v>
      </c>
      <c r="Y40" s="209">
        <f>AVERAGE(X40:X42)</f>
        <v>954.6677948</v>
      </c>
      <c r="Z40" s="75"/>
      <c r="AA40" s="75"/>
      <c r="AB40" s="75"/>
      <c r="AC40" s="75"/>
      <c r="AD40" s="75"/>
      <c r="AE40" s="75"/>
      <c r="AF40" s="181"/>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row>
    <row r="41">
      <c r="A41" s="75" t="s">
        <v>335</v>
      </c>
      <c r="B41" s="75" t="s">
        <v>219</v>
      </c>
      <c r="C41" s="75" t="s">
        <v>311</v>
      </c>
      <c r="D41" s="75" t="s">
        <v>295</v>
      </c>
      <c r="E41" s="75" t="s">
        <v>278</v>
      </c>
      <c r="F41" s="75"/>
      <c r="G41" s="143">
        <v>24.0139556916326</v>
      </c>
      <c r="H41" s="143">
        <v>24.0139556916326</v>
      </c>
      <c r="I41" s="143">
        <v>0.0</v>
      </c>
      <c r="J41" s="157">
        <v>0.00293634375624017</v>
      </c>
      <c r="K41" s="143">
        <v>-2.53219310314999</v>
      </c>
      <c r="L41" s="143">
        <v>0.00293634375624017</v>
      </c>
      <c r="M41" s="143">
        <v>0.0</v>
      </c>
      <c r="N41" s="143">
        <v>60.0</v>
      </c>
      <c r="O41" s="75"/>
      <c r="P41" s="169"/>
      <c r="Q41" s="170"/>
      <c r="R41" s="171"/>
      <c r="S41" s="171"/>
      <c r="T41" s="172"/>
      <c r="U41" s="171"/>
      <c r="V41" s="173"/>
      <c r="W41" s="174"/>
      <c r="X41" s="175"/>
      <c r="Y41" s="195"/>
      <c r="Z41" s="75"/>
      <c r="AA41" s="75"/>
      <c r="AB41" s="75"/>
      <c r="AC41" s="75"/>
      <c r="AD41" s="75"/>
      <c r="AE41" s="75"/>
      <c r="AF41" s="181"/>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row>
    <row r="42">
      <c r="A42" s="75" t="s">
        <v>336</v>
      </c>
      <c r="B42" s="75" t="s">
        <v>219</v>
      </c>
      <c r="C42" s="75" t="s">
        <v>311</v>
      </c>
      <c r="D42" s="75" t="s">
        <v>295</v>
      </c>
      <c r="E42" s="75" t="s">
        <v>278</v>
      </c>
      <c r="F42" s="75"/>
      <c r="G42" s="143">
        <v>24.0264883362729</v>
      </c>
      <c r="H42" s="143">
        <v>24.0264883362729</v>
      </c>
      <c r="I42" s="143">
        <v>0.0</v>
      </c>
      <c r="J42" s="157">
        <v>0.00291240202435218</v>
      </c>
      <c r="K42" s="143">
        <v>-2.53574867575096</v>
      </c>
      <c r="L42" s="143">
        <v>0.00291240202435218</v>
      </c>
      <c r="M42" s="143">
        <v>0.0</v>
      </c>
      <c r="N42" s="143">
        <v>60.0</v>
      </c>
      <c r="O42" s="75"/>
      <c r="P42" s="169" t="s">
        <v>337</v>
      </c>
      <c r="Q42" s="185">
        <v>1000000.0</v>
      </c>
      <c r="R42" s="157">
        <v>1.28488715388591</v>
      </c>
      <c r="S42" s="157">
        <v>1.16452187273368</v>
      </c>
      <c r="T42" s="157">
        <v>1.12814355576881</v>
      </c>
      <c r="U42" s="159">
        <f>AVERAGE(R42:T42)</f>
        <v>1.192517527</v>
      </c>
      <c r="V42" s="182">
        <f>U42*(452/600)</f>
        <v>0.898363204</v>
      </c>
      <c r="W42" s="87">
        <f>V42*Q42</f>
        <v>898363.204</v>
      </c>
      <c r="X42" s="186">
        <f>W42/1000</f>
        <v>898.363204</v>
      </c>
      <c r="Y42" s="195"/>
      <c r="Z42" s="75"/>
      <c r="AA42" s="75"/>
      <c r="AB42" s="75"/>
      <c r="AC42" s="75"/>
      <c r="AD42" s="75"/>
      <c r="AE42" s="75"/>
      <c r="AF42" s="181"/>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row>
    <row r="43">
      <c r="A43" s="75" t="s">
        <v>338</v>
      </c>
      <c r="B43" s="75" t="s">
        <v>219</v>
      </c>
      <c r="C43" s="75" t="s">
        <v>311</v>
      </c>
      <c r="D43" s="75" t="s">
        <v>295</v>
      </c>
      <c r="E43" s="75" t="s">
        <v>278</v>
      </c>
      <c r="F43" s="75"/>
      <c r="G43" s="143">
        <v>22.0098242639631</v>
      </c>
      <c r="H43" s="143">
        <v>22.0098242639631</v>
      </c>
      <c r="I43" s="143">
        <v>0.0</v>
      </c>
      <c r="J43" s="157">
        <v>0.0108739864672201</v>
      </c>
      <c r="K43" s="143">
        <v>-1.9636112118176</v>
      </c>
      <c r="L43" s="143">
        <v>0.0108739864672201</v>
      </c>
      <c r="M43" s="143">
        <v>0.0</v>
      </c>
      <c r="N43" s="143">
        <v>60.0</v>
      </c>
      <c r="O43" s="75"/>
      <c r="P43" s="187"/>
      <c r="Q43" s="188"/>
      <c r="R43" s="189"/>
      <c r="S43" s="189"/>
      <c r="T43" s="190"/>
      <c r="U43" s="189"/>
      <c r="V43" s="191"/>
      <c r="W43" s="192"/>
      <c r="X43" s="193"/>
      <c r="Y43" s="197"/>
      <c r="Z43" s="75"/>
      <c r="AA43" s="75"/>
      <c r="AB43" s="75"/>
      <c r="AC43" s="75"/>
      <c r="AD43" s="75"/>
      <c r="AE43" s="75"/>
      <c r="AF43" s="181"/>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row>
    <row r="44">
      <c r="A44" s="75" t="s">
        <v>339</v>
      </c>
      <c r="B44" s="75" t="s">
        <v>219</v>
      </c>
      <c r="C44" s="75" t="s">
        <v>311</v>
      </c>
      <c r="D44" s="75" t="s">
        <v>295</v>
      </c>
      <c r="E44" s="75" t="s">
        <v>285</v>
      </c>
      <c r="F44" s="75"/>
      <c r="G44" s="143">
        <v>16.2635644631062</v>
      </c>
      <c r="H44" s="143">
        <v>16.2635644631062</v>
      </c>
      <c r="I44" s="143">
        <v>0.0</v>
      </c>
      <c r="J44" s="157">
        <v>0.464120559929112</v>
      </c>
      <c r="K44" s="143">
        <v>-0.333369192481668</v>
      </c>
      <c r="L44" s="143">
        <v>0.464120559929112</v>
      </c>
      <c r="M44" s="143">
        <v>0.0</v>
      </c>
      <c r="N44" s="143">
        <v>60.0</v>
      </c>
      <c r="O44" s="75"/>
      <c r="P44" s="75"/>
      <c r="Q44" s="75"/>
      <c r="R44" s="75"/>
      <c r="S44" s="75"/>
      <c r="T44" s="75"/>
      <c r="U44" s="75"/>
      <c r="V44" s="75"/>
      <c r="W44" s="75"/>
      <c r="X44" s="75"/>
      <c r="Y44" s="75"/>
      <c r="Z44" s="75"/>
      <c r="AA44" s="75"/>
      <c r="AB44" s="75"/>
      <c r="AC44" s="75"/>
      <c r="AD44" s="75"/>
      <c r="AE44" s="75"/>
      <c r="AF44" s="181"/>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c r="BJ44" s="75"/>
    </row>
    <row r="45">
      <c r="A45" s="75" t="s">
        <v>340</v>
      </c>
      <c r="B45" s="75" t="s">
        <v>219</v>
      </c>
      <c r="C45" s="75" t="s">
        <v>311</v>
      </c>
      <c r="D45" s="75" t="s">
        <v>295</v>
      </c>
      <c r="E45" s="75" t="s">
        <v>285</v>
      </c>
      <c r="F45" s="75"/>
      <c r="G45" s="143">
        <v>16.4506405513908</v>
      </c>
      <c r="H45" s="143">
        <v>16.4506405513908</v>
      </c>
      <c r="I45" s="143">
        <v>0.0</v>
      </c>
      <c r="J45" s="157">
        <v>0.410729981856758</v>
      </c>
      <c r="K45" s="143">
        <v>-0.386443594006115</v>
      </c>
      <c r="L45" s="143">
        <v>0.410729981856758</v>
      </c>
      <c r="M45" s="143">
        <v>0.0</v>
      </c>
      <c r="N45" s="143">
        <v>60.0</v>
      </c>
      <c r="O45" s="75"/>
      <c r="P45" s="75"/>
      <c r="Q45" s="75"/>
      <c r="R45" s="75"/>
      <c r="S45" s="75"/>
      <c r="T45" s="75"/>
      <c r="U45" s="75"/>
      <c r="V45" s="75"/>
      <c r="W45" s="75"/>
      <c r="X45" s="75"/>
      <c r="Y45" s="75"/>
      <c r="Z45" s="75"/>
      <c r="AA45" s="75"/>
      <c r="AB45" s="75"/>
      <c r="AC45" s="75"/>
      <c r="AD45" s="75"/>
      <c r="AE45" s="75"/>
      <c r="AF45" s="181"/>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row>
    <row r="46">
      <c r="A46" s="75" t="s">
        <v>341</v>
      </c>
      <c r="B46" s="75" t="s">
        <v>219</v>
      </c>
      <c r="C46" s="75" t="s">
        <v>311</v>
      </c>
      <c r="D46" s="75" t="s">
        <v>295</v>
      </c>
      <c r="E46" s="75" t="s">
        <v>285</v>
      </c>
      <c r="F46" s="75"/>
      <c r="G46" s="143">
        <v>16.3929174341506</v>
      </c>
      <c r="H46" s="143">
        <v>16.3929174341506</v>
      </c>
      <c r="I46" s="143">
        <v>0.0</v>
      </c>
      <c r="J46" s="157">
        <v>0.426513455573702</v>
      </c>
      <c r="K46" s="143">
        <v>-0.370067263232142</v>
      </c>
      <c r="L46" s="143">
        <v>0.426513455573702</v>
      </c>
      <c r="M46" s="143">
        <v>0.0</v>
      </c>
      <c r="N46" s="143">
        <v>60.0</v>
      </c>
      <c r="O46" s="75"/>
      <c r="P46" s="75"/>
      <c r="Q46" s="75"/>
      <c r="R46" s="75"/>
      <c r="S46" s="75"/>
      <c r="T46" s="75"/>
      <c r="U46" s="75"/>
      <c r="V46" s="75"/>
      <c r="W46" s="75"/>
      <c r="X46" s="75"/>
      <c r="Y46" s="75"/>
      <c r="Z46" s="75"/>
      <c r="AA46" s="75"/>
      <c r="AB46" s="75"/>
      <c r="AC46" s="75"/>
      <c r="AD46" s="75"/>
      <c r="AE46" s="75"/>
      <c r="AF46" s="181"/>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c r="BJ46" s="75"/>
    </row>
    <row r="47">
      <c r="A47" s="75" t="s">
        <v>342</v>
      </c>
      <c r="B47" s="75" t="s">
        <v>219</v>
      </c>
      <c r="C47" s="75" t="s">
        <v>311</v>
      </c>
      <c r="D47" s="75" t="s">
        <v>295</v>
      </c>
      <c r="E47" s="75" t="s">
        <v>290</v>
      </c>
      <c r="F47" s="75"/>
      <c r="G47" s="143">
        <v>15.5342096985743</v>
      </c>
      <c r="H47" s="143">
        <v>15.5342096985743</v>
      </c>
      <c r="I47" s="143">
        <v>0.0</v>
      </c>
      <c r="J47" s="157">
        <v>0.747398673324701</v>
      </c>
      <c r="K47" s="143">
        <v>-0.126447677383187</v>
      </c>
      <c r="L47" s="143">
        <v>0.747398673324701</v>
      </c>
      <c r="M47" s="143">
        <v>0.0</v>
      </c>
      <c r="N47" s="143">
        <v>60.0</v>
      </c>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row>
    <row r="48">
      <c r="A48" s="75" t="s">
        <v>343</v>
      </c>
      <c r="B48" s="75" t="s">
        <v>219</v>
      </c>
      <c r="C48" s="75" t="s">
        <v>311</v>
      </c>
      <c r="D48" s="75" t="s">
        <v>295</v>
      </c>
      <c r="E48" s="75" t="s">
        <v>290</v>
      </c>
      <c r="F48" s="75"/>
      <c r="G48" s="143">
        <v>15.1616776258342</v>
      </c>
      <c r="H48" s="143">
        <v>15.1616776258342</v>
      </c>
      <c r="I48" s="143">
        <v>0.0</v>
      </c>
      <c r="J48" s="157">
        <v>0.953326124272561</v>
      </c>
      <c r="K48" s="143">
        <v>-0.0207585057170016</v>
      </c>
      <c r="L48" s="143">
        <v>0.953326124272561</v>
      </c>
      <c r="M48" s="143">
        <v>0.0</v>
      </c>
      <c r="N48" s="143">
        <v>60.0</v>
      </c>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c r="BJ48" s="75"/>
    </row>
    <row r="49">
      <c r="A49" s="75" t="s">
        <v>344</v>
      </c>
      <c r="B49" s="75" t="s">
        <v>219</v>
      </c>
      <c r="C49" s="75" t="s">
        <v>311</v>
      </c>
      <c r="D49" s="75" t="s">
        <v>295</v>
      </c>
      <c r="E49" s="75" t="s">
        <v>290</v>
      </c>
      <c r="F49" s="75"/>
      <c r="G49" s="143">
        <v>15.3340368557673</v>
      </c>
      <c r="H49" s="143">
        <v>15.3340368557673</v>
      </c>
      <c r="I49" s="143">
        <v>0.0</v>
      </c>
      <c r="J49" s="157">
        <v>0.85180922176606</v>
      </c>
      <c r="K49" s="143">
        <v>-0.0696576625242634</v>
      </c>
      <c r="L49" s="143">
        <v>0.85180922176606</v>
      </c>
      <c r="M49" s="143">
        <v>0.0</v>
      </c>
      <c r="N49" s="143">
        <v>60.0</v>
      </c>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row>
    <row r="50">
      <c r="A50" s="75" t="s">
        <v>345</v>
      </c>
      <c r="B50" s="75" t="s">
        <v>219</v>
      </c>
      <c r="C50" s="75" t="s">
        <v>311</v>
      </c>
      <c r="D50" s="75" t="s">
        <v>295</v>
      </c>
      <c r="E50" s="75" t="s">
        <v>297</v>
      </c>
      <c r="F50" s="75"/>
      <c r="G50" s="143">
        <v>12.8275573125774</v>
      </c>
      <c r="H50" s="143">
        <v>12.8275573125774</v>
      </c>
      <c r="I50" s="143">
        <v>0.0</v>
      </c>
      <c r="J50" s="157">
        <v>4.37968470823438</v>
      </c>
      <c r="K50" s="143">
        <v>0.641442846941855</v>
      </c>
      <c r="L50" s="143">
        <v>4.37968470823438</v>
      </c>
      <c r="M50" s="143">
        <v>0.0</v>
      </c>
      <c r="N50" s="143">
        <v>60.0</v>
      </c>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5"/>
      <c r="BJ50" s="75"/>
    </row>
    <row r="51">
      <c r="A51" s="75" t="s">
        <v>346</v>
      </c>
      <c r="B51" s="75" t="s">
        <v>219</v>
      </c>
      <c r="C51" s="75" t="s">
        <v>311</v>
      </c>
      <c r="D51" s="75" t="s">
        <v>295</v>
      </c>
      <c r="E51" s="75" t="s">
        <v>297</v>
      </c>
      <c r="F51" s="75"/>
      <c r="G51" s="143">
        <v>12.875998696077</v>
      </c>
      <c r="H51" s="143">
        <v>12.875998696077</v>
      </c>
      <c r="I51" s="143">
        <v>0.0</v>
      </c>
      <c r="J51" s="157">
        <v>4.24326142701867</v>
      </c>
      <c r="K51" s="143">
        <v>0.627699789441392</v>
      </c>
      <c r="L51" s="143">
        <v>4.24326142701867</v>
      </c>
      <c r="M51" s="143">
        <v>0.0</v>
      </c>
      <c r="N51" s="143">
        <v>60.0</v>
      </c>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row>
    <row r="52">
      <c r="A52" s="75" t="s">
        <v>347</v>
      </c>
      <c r="B52" s="75" t="s">
        <v>219</v>
      </c>
      <c r="C52" s="75" t="s">
        <v>311</v>
      </c>
      <c r="D52" s="75" t="s">
        <v>295</v>
      </c>
      <c r="E52" s="75" t="s">
        <v>297</v>
      </c>
      <c r="F52" s="75"/>
      <c r="G52" s="143">
        <v>13.0808880854637</v>
      </c>
      <c r="H52" s="143">
        <v>13.0808880854637</v>
      </c>
      <c r="I52" s="143">
        <v>0.0</v>
      </c>
      <c r="J52" s="157">
        <v>3.71168974715015</v>
      </c>
      <c r="K52" s="143">
        <v>0.569571667241894</v>
      </c>
      <c r="L52" s="143">
        <v>3.71168974715015</v>
      </c>
      <c r="M52" s="143">
        <v>0.0</v>
      </c>
      <c r="N52" s="143">
        <v>60.0</v>
      </c>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row>
    <row r="53">
      <c r="A53" s="75" t="s">
        <v>348</v>
      </c>
      <c r="B53" s="75" t="s">
        <v>219</v>
      </c>
      <c r="C53" s="75" t="s">
        <v>311</v>
      </c>
      <c r="D53" s="75" t="s">
        <v>295</v>
      </c>
      <c r="E53" s="75" t="s">
        <v>301</v>
      </c>
      <c r="F53" s="75"/>
      <c r="G53" s="143">
        <v>15.4568569034074</v>
      </c>
      <c r="H53" s="143">
        <v>15.4568569034074</v>
      </c>
      <c r="I53" s="143">
        <v>0.0</v>
      </c>
      <c r="J53" s="157">
        <v>0.786136007996172</v>
      </c>
      <c r="K53" s="143">
        <v>-0.10450231094233</v>
      </c>
      <c r="L53" s="143">
        <v>0.786136007996172</v>
      </c>
      <c r="M53" s="143">
        <v>0.0</v>
      </c>
      <c r="N53" s="143">
        <v>60.0</v>
      </c>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row>
    <row r="54">
      <c r="A54" s="75" t="s">
        <v>349</v>
      </c>
      <c r="B54" s="75" t="s">
        <v>219</v>
      </c>
      <c r="C54" s="75" t="s">
        <v>311</v>
      </c>
      <c r="D54" s="75" t="s">
        <v>295</v>
      </c>
      <c r="E54" s="75" t="s">
        <v>301</v>
      </c>
      <c r="F54" s="75"/>
      <c r="G54" s="143">
        <v>15.4319318177311</v>
      </c>
      <c r="H54" s="143">
        <v>15.4319318177311</v>
      </c>
      <c r="I54" s="143">
        <v>0.0</v>
      </c>
      <c r="J54" s="157">
        <v>0.799040988261509</v>
      </c>
      <c r="K54" s="143">
        <v>-0.0974309421888603</v>
      </c>
      <c r="L54" s="143">
        <v>0.799040988261509</v>
      </c>
      <c r="M54" s="143">
        <v>0.0</v>
      </c>
      <c r="N54" s="143">
        <v>60.0</v>
      </c>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row>
    <row r="55">
      <c r="A55" s="75" t="s">
        <v>350</v>
      </c>
      <c r="B55" s="75" t="s">
        <v>219</v>
      </c>
      <c r="C55" s="75" t="s">
        <v>311</v>
      </c>
      <c r="D55" s="75" t="s">
        <v>295</v>
      </c>
      <c r="E55" s="75" t="s">
        <v>301</v>
      </c>
      <c r="F55" s="75"/>
      <c r="G55" s="143">
        <v>15.4572243675891</v>
      </c>
      <c r="H55" s="143">
        <v>15.4572243675891</v>
      </c>
      <c r="I55" s="143">
        <v>0.0</v>
      </c>
      <c r="J55" s="157">
        <v>0.785947320513084</v>
      </c>
      <c r="K55" s="143">
        <v>-0.104606562328522</v>
      </c>
      <c r="L55" s="143">
        <v>0.785947320513084</v>
      </c>
      <c r="M55" s="143">
        <v>0.0</v>
      </c>
      <c r="N55" s="143">
        <v>60.0</v>
      </c>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row>
    <row r="56">
      <c r="A56" s="75" t="s">
        <v>351</v>
      </c>
      <c r="B56" s="75" t="s">
        <v>219</v>
      </c>
      <c r="C56" s="75" t="s">
        <v>311</v>
      </c>
      <c r="D56" s="75" t="s">
        <v>295</v>
      </c>
      <c r="E56" s="75" t="s">
        <v>306</v>
      </c>
      <c r="F56" s="75"/>
      <c r="G56" s="143">
        <v>12.7317701879054</v>
      </c>
      <c r="H56" s="143">
        <v>12.7317701879054</v>
      </c>
      <c r="I56" s="143">
        <v>0.0</v>
      </c>
      <c r="J56" s="157">
        <v>4.66249224915785</v>
      </c>
      <c r="K56" s="143">
        <v>0.668618122854112</v>
      </c>
      <c r="L56" s="143">
        <v>4.66249224915785</v>
      </c>
      <c r="M56" s="143">
        <v>0.0</v>
      </c>
      <c r="N56" s="143">
        <v>60.0</v>
      </c>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row>
    <row r="57">
      <c r="A57" s="75" t="s">
        <v>352</v>
      </c>
      <c r="B57" s="75" t="s">
        <v>219</v>
      </c>
      <c r="C57" s="75" t="s">
        <v>311</v>
      </c>
      <c r="D57" s="75" t="s">
        <v>295</v>
      </c>
      <c r="E57" s="75" t="s">
        <v>306</v>
      </c>
      <c r="F57" s="75"/>
      <c r="G57" s="143">
        <v>12.764151851919</v>
      </c>
      <c r="H57" s="143">
        <v>12.764151851919</v>
      </c>
      <c r="I57" s="143">
        <v>0.0</v>
      </c>
      <c r="J57" s="157">
        <v>4.56490019076365</v>
      </c>
      <c r="K57" s="143">
        <v>0.659431286344696</v>
      </c>
      <c r="L57" s="143">
        <v>4.56490019076365</v>
      </c>
      <c r="M57" s="143">
        <v>0.0</v>
      </c>
      <c r="N57" s="143">
        <v>60.0</v>
      </c>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row>
    <row r="58">
      <c r="A58" s="75" t="s">
        <v>353</v>
      </c>
      <c r="B58" s="75" t="s">
        <v>219</v>
      </c>
      <c r="C58" s="75" t="s">
        <v>311</v>
      </c>
      <c r="D58" s="75" t="s">
        <v>295</v>
      </c>
      <c r="E58" s="75" t="s">
        <v>306</v>
      </c>
      <c r="F58" s="75"/>
      <c r="G58" s="143">
        <v>12.5729870929676</v>
      </c>
      <c r="H58" s="143">
        <v>12.5729870929676</v>
      </c>
      <c r="I58" s="143">
        <v>0.0</v>
      </c>
      <c r="J58" s="157">
        <v>5.17208512045708</v>
      </c>
      <c r="K58" s="143">
        <v>0.713665663741343</v>
      </c>
      <c r="L58" s="143">
        <v>5.17208512045708</v>
      </c>
      <c r="M58" s="143">
        <v>0.0</v>
      </c>
      <c r="N58" s="143">
        <v>60.0</v>
      </c>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row>
    <row r="59">
      <c r="A59" s="75" t="s">
        <v>354</v>
      </c>
      <c r="B59" s="75" t="s">
        <v>219</v>
      </c>
      <c r="C59" s="75" t="s">
        <v>311</v>
      </c>
      <c r="D59" s="75" t="s">
        <v>295</v>
      </c>
      <c r="E59" s="75" t="s">
        <v>312</v>
      </c>
      <c r="F59" s="75"/>
      <c r="G59" s="143">
        <v>15.8106374177385</v>
      </c>
      <c r="H59" s="143">
        <v>15.8106374177385</v>
      </c>
      <c r="I59" s="143">
        <v>0.0</v>
      </c>
      <c r="J59" s="157">
        <v>0.62391930886942</v>
      </c>
      <c r="K59" s="143">
        <v>-0.20487157374505</v>
      </c>
      <c r="L59" s="143">
        <v>0.62391930886942</v>
      </c>
      <c r="M59" s="143">
        <v>0.0</v>
      </c>
      <c r="N59" s="143">
        <v>60.0</v>
      </c>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row>
    <row r="60">
      <c r="A60" s="75" t="s">
        <v>355</v>
      </c>
      <c r="B60" s="75" t="s">
        <v>219</v>
      </c>
      <c r="C60" s="75" t="s">
        <v>311</v>
      </c>
      <c r="D60" s="75" t="s">
        <v>295</v>
      </c>
      <c r="E60" s="75" t="s">
        <v>312</v>
      </c>
      <c r="F60" s="75"/>
      <c r="G60" s="143">
        <v>15.9176554670335</v>
      </c>
      <c r="H60" s="143">
        <v>15.9176554670335</v>
      </c>
      <c r="I60" s="143">
        <v>0.0</v>
      </c>
      <c r="J60" s="157">
        <v>0.58179084383076</v>
      </c>
      <c r="K60" s="143">
        <v>-0.235233117920632</v>
      </c>
      <c r="L60" s="143">
        <v>0.58179084383076</v>
      </c>
      <c r="M60" s="143">
        <v>0.0</v>
      </c>
      <c r="N60" s="143">
        <v>60.0</v>
      </c>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row>
    <row r="61">
      <c r="A61" s="75" t="s">
        <v>356</v>
      </c>
      <c r="B61" s="75" t="s">
        <v>219</v>
      </c>
      <c r="C61" s="75" t="s">
        <v>311</v>
      </c>
      <c r="D61" s="75" t="s">
        <v>295</v>
      </c>
      <c r="E61" s="75" t="s">
        <v>312</v>
      </c>
      <c r="F61" s="75"/>
      <c r="G61" s="143">
        <v>16.0351418875355</v>
      </c>
      <c r="H61" s="143">
        <v>16.0351418875355</v>
      </c>
      <c r="I61" s="143">
        <v>0.0</v>
      </c>
      <c r="J61" s="157">
        <v>0.538809705216328</v>
      </c>
      <c r="K61" s="143">
        <v>-0.268564590224597</v>
      </c>
      <c r="L61" s="143">
        <v>0.538809705216328</v>
      </c>
      <c r="M61" s="143">
        <v>0.0</v>
      </c>
      <c r="N61" s="143">
        <v>60.0</v>
      </c>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row>
    <row r="62">
      <c r="A62" s="75" t="s">
        <v>357</v>
      </c>
      <c r="B62" s="75" t="s">
        <v>219</v>
      </c>
      <c r="C62" s="75" t="s">
        <v>311</v>
      </c>
      <c r="D62" s="75" t="s">
        <v>295</v>
      </c>
      <c r="E62" s="75" t="s">
        <v>316</v>
      </c>
      <c r="F62" s="75"/>
      <c r="G62" s="143">
        <v>13.352038056768</v>
      </c>
      <c r="H62" s="143">
        <v>13.352038056768</v>
      </c>
      <c r="I62" s="143">
        <v>0.0</v>
      </c>
      <c r="J62" s="157">
        <v>3.10917447567591</v>
      </c>
      <c r="K62" s="143">
        <v>0.492645093769521</v>
      </c>
      <c r="L62" s="143">
        <v>3.10917447567591</v>
      </c>
      <c r="M62" s="143">
        <v>0.0</v>
      </c>
      <c r="N62" s="143">
        <v>60.0</v>
      </c>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row>
    <row r="63">
      <c r="A63" s="75" t="s">
        <v>358</v>
      </c>
      <c r="B63" s="75" t="s">
        <v>219</v>
      </c>
      <c r="C63" s="75" t="s">
        <v>311</v>
      </c>
      <c r="D63" s="75" t="s">
        <v>295</v>
      </c>
      <c r="E63" s="75" t="s">
        <v>316</v>
      </c>
      <c r="F63" s="75"/>
      <c r="G63" s="143">
        <v>13.4788612574552</v>
      </c>
      <c r="H63" s="143">
        <v>13.4788612574552</v>
      </c>
      <c r="I63" s="143">
        <v>0.0</v>
      </c>
      <c r="J63" s="157">
        <v>2.86196772120035</v>
      </c>
      <c r="K63" s="143">
        <v>0.45666473124639</v>
      </c>
      <c r="L63" s="143">
        <v>2.86196772120035</v>
      </c>
      <c r="M63" s="143">
        <v>0.0</v>
      </c>
      <c r="N63" s="143">
        <v>60.0</v>
      </c>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row>
    <row r="64">
      <c r="A64" s="75" t="s">
        <v>359</v>
      </c>
      <c r="B64" s="75" t="s">
        <v>219</v>
      </c>
      <c r="C64" s="75" t="s">
        <v>311</v>
      </c>
      <c r="D64" s="75" t="s">
        <v>295</v>
      </c>
      <c r="E64" s="75" t="s">
        <v>316</v>
      </c>
      <c r="F64" s="75"/>
      <c r="G64" s="143">
        <v>13.6091215542869</v>
      </c>
      <c r="H64" s="143">
        <v>13.6091215542869</v>
      </c>
      <c r="I64" s="143">
        <v>0.0</v>
      </c>
      <c r="J64" s="157">
        <v>2.62850766455836</v>
      </c>
      <c r="K64" s="143">
        <v>0.419709247730914</v>
      </c>
      <c r="L64" s="143">
        <v>2.62850766455836</v>
      </c>
      <c r="M64" s="143">
        <v>0.0</v>
      </c>
      <c r="N64" s="143">
        <v>60.0</v>
      </c>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row>
    <row r="65">
      <c r="A65" s="75" t="s">
        <v>360</v>
      </c>
      <c r="B65" s="75" t="s">
        <v>219</v>
      </c>
      <c r="C65" s="75" t="s">
        <v>311</v>
      </c>
      <c r="D65" s="75" t="s">
        <v>295</v>
      </c>
      <c r="E65" s="75" t="s">
        <v>319</v>
      </c>
      <c r="F65" s="75"/>
      <c r="G65" s="143">
        <v>17.0199021559764</v>
      </c>
      <c r="H65" s="143">
        <v>17.0199021559764</v>
      </c>
      <c r="I65" s="143">
        <v>0.0</v>
      </c>
      <c r="J65" s="157">
        <v>0.283174474755687</v>
      </c>
      <c r="K65" s="143">
        <v>-0.547945896364895</v>
      </c>
      <c r="L65" s="143">
        <v>0.283174474755687</v>
      </c>
      <c r="M65" s="143">
        <v>0.0</v>
      </c>
      <c r="N65" s="143">
        <v>60.0</v>
      </c>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row>
    <row r="66">
      <c r="A66" s="75" t="s">
        <v>361</v>
      </c>
      <c r="B66" s="75" t="s">
        <v>219</v>
      </c>
      <c r="C66" s="75" t="s">
        <v>311</v>
      </c>
      <c r="D66" s="75" t="s">
        <v>295</v>
      </c>
      <c r="E66" s="75" t="s">
        <v>319</v>
      </c>
      <c r="F66" s="75"/>
      <c r="G66" s="143">
        <v>16.8125237571531</v>
      </c>
      <c r="H66" s="143">
        <v>16.8125237571531</v>
      </c>
      <c r="I66" s="143">
        <v>0.0</v>
      </c>
      <c r="J66" s="157">
        <v>0.324256260586398</v>
      </c>
      <c r="K66" s="143">
        <v>-0.489111630010643</v>
      </c>
      <c r="L66" s="143">
        <v>0.324256260586398</v>
      </c>
      <c r="M66" s="143">
        <v>0.0</v>
      </c>
      <c r="N66" s="143">
        <v>60.0</v>
      </c>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row>
    <row r="67">
      <c r="A67" s="75" t="s">
        <v>362</v>
      </c>
      <c r="B67" s="75" t="s">
        <v>219</v>
      </c>
      <c r="C67" s="75" t="s">
        <v>311</v>
      </c>
      <c r="D67" s="75" t="s">
        <v>295</v>
      </c>
      <c r="E67" s="75" t="s">
        <v>319</v>
      </c>
      <c r="F67" s="75"/>
      <c r="G67" s="143">
        <v>16.7957839747165</v>
      </c>
      <c r="H67" s="143">
        <v>16.7957839747165</v>
      </c>
      <c r="I67" s="143">
        <v>0.0</v>
      </c>
      <c r="J67" s="157">
        <v>0.327821571727549</v>
      </c>
      <c r="K67" s="143">
        <v>-0.48436247183326</v>
      </c>
      <c r="L67" s="143">
        <v>0.327821571727549</v>
      </c>
      <c r="M67" s="143">
        <v>0.0</v>
      </c>
      <c r="N67" s="143">
        <v>60.0</v>
      </c>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row>
    <row r="68">
      <c r="A68" s="75" t="s">
        <v>363</v>
      </c>
      <c r="B68" s="75" t="s">
        <v>219</v>
      </c>
      <c r="C68" s="75" t="s">
        <v>311</v>
      </c>
      <c r="D68" s="75" t="s">
        <v>295</v>
      </c>
      <c r="E68" s="75" t="s">
        <v>322</v>
      </c>
      <c r="F68" s="75"/>
      <c r="G68" s="143">
        <v>12.3430338790062</v>
      </c>
      <c r="H68" s="143">
        <v>12.3430338790062</v>
      </c>
      <c r="I68" s="143">
        <v>0.0</v>
      </c>
      <c r="J68" s="157">
        <v>6.01041577377571</v>
      </c>
      <c r="K68" s="143">
        <v>0.778904515598565</v>
      </c>
      <c r="L68" s="143">
        <v>6.01041577377571</v>
      </c>
      <c r="M68" s="143">
        <v>0.0</v>
      </c>
      <c r="N68" s="143">
        <v>60.0</v>
      </c>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row>
    <row r="69">
      <c r="A69" s="75" t="s">
        <v>364</v>
      </c>
      <c r="B69" s="75" t="s">
        <v>219</v>
      </c>
      <c r="C69" s="75" t="s">
        <v>311</v>
      </c>
      <c r="D69" s="75" t="s">
        <v>295</v>
      </c>
      <c r="E69" s="75" t="s">
        <v>322</v>
      </c>
      <c r="F69" s="75"/>
      <c r="G69" s="143">
        <v>12.2539299765101</v>
      </c>
      <c r="H69" s="143">
        <v>12.2539299765101</v>
      </c>
      <c r="I69" s="143">
        <v>0.0</v>
      </c>
      <c r="J69" s="157">
        <v>6.37064974833287</v>
      </c>
      <c r="K69" s="143">
        <v>0.804183728681519</v>
      </c>
      <c r="L69" s="143">
        <v>6.37064974833287</v>
      </c>
      <c r="M69" s="143">
        <v>0.0</v>
      </c>
      <c r="N69" s="143">
        <v>60.0</v>
      </c>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row>
    <row r="70">
      <c r="A70" s="75" t="s">
        <v>365</v>
      </c>
      <c r="B70" s="75" t="s">
        <v>219</v>
      </c>
      <c r="C70" s="75" t="s">
        <v>311</v>
      </c>
      <c r="D70" s="75" t="s">
        <v>295</v>
      </c>
      <c r="E70" s="75" t="s">
        <v>322</v>
      </c>
      <c r="F70" s="75"/>
      <c r="G70" s="143">
        <v>12.2858049491762</v>
      </c>
      <c r="H70" s="143">
        <v>12.2858049491762</v>
      </c>
      <c r="I70" s="143">
        <v>0.0</v>
      </c>
      <c r="J70" s="157">
        <v>6.23936860006232</v>
      </c>
      <c r="K70" s="143">
        <v>0.795140642986428</v>
      </c>
      <c r="L70" s="143">
        <v>6.23936860006232</v>
      </c>
      <c r="M70" s="143">
        <v>0.0</v>
      </c>
      <c r="N70" s="143">
        <v>60.0</v>
      </c>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row>
    <row r="71">
      <c r="A71" s="75" t="s">
        <v>366</v>
      </c>
      <c r="B71" s="75" t="s">
        <v>219</v>
      </c>
      <c r="C71" s="75" t="s">
        <v>311</v>
      </c>
      <c r="D71" s="75" t="s">
        <v>295</v>
      </c>
      <c r="E71" s="75" t="s">
        <v>325</v>
      </c>
      <c r="F71" s="75"/>
      <c r="G71" s="143">
        <v>14.6412393769562</v>
      </c>
      <c r="H71" s="143">
        <v>14.6412393769562</v>
      </c>
      <c r="I71" s="143">
        <v>0.0</v>
      </c>
      <c r="J71" s="157">
        <v>1.3393447256143</v>
      </c>
      <c r="K71" s="143">
        <v>0.126892371757067</v>
      </c>
      <c r="L71" s="143">
        <v>1.3393447256143</v>
      </c>
      <c r="M71" s="143">
        <v>0.0</v>
      </c>
      <c r="N71" s="143">
        <v>60.0</v>
      </c>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row>
    <row r="72">
      <c r="A72" s="75" t="s">
        <v>367</v>
      </c>
      <c r="B72" s="75" t="s">
        <v>219</v>
      </c>
      <c r="C72" s="75" t="s">
        <v>311</v>
      </c>
      <c r="D72" s="75" t="s">
        <v>295</v>
      </c>
      <c r="E72" s="75" t="s">
        <v>325</v>
      </c>
      <c r="F72" s="75"/>
      <c r="G72" s="143">
        <v>14.6533338085467</v>
      </c>
      <c r="H72" s="143">
        <v>14.6533338085467</v>
      </c>
      <c r="I72" s="143">
        <v>0.0</v>
      </c>
      <c r="J72" s="157">
        <v>1.32880459839041</v>
      </c>
      <c r="K72" s="143">
        <v>0.12346112234229</v>
      </c>
      <c r="L72" s="143">
        <v>1.32880459839041</v>
      </c>
      <c r="M72" s="143">
        <v>0.0</v>
      </c>
      <c r="N72" s="143">
        <v>60.0</v>
      </c>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row>
    <row r="73">
      <c r="A73" s="75" t="s">
        <v>368</v>
      </c>
      <c r="B73" s="75" t="s">
        <v>219</v>
      </c>
      <c r="C73" s="75" t="s">
        <v>311</v>
      </c>
      <c r="D73" s="75" t="s">
        <v>295</v>
      </c>
      <c r="E73" s="75" t="s">
        <v>325</v>
      </c>
      <c r="F73" s="75"/>
      <c r="G73" s="143">
        <v>14.6876459385658</v>
      </c>
      <c r="H73" s="143">
        <v>14.6876459385658</v>
      </c>
      <c r="I73" s="143">
        <v>0.0</v>
      </c>
      <c r="J73" s="157">
        <v>1.29935135358355</v>
      </c>
      <c r="K73" s="143">
        <v>0.113726603182228</v>
      </c>
      <c r="L73" s="143">
        <v>1.29935135358355</v>
      </c>
      <c r="M73" s="143">
        <v>0.0</v>
      </c>
      <c r="N73" s="143">
        <v>60.0</v>
      </c>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row>
    <row r="74">
      <c r="A74" s="75" t="s">
        <v>369</v>
      </c>
      <c r="B74" s="75" t="s">
        <v>219</v>
      </c>
      <c r="C74" s="75" t="s">
        <v>311</v>
      </c>
      <c r="D74" s="75" t="s">
        <v>295</v>
      </c>
      <c r="E74" s="75" t="s">
        <v>328</v>
      </c>
      <c r="F74" s="75"/>
      <c r="G74" s="143">
        <v>12.3798582490972</v>
      </c>
      <c r="H74" s="143">
        <v>12.3798582490972</v>
      </c>
      <c r="I74" s="143">
        <v>0.0</v>
      </c>
      <c r="J74" s="157">
        <v>5.86755624911513</v>
      </c>
      <c r="K74" s="143">
        <v>0.768457261638883</v>
      </c>
      <c r="L74" s="143">
        <v>5.86755624911513</v>
      </c>
      <c r="M74" s="143">
        <v>0.0</v>
      </c>
      <c r="N74" s="143">
        <v>60.0</v>
      </c>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row>
    <row r="75">
      <c r="A75" s="75" t="s">
        <v>370</v>
      </c>
      <c r="B75" s="75" t="s">
        <v>219</v>
      </c>
      <c r="C75" s="75" t="s">
        <v>311</v>
      </c>
      <c r="D75" s="75" t="s">
        <v>295</v>
      </c>
      <c r="E75" s="75" t="s">
        <v>328</v>
      </c>
      <c r="F75" s="75"/>
      <c r="G75" s="143">
        <v>12.3515689291484</v>
      </c>
      <c r="H75" s="143">
        <v>12.3515689291484</v>
      </c>
      <c r="I75" s="143">
        <v>0.0</v>
      </c>
      <c r="J75" s="157">
        <v>5.97699758166455</v>
      </c>
      <c r="K75" s="143">
        <v>0.776483080115101</v>
      </c>
      <c r="L75" s="143">
        <v>5.97699758166455</v>
      </c>
      <c r="M75" s="143">
        <v>0.0</v>
      </c>
      <c r="N75" s="143">
        <v>60.0</v>
      </c>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row>
    <row r="76">
      <c r="A76" s="75" t="s">
        <v>371</v>
      </c>
      <c r="B76" s="75" t="s">
        <v>219</v>
      </c>
      <c r="C76" s="75" t="s">
        <v>311</v>
      </c>
      <c r="D76" s="75" t="s">
        <v>295</v>
      </c>
      <c r="E76" s="75" t="s">
        <v>328</v>
      </c>
      <c r="F76" s="75"/>
      <c r="G76" s="143">
        <v>12.4672166124057</v>
      </c>
      <c r="H76" s="143">
        <v>12.4672166124057</v>
      </c>
      <c r="I76" s="143">
        <v>0.0</v>
      </c>
      <c r="J76" s="157">
        <v>5.54208607461578</v>
      </c>
      <c r="K76" s="143">
        <v>0.743673266563566</v>
      </c>
      <c r="L76" s="143">
        <v>5.54208607461578</v>
      </c>
      <c r="M76" s="143">
        <v>0.0</v>
      </c>
      <c r="N76" s="143">
        <v>60.0</v>
      </c>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row>
    <row r="77">
      <c r="A77" s="75" t="s">
        <v>372</v>
      </c>
      <c r="B77" s="75" t="s">
        <v>219</v>
      </c>
      <c r="C77" s="75" t="s">
        <v>311</v>
      </c>
      <c r="D77" s="75" t="s">
        <v>295</v>
      </c>
      <c r="E77" s="75" t="s">
        <v>331</v>
      </c>
      <c r="F77" s="75"/>
      <c r="G77" s="143">
        <v>15.1354053601897</v>
      </c>
      <c r="H77" s="143">
        <v>15.1354053601897</v>
      </c>
      <c r="I77" s="143">
        <v>0.0</v>
      </c>
      <c r="J77" s="157">
        <v>0.969828772802402</v>
      </c>
      <c r="K77" s="143">
        <v>-0.0133049354154348</v>
      </c>
      <c r="L77" s="143">
        <v>0.969828772802402</v>
      </c>
      <c r="M77" s="143">
        <v>0.0</v>
      </c>
      <c r="N77" s="143">
        <v>60.0</v>
      </c>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row>
    <row r="78">
      <c r="A78" s="75" t="s">
        <v>373</v>
      </c>
      <c r="B78" s="75" t="s">
        <v>219</v>
      </c>
      <c r="C78" s="75" t="s">
        <v>311</v>
      </c>
      <c r="D78" s="75" t="s">
        <v>295</v>
      </c>
      <c r="E78" s="75" t="s">
        <v>331</v>
      </c>
      <c r="F78" s="75"/>
      <c r="G78" s="143">
        <v>15.035719291416</v>
      </c>
      <c r="H78" s="143">
        <v>15.035719291416</v>
      </c>
      <c r="I78" s="143">
        <v>0.0</v>
      </c>
      <c r="J78" s="157">
        <v>1.03508613207619</v>
      </c>
      <c r="K78" s="143">
        <v>0.0149764900142024</v>
      </c>
      <c r="L78" s="143">
        <v>1.03508613207619</v>
      </c>
      <c r="M78" s="143">
        <v>0.0</v>
      </c>
      <c r="N78" s="143">
        <v>60.0</v>
      </c>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row>
    <row r="79">
      <c r="A79" s="75" t="s">
        <v>374</v>
      </c>
      <c r="B79" s="75" t="s">
        <v>219</v>
      </c>
      <c r="C79" s="75" t="s">
        <v>311</v>
      </c>
      <c r="D79" s="75" t="s">
        <v>295</v>
      </c>
      <c r="E79" s="75" t="s">
        <v>331</v>
      </c>
      <c r="F79" s="75"/>
      <c r="G79" s="143">
        <v>15.0529226060353</v>
      </c>
      <c r="H79" s="143">
        <v>15.0529226060353</v>
      </c>
      <c r="I79" s="143">
        <v>0.0</v>
      </c>
      <c r="J79" s="157">
        <v>1.02351880304744</v>
      </c>
      <c r="K79" s="143">
        <v>0.0100958254887398</v>
      </c>
      <c r="L79" s="143">
        <v>1.02351880304744</v>
      </c>
      <c r="M79" s="143">
        <v>0.0</v>
      </c>
      <c r="N79" s="143">
        <v>60.0</v>
      </c>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row>
    <row r="80">
      <c r="A80" s="75" t="s">
        <v>375</v>
      </c>
      <c r="B80" s="75" t="s">
        <v>219</v>
      </c>
      <c r="C80" s="75" t="s">
        <v>311</v>
      </c>
      <c r="D80" s="75" t="s">
        <v>295</v>
      </c>
      <c r="E80" s="75" t="s">
        <v>334</v>
      </c>
      <c r="F80" s="75"/>
      <c r="G80" s="143">
        <v>12.1875606558089</v>
      </c>
      <c r="H80" s="143">
        <v>12.1875606558089</v>
      </c>
      <c r="I80" s="143">
        <v>0.0</v>
      </c>
      <c r="J80" s="157">
        <v>6.65293115990065</v>
      </c>
      <c r="K80" s="143">
        <v>0.823013029679334</v>
      </c>
      <c r="L80" s="143">
        <v>6.65293115990065</v>
      </c>
      <c r="M80" s="143">
        <v>0.0</v>
      </c>
      <c r="N80" s="143">
        <v>60.0</v>
      </c>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row>
    <row r="81">
      <c r="A81" s="75" t="s">
        <v>376</v>
      </c>
      <c r="B81" s="75" t="s">
        <v>219</v>
      </c>
      <c r="C81" s="75" t="s">
        <v>311</v>
      </c>
      <c r="D81" s="75" t="s">
        <v>295</v>
      </c>
      <c r="E81" s="75" t="s">
        <v>334</v>
      </c>
      <c r="F81" s="75"/>
      <c r="G81" s="143">
        <v>12.1723270795371</v>
      </c>
      <c r="H81" s="143">
        <v>12.1723270795371</v>
      </c>
      <c r="I81" s="143">
        <v>0.0</v>
      </c>
      <c r="J81" s="157">
        <v>6.71946768672396</v>
      </c>
      <c r="K81" s="143">
        <v>0.827334869798586</v>
      </c>
      <c r="L81" s="143">
        <v>6.71946768672396</v>
      </c>
      <c r="M81" s="143">
        <v>0.0</v>
      </c>
      <c r="N81" s="143">
        <v>60.0</v>
      </c>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row>
    <row r="82">
      <c r="A82" s="75" t="s">
        <v>377</v>
      </c>
      <c r="B82" s="75" t="s">
        <v>219</v>
      </c>
      <c r="C82" s="75" t="s">
        <v>311</v>
      </c>
      <c r="D82" s="75" t="s">
        <v>295</v>
      </c>
      <c r="E82" s="75" t="s">
        <v>334</v>
      </c>
      <c r="F82" s="75"/>
      <c r="G82" s="143">
        <v>12.1636685301944</v>
      </c>
      <c r="H82" s="143">
        <v>12.1636685301944</v>
      </c>
      <c r="I82" s="143">
        <v>0.0</v>
      </c>
      <c r="J82" s="157">
        <v>6.75758228400766</v>
      </c>
      <c r="K82" s="143">
        <v>0.829791342609447</v>
      </c>
      <c r="L82" s="143">
        <v>6.75758228400766</v>
      </c>
      <c r="M82" s="143">
        <v>0.0</v>
      </c>
      <c r="N82" s="143">
        <v>60.0</v>
      </c>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row>
    <row r="83">
      <c r="A83" s="75" t="s">
        <v>378</v>
      </c>
      <c r="B83" s="75" t="s">
        <v>219</v>
      </c>
      <c r="C83" s="75" t="s">
        <v>311</v>
      </c>
      <c r="D83" s="75" t="s">
        <v>295</v>
      </c>
      <c r="E83" s="75" t="s">
        <v>337</v>
      </c>
      <c r="F83" s="75"/>
      <c r="G83" s="143">
        <v>14.7047821113455</v>
      </c>
      <c r="H83" s="143">
        <v>14.7047821113455</v>
      </c>
      <c r="I83" s="143">
        <v>0.0</v>
      </c>
      <c r="J83" s="157">
        <v>1.28488715388591</v>
      </c>
      <c r="K83" s="143">
        <v>0.108864987125141</v>
      </c>
      <c r="L83" s="143">
        <v>1.28488715388591</v>
      </c>
      <c r="M83" s="143">
        <v>0.0</v>
      </c>
      <c r="N83" s="143">
        <v>60.0</v>
      </c>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row>
    <row r="84">
      <c r="A84" s="75" t="s">
        <v>379</v>
      </c>
      <c r="B84" s="75" t="s">
        <v>219</v>
      </c>
      <c r="C84" s="75" t="s">
        <v>311</v>
      </c>
      <c r="D84" s="75" t="s">
        <v>295</v>
      </c>
      <c r="E84" s="75" t="s">
        <v>337</v>
      </c>
      <c r="F84" s="75"/>
      <c r="G84" s="143">
        <v>14.8553517283186</v>
      </c>
      <c r="H84" s="143">
        <v>14.8553517283186</v>
      </c>
      <c r="I84" s="143">
        <v>0.0</v>
      </c>
      <c r="J84" s="157">
        <v>1.16452187273368</v>
      </c>
      <c r="K84" s="143">
        <v>0.066147650121305</v>
      </c>
      <c r="L84" s="143">
        <v>1.16452187273368</v>
      </c>
      <c r="M84" s="143">
        <v>0.0</v>
      </c>
      <c r="N84" s="143">
        <v>60.0</v>
      </c>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row>
    <row r="85">
      <c r="A85" s="75" t="s">
        <v>380</v>
      </c>
      <c r="B85" s="75" t="s">
        <v>219</v>
      </c>
      <c r="C85" s="75" t="s">
        <v>311</v>
      </c>
      <c r="D85" s="75" t="s">
        <v>295</v>
      </c>
      <c r="E85" s="75" t="s">
        <v>337</v>
      </c>
      <c r="F85" s="75"/>
      <c r="G85" s="143">
        <v>14.9039348988556</v>
      </c>
      <c r="H85" s="143">
        <v>14.9039348988556</v>
      </c>
      <c r="I85" s="143">
        <v>0.0</v>
      </c>
      <c r="J85" s="157">
        <v>1.12814355576881</v>
      </c>
      <c r="K85" s="143">
        <v>0.0523643669446234</v>
      </c>
      <c r="L85" s="143">
        <v>1.12814355576881</v>
      </c>
      <c r="M85" s="143">
        <v>0.0</v>
      </c>
      <c r="N85" s="143">
        <v>60.0</v>
      </c>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row>
    <row r="86">
      <c r="A86" s="75" t="s">
        <v>381</v>
      </c>
      <c r="B86" s="75" t="s">
        <v>219</v>
      </c>
      <c r="C86" s="75"/>
      <c r="D86" s="75" t="s">
        <v>295</v>
      </c>
      <c r="E86" s="75"/>
      <c r="F86" s="75"/>
      <c r="G86" s="75" t="s">
        <v>296</v>
      </c>
      <c r="H86" s="143">
        <v>0.0</v>
      </c>
      <c r="I86" s="143">
        <v>0.0</v>
      </c>
      <c r="J86" s="75" t="s">
        <v>296</v>
      </c>
      <c r="K86" s="75" t="s">
        <v>296</v>
      </c>
      <c r="L86" s="143">
        <v>0.0</v>
      </c>
      <c r="M86" s="143">
        <v>0.0</v>
      </c>
      <c r="N86" s="143">
        <v>60.0</v>
      </c>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row>
    <row r="87">
      <c r="A87" s="75" t="s">
        <v>382</v>
      </c>
      <c r="B87" s="75" t="s">
        <v>219</v>
      </c>
      <c r="C87" s="75"/>
      <c r="D87" s="75" t="s">
        <v>295</v>
      </c>
      <c r="E87" s="75"/>
      <c r="F87" s="75"/>
      <c r="G87" s="75" t="s">
        <v>296</v>
      </c>
      <c r="H87" s="143">
        <v>0.0</v>
      </c>
      <c r="I87" s="143">
        <v>0.0</v>
      </c>
      <c r="J87" s="75" t="s">
        <v>296</v>
      </c>
      <c r="K87" s="75" t="s">
        <v>296</v>
      </c>
      <c r="L87" s="143">
        <v>0.0</v>
      </c>
      <c r="M87" s="143">
        <v>0.0</v>
      </c>
      <c r="N87" s="143">
        <v>60.0</v>
      </c>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row>
    <row r="88">
      <c r="A88" s="75" t="s">
        <v>383</v>
      </c>
      <c r="B88" s="75" t="s">
        <v>219</v>
      </c>
      <c r="C88" s="75"/>
      <c r="D88" s="75" t="s">
        <v>295</v>
      </c>
      <c r="E88" s="75"/>
      <c r="F88" s="75"/>
      <c r="G88" s="75" t="s">
        <v>296</v>
      </c>
      <c r="H88" s="143">
        <v>0.0</v>
      </c>
      <c r="I88" s="143">
        <v>0.0</v>
      </c>
      <c r="J88" s="75" t="s">
        <v>296</v>
      </c>
      <c r="K88" s="75" t="s">
        <v>296</v>
      </c>
      <c r="L88" s="143">
        <v>0.0</v>
      </c>
      <c r="M88" s="143">
        <v>0.0</v>
      </c>
      <c r="N88" s="143">
        <v>60.0</v>
      </c>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row>
    <row r="89">
      <c r="A89" s="75" t="s">
        <v>384</v>
      </c>
      <c r="B89" s="75" t="s">
        <v>219</v>
      </c>
      <c r="C89" s="75"/>
      <c r="D89" s="75" t="s">
        <v>295</v>
      </c>
      <c r="E89" s="75"/>
      <c r="F89" s="75"/>
      <c r="G89" s="75" t="s">
        <v>296</v>
      </c>
      <c r="H89" s="143">
        <v>0.0</v>
      </c>
      <c r="I89" s="143">
        <v>0.0</v>
      </c>
      <c r="J89" s="75" t="s">
        <v>296</v>
      </c>
      <c r="K89" s="75" t="s">
        <v>296</v>
      </c>
      <c r="L89" s="143">
        <v>0.0</v>
      </c>
      <c r="M89" s="143">
        <v>0.0</v>
      </c>
      <c r="N89" s="143">
        <v>60.0</v>
      </c>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row>
    <row r="90">
      <c r="A90" s="75" t="s">
        <v>385</v>
      </c>
      <c r="B90" s="75" t="s">
        <v>219</v>
      </c>
      <c r="C90" s="75"/>
      <c r="D90" s="75" t="s">
        <v>295</v>
      </c>
      <c r="E90" s="75"/>
      <c r="F90" s="75"/>
      <c r="G90" s="75" t="s">
        <v>296</v>
      </c>
      <c r="H90" s="143">
        <v>0.0</v>
      </c>
      <c r="I90" s="143">
        <v>0.0</v>
      </c>
      <c r="J90" s="75" t="s">
        <v>296</v>
      </c>
      <c r="K90" s="75" t="s">
        <v>296</v>
      </c>
      <c r="L90" s="143">
        <v>0.0</v>
      </c>
      <c r="M90" s="143">
        <v>0.0</v>
      </c>
      <c r="N90" s="143">
        <v>60.0</v>
      </c>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row>
    <row r="91">
      <c r="A91" s="75" t="s">
        <v>386</v>
      </c>
      <c r="B91" s="75" t="s">
        <v>219</v>
      </c>
      <c r="C91" s="75"/>
      <c r="D91" s="75" t="s">
        <v>295</v>
      </c>
      <c r="E91" s="75"/>
      <c r="F91" s="75"/>
      <c r="G91" s="75" t="s">
        <v>296</v>
      </c>
      <c r="H91" s="143">
        <v>0.0</v>
      </c>
      <c r="I91" s="143">
        <v>0.0</v>
      </c>
      <c r="J91" s="75" t="s">
        <v>296</v>
      </c>
      <c r="K91" s="75" t="s">
        <v>296</v>
      </c>
      <c r="L91" s="143">
        <v>0.0</v>
      </c>
      <c r="M91" s="143">
        <v>0.0</v>
      </c>
      <c r="N91" s="143">
        <v>60.0</v>
      </c>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row>
    <row r="92">
      <c r="A92" s="75" t="s">
        <v>387</v>
      </c>
      <c r="B92" s="75" t="s">
        <v>219</v>
      </c>
      <c r="C92" s="75"/>
      <c r="D92" s="75" t="s">
        <v>295</v>
      </c>
      <c r="E92" s="75"/>
      <c r="F92" s="75"/>
      <c r="G92" s="75" t="s">
        <v>296</v>
      </c>
      <c r="H92" s="143">
        <v>0.0</v>
      </c>
      <c r="I92" s="143">
        <v>0.0</v>
      </c>
      <c r="J92" s="75" t="s">
        <v>296</v>
      </c>
      <c r="K92" s="75" t="s">
        <v>296</v>
      </c>
      <c r="L92" s="143">
        <v>0.0</v>
      </c>
      <c r="M92" s="143">
        <v>0.0</v>
      </c>
      <c r="N92" s="143">
        <v>60.0</v>
      </c>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row>
    <row r="93">
      <c r="A93" s="75" t="s">
        <v>388</v>
      </c>
      <c r="B93" s="75" t="s">
        <v>219</v>
      </c>
      <c r="C93" s="75"/>
      <c r="D93" s="75" t="s">
        <v>295</v>
      </c>
      <c r="E93" s="75"/>
      <c r="F93" s="75"/>
      <c r="G93" s="75" t="s">
        <v>296</v>
      </c>
      <c r="H93" s="143">
        <v>0.0</v>
      </c>
      <c r="I93" s="143">
        <v>0.0</v>
      </c>
      <c r="J93" s="75" t="s">
        <v>296</v>
      </c>
      <c r="K93" s="75" t="s">
        <v>296</v>
      </c>
      <c r="L93" s="143">
        <v>0.0</v>
      </c>
      <c r="M93" s="143">
        <v>0.0</v>
      </c>
      <c r="N93" s="143">
        <v>60.0</v>
      </c>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row>
    <row r="94">
      <c r="A94" s="75" t="s">
        <v>389</v>
      </c>
      <c r="B94" s="75" t="s">
        <v>219</v>
      </c>
      <c r="C94" s="75"/>
      <c r="D94" s="75" t="s">
        <v>295</v>
      </c>
      <c r="E94" s="75"/>
      <c r="F94" s="75"/>
      <c r="G94" s="75" t="s">
        <v>296</v>
      </c>
      <c r="H94" s="143">
        <v>0.0</v>
      </c>
      <c r="I94" s="143">
        <v>0.0</v>
      </c>
      <c r="J94" s="75" t="s">
        <v>296</v>
      </c>
      <c r="K94" s="75" t="s">
        <v>296</v>
      </c>
      <c r="L94" s="143">
        <v>0.0</v>
      </c>
      <c r="M94" s="143">
        <v>0.0</v>
      </c>
      <c r="N94" s="143">
        <v>60.0</v>
      </c>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row>
    <row r="95">
      <c r="A95" s="75" t="s">
        <v>390</v>
      </c>
      <c r="B95" s="75" t="s">
        <v>219</v>
      </c>
      <c r="C95" s="75"/>
      <c r="D95" s="75" t="s">
        <v>295</v>
      </c>
      <c r="E95" s="75"/>
      <c r="F95" s="75"/>
      <c r="G95" s="75" t="s">
        <v>296</v>
      </c>
      <c r="H95" s="143">
        <v>0.0</v>
      </c>
      <c r="I95" s="143">
        <v>0.0</v>
      </c>
      <c r="J95" s="75" t="s">
        <v>296</v>
      </c>
      <c r="K95" s="75" t="s">
        <v>296</v>
      </c>
      <c r="L95" s="143">
        <v>0.0</v>
      </c>
      <c r="M95" s="143">
        <v>0.0</v>
      </c>
      <c r="N95" s="143">
        <v>60.0</v>
      </c>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row>
    <row r="96">
      <c r="A96" s="75" t="s">
        <v>391</v>
      </c>
      <c r="B96" s="75" t="s">
        <v>219</v>
      </c>
      <c r="C96" s="75"/>
      <c r="D96" s="75" t="s">
        <v>295</v>
      </c>
      <c r="E96" s="75"/>
      <c r="F96" s="75"/>
      <c r="G96" s="75" t="s">
        <v>296</v>
      </c>
      <c r="H96" s="143">
        <v>0.0</v>
      </c>
      <c r="I96" s="143">
        <v>0.0</v>
      </c>
      <c r="J96" s="75" t="s">
        <v>296</v>
      </c>
      <c r="K96" s="75" t="s">
        <v>296</v>
      </c>
      <c r="L96" s="143">
        <v>0.0</v>
      </c>
      <c r="M96" s="143">
        <v>0.0</v>
      </c>
      <c r="N96" s="143">
        <v>60.0</v>
      </c>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row>
    <row r="97">
      <c r="A97" s="75" t="s">
        <v>392</v>
      </c>
      <c r="B97" s="75" t="s">
        <v>219</v>
      </c>
      <c r="C97" s="75"/>
      <c r="D97" s="75" t="s">
        <v>295</v>
      </c>
      <c r="E97" s="75"/>
      <c r="F97" s="75"/>
      <c r="G97" s="75" t="s">
        <v>296</v>
      </c>
      <c r="H97" s="143">
        <v>0.0</v>
      </c>
      <c r="I97" s="143">
        <v>0.0</v>
      </c>
      <c r="J97" s="75" t="s">
        <v>296</v>
      </c>
      <c r="K97" s="75" t="s">
        <v>296</v>
      </c>
      <c r="L97" s="143">
        <v>0.0</v>
      </c>
      <c r="M97" s="143">
        <v>0.0</v>
      </c>
      <c r="N97" s="143">
        <v>60.0</v>
      </c>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c r="BJ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c r="BJ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c r="AT139" s="75"/>
      <c r="AU139" s="75"/>
      <c r="AV139" s="75"/>
      <c r="AW139" s="75"/>
      <c r="AX139" s="75"/>
      <c r="AY139" s="75"/>
      <c r="AZ139" s="75"/>
      <c r="BA139" s="75"/>
      <c r="BB139" s="75"/>
      <c r="BC139" s="75"/>
      <c r="BD139" s="75"/>
      <c r="BE139" s="75"/>
      <c r="BF139" s="75"/>
      <c r="BG139" s="75"/>
      <c r="BH139" s="75"/>
      <c r="BI139" s="75"/>
      <c r="BJ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c r="AT140" s="75"/>
      <c r="AU140" s="75"/>
      <c r="AV140" s="75"/>
      <c r="AW140" s="75"/>
      <c r="AX140" s="75"/>
      <c r="AY140" s="75"/>
      <c r="AZ140" s="75"/>
      <c r="BA140" s="75"/>
      <c r="BB140" s="75"/>
      <c r="BC140" s="75"/>
      <c r="BD140" s="75"/>
      <c r="BE140" s="75"/>
      <c r="BF140" s="75"/>
      <c r="BG140" s="75"/>
      <c r="BH140" s="75"/>
      <c r="BI140" s="75"/>
      <c r="BJ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c r="BF141" s="75"/>
      <c r="BG141" s="75"/>
      <c r="BH141" s="75"/>
      <c r="BI141" s="75"/>
      <c r="BJ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c r="BF142" s="75"/>
      <c r="BG142" s="75"/>
      <c r="BH142" s="75"/>
      <c r="BI142" s="75"/>
      <c r="BJ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c r="BJ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c r="BF144" s="75"/>
      <c r="BG144" s="75"/>
      <c r="BH144" s="75"/>
      <c r="BI144" s="75"/>
      <c r="BJ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c r="BF146" s="75"/>
      <c r="BG146" s="75"/>
      <c r="BH146" s="75"/>
      <c r="BI146" s="75"/>
      <c r="BJ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c r="BF147" s="75"/>
      <c r="BG147" s="75"/>
      <c r="BH147" s="75"/>
      <c r="BI147" s="75"/>
      <c r="BJ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c r="BF148" s="75"/>
      <c r="BG148" s="75"/>
      <c r="BH148" s="75"/>
      <c r="BI148" s="75"/>
      <c r="BJ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c r="AT149" s="75"/>
      <c r="AU149" s="75"/>
      <c r="AV149" s="75"/>
      <c r="AW149" s="75"/>
      <c r="AX149" s="75"/>
      <c r="AY149" s="75"/>
      <c r="AZ149" s="75"/>
      <c r="BA149" s="75"/>
      <c r="BB149" s="75"/>
      <c r="BC149" s="75"/>
      <c r="BD149" s="75"/>
      <c r="BE149" s="75"/>
      <c r="BF149" s="75"/>
      <c r="BG149" s="75"/>
      <c r="BH149" s="75"/>
      <c r="BI149" s="75"/>
      <c r="BJ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c r="AT150" s="75"/>
      <c r="AU150" s="75"/>
      <c r="AV150" s="75"/>
      <c r="AW150" s="75"/>
      <c r="AX150" s="75"/>
      <c r="AY150" s="75"/>
      <c r="AZ150" s="75"/>
      <c r="BA150" s="75"/>
      <c r="BB150" s="75"/>
      <c r="BC150" s="75"/>
      <c r="BD150" s="75"/>
      <c r="BE150" s="75"/>
      <c r="BF150" s="75"/>
      <c r="BG150" s="75"/>
      <c r="BH150" s="75"/>
      <c r="BI150" s="75"/>
      <c r="BJ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c r="BF151" s="75"/>
      <c r="BG151" s="75"/>
      <c r="BH151" s="75"/>
      <c r="BI151" s="75"/>
      <c r="BJ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c r="BJ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75"/>
      <c r="BB153" s="75"/>
      <c r="BC153" s="75"/>
      <c r="BD153" s="75"/>
      <c r="BE153" s="75"/>
      <c r="BF153" s="75"/>
      <c r="BG153" s="75"/>
      <c r="BH153" s="75"/>
      <c r="BI153" s="75"/>
      <c r="BJ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c r="BF154" s="75"/>
      <c r="BG154" s="75"/>
      <c r="BH154" s="75"/>
      <c r="BI154" s="75"/>
      <c r="BJ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c r="BF155" s="75"/>
      <c r="BG155" s="75"/>
      <c r="BH155" s="75"/>
      <c r="BI155" s="75"/>
      <c r="BJ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c r="BJ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c r="BF157" s="75"/>
      <c r="BG157" s="75"/>
      <c r="BH157" s="75"/>
      <c r="BI157" s="75"/>
      <c r="BJ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c r="BF158" s="75"/>
      <c r="BG158" s="75"/>
      <c r="BH158" s="75"/>
      <c r="BI158" s="75"/>
      <c r="BJ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c r="BF159" s="75"/>
      <c r="BG159" s="75"/>
      <c r="BH159" s="75"/>
      <c r="BI159" s="75"/>
      <c r="BJ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c r="BF161" s="75"/>
      <c r="BG161" s="75"/>
      <c r="BH161" s="75"/>
      <c r="BI161" s="75"/>
      <c r="BJ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75"/>
      <c r="BB162" s="75"/>
      <c r="BC162" s="75"/>
      <c r="BD162" s="75"/>
      <c r="BE162" s="75"/>
      <c r="BF162" s="75"/>
      <c r="BG162" s="75"/>
      <c r="BH162" s="75"/>
      <c r="BI162" s="75"/>
      <c r="BJ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75"/>
      <c r="BB163" s="75"/>
      <c r="BC163" s="75"/>
      <c r="BD163" s="75"/>
      <c r="BE163" s="75"/>
      <c r="BF163" s="75"/>
      <c r="BG163" s="75"/>
      <c r="BH163" s="75"/>
      <c r="BI163" s="75"/>
      <c r="BJ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75"/>
      <c r="BB164" s="75"/>
      <c r="BC164" s="75"/>
      <c r="BD164" s="75"/>
      <c r="BE164" s="75"/>
      <c r="BF164" s="75"/>
      <c r="BG164" s="75"/>
      <c r="BH164" s="75"/>
      <c r="BI164" s="75"/>
      <c r="BJ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c r="BI166" s="75"/>
      <c r="BJ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c r="BF167" s="75"/>
      <c r="BG167" s="75"/>
      <c r="BH167" s="75"/>
      <c r="BI167" s="75"/>
      <c r="BJ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c r="BF168" s="75"/>
      <c r="BG168" s="75"/>
      <c r="BH168" s="75"/>
      <c r="BI168" s="75"/>
      <c r="BJ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c r="BF169" s="75"/>
      <c r="BG169" s="75"/>
      <c r="BH169" s="75"/>
      <c r="BI169" s="75"/>
      <c r="BJ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75"/>
      <c r="BB170" s="75"/>
      <c r="BC170" s="75"/>
      <c r="BD170" s="75"/>
      <c r="BE170" s="75"/>
      <c r="BF170" s="75"/>
      <c r="BG170" s="75"/>
      <c r="BH170" s="75"/>
      <c r="BI170" s="75"/>
      <c r="BJ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75"/>
      <c r="BB171" s="75"/>
      <c r="BC171" s="75"/>
      <c r="BD171" s="75"/>
      <c r="BE171" s="75"/>
      <c r="BF171" s="75"/>
      <c r="BG171" s="75"/>
      <c r="BH171" s="75"/>
      <c r="BI171" s="75"/>
      <c r="BJ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c r="BF172" s="75"/>
      <c r="BG172" s="75"/>
      <c r="BH172" s="75"/>
      <c r="BI172" s="75"/>
      <c r="BJ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c r="BF173" s="75"/>
      <c r="BG173" s="75"/>
      <c r="BH173" s="75"/>
      <c r="BI173" s="75"/>
      <c r="BJ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c r="AT174" s="75"/>
      <c r="AU174" s="75"/>
      <c r="AV174" s="75"/>
      <c r="AW174" s="75"/>
      <c r="AX174" s="75"/>
      <c r="AY174" s="75"/>
      <c r="AZ174" s="75"/>
      <c r="BA174" s="75"/>
      <c r="BB174" s="75"/>
      <c r="BC174" s="75"/>
      <c r="BD174" s="75"/>
      <c r="BE174" s="75"/>
      <c r="BF174" s="75"/>
      <c r="BG174" s="75"/>
      <c r="BH174" s="75"/>
      <c r="BI174" s="75"/>
      <c r="BJ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c r="BF175" s="75"/>
      <c r="BG175" s="75"/>
      <c r="BH175" s="75"/>
      <c r="BI175" s="75"/>
      <c r="BJ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75"/>
      <c r="BB176" s="75"/>
      <c r="BC176" s="75"/>
      <c r="BD176" s="75"/>
      <c r="BE176" s="75"/>
      <c r="BF176" s="75"/>
      <c r="BG176" s="75"/>
      <c r="BH176" s="75"/>
      <c r="BI176" s="75"/>
      <c r="BJ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75"/>
      <c r="BB177" s="75"/>
      <c r="BC177" s="75"/>
      <c r="BD177" s="75"/>
      <c r="BE177" s="75"/>
      <c r="BF177" s="75"/>
      <c r="BG177" s="75"/>
      <c r="BH177" s="75"/>
      <c r="BI177" s="75"/>
      <c r="BJ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c r="AT178" s="75"/>
      <c r="AU178" s="75"/>
      <c r="AV178" s="75"/>
      <c r="AW178" s="75"/>
      <c r="AX178" s="75"/>
      <c r="AY178" s="75"/>
      <c r="AZ178" s="75"/>
      <c r="BA178" s="75"/>
      <c r="BB178" s="75"/>
      <c r="BC178" s="75"/>
      <c r="BD178" s="75"/>
      <c r="BE178" s="75"/>
      <c r="BF178" s="75"/>
      <c r="BG178" s="75"/>
      <c r="BH178" s="75"/>
      <c r="BI178" s="75"/>
      <c r="BJ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c r="AT179" s="75"/>
      <c r="AU179" s="75"/>
      <c r="AV179" s="75"/>
      <c r="AW179" s="75"/>
      <c r="AX179" s="75"/>
      <c r="AY179" s="75"/>
      <c r="AZ179" s="75"/>
      <c r="BA179" s="75"/>
      <c r="BB179" s="75"/>
      <c r="BC179" s="75"/>
      <c r="BD179" s="75"/>
      <c r="BE179" s="75"/>
      <c r="BF179" s="75"/>
      <c r="BG179" s="75"/>
      <c r="BH179" s="75"/>
      <c r="BI179" s="75"/>
      <c r="BJ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75"/>
      <c r="BB180" s="75"/>
      <c r="BC180" s="75"/>
      <c r="BD180" s="75"/>
      <c r="BE180" s="75"/>
      <c r="BF180" s="75"/>
      <c r="BG180" s="75"/>
      <c r="BH180" s="75"/>
      <c r="BI180" s="75"/>
      <c r="BJ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c r="AT181" s="75"/>
      <c r="AU181" s="75"/>
      <c r="AV181" s="75"/>
      <c r="AW181" s="75"/>
      <c r="AX181" s="75"/>
      <c r="AY181" s="75"/>
      <c r="AZ181" s="75"/>
      <c r="BA181" s="75"/>
      <c r="BB181" s="75"/>
      <c r="BC181" s="75"/>
      <c r="BD181" s="75"/>
      <c r="BE181" s="75"/>
      <c r="BF181" s="75"/>
      <c r="BG181" s="75"/>
      <c r="BH181" s="75"/>
      <c r="BI181" s="75"/>
      <c r="BJ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75"/>
      <c r="BB182" s="75"/>
      <c r="BC182" s="75"/>
      <c r="BD182" s="75"/>
      <c r="BE182" s="75"/>
      <c r="BF182" s="75"/>
      <c r="BG182" s="75"/>
      <c r="BH182" s="75"/>
      <c r="BI182" s="75"/>
      <c r="BJ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c r="BJ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75"/>
      <c r="BB184" s="75"/>
      <c r="BC184" s="75"/>
      <c r="BD184" s="75"/>
      <c r="BE184" s="75"/>
      <c r="BF184" s="75"/>
      <c r="BG184" s="75"/>
      <c r="BH184" s="75"/>
      <c r="BI184" s="75"/>
      <c r="BJ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75"/>
      <c r="BB185" s="75"/>
      <c r="BC185" s="75"/>
      <c r="BD185" s="75"/>
      <c r="BE185" s="75"/>
      <c r="BF185" s="75"/>
      <c r="BG185" s="75"/>
      <c r="BH185" s="75"/>
      <c r="BI185" s="75"/>
      <c r="BJ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75"/>
      <c r="BB186" s="75"/>
      <c r="BC186" s="75"/>
      <c r="BD186" s="75"/>
      <c r="BE186" s="75"/>
      <c r="BF186" s="75"/>
      <c r="BG186" s="75"/>
      <c r="BH186" s="75"/>
      <c r="BI186" s="75"/>
      <c r="BJ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c r="AT187" s="75"/>
      <c r="AU187" s="75"/>
      <c r="AV187" s="75"/>
      <c r="AW187" s="75"/>
      <c r="AX187" s="75"/>
      <c r="AY187" s="75"/>
      <c r="AZ187" s="75"/>
      <c r="BA187" s="75"/>
      <c r="BB187" s="75"/>
      <c r="BC187" s="75"/>
      <c r="BD187" s="75"/>
      <c r="BE187" s="75"/>
      <c r="BF187" s="75"/>
      <c r="BG187" s="75"/>
      <c r="BH187" s="75"/>
      <c r="BI187" s="75"/>
      <c r="BJ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75"/>
      <c r="AY188" s="75"/>
      <c r="AZ188" s="75"/>
      <c r="BA188" s="75"/>
      <c r="BB188" s="75"/>
      <c r="BC188" s="75"/>
      <c r="BD188" s="75"/>
      <c r="BE188" s="75"/>
      <c r="BF188" s="75"/>
      <c r="BG188" s="75"/>
      <c r="BH188" s="75"/>
      <c r="BI188" s="75"/>
      <c r="BJ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75"/>
      <c r="BB189" s="75"/>
      <c r="BC189" s="75"/>
      <c r="BD189" s="75"/>
      <c r="BE189" s="75"/>
      <c r="BF189" s="75"/>
      <c r="BG189" s="75"/>
      <c r="BH189" s="75"/>
      <c r="BI189" s="75"/>
      <c r="BJ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75"/>
      <c r="BB191" s="75"/>
      <c r="BC191" s="75"/>
      <c r="BD191" s="75"/>
      <c r="BE191" s="75"/>
      <c r="BF191" s="75"/>
      <c r="BG191" s="75"/>
      <c r="BH191" s="75"/>
      <c r="BI191" s="75"/>
      <c r="BJ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75"/>
      <c r="AY192" s="75"/>
      <c r="AZ192" s="75"/>
      <c r="BA192" s="75"/>
      <c r="BB192" s="75"/>
      <c r="BC192" s="75"/>
      <c r="BD192" s="75"/>
      <c r="BE192" s="75"/>
      <c r="BF192" s="75"/>
      <c r="BG192" s="75"/>
      <c r="BH192" s="75"/>
      <c r="BI192" s="75"/>
      <c r="BJ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75"/>
      <c r="BB193" s="75"/>
      <c r="BC193" s="75"/>
      <c r="BD193" s="75"/>
      <c r="BE193" s="75"/>
      <c r="BF193" s="75"/>
      <c r="BG193" s="75"/>
      <c r="BH193" s="75"/>
      <c r="BI193" s="75"/>
      <c r="BJ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75"/>
      <c r="AY194" s="75"/>
      <c r="AZ194" s="75"/>
      <c r="BA194" s="75"/>
      <c r="BB194" s="75"/>
      <c r="BC194" s="75"/>
      <c r="BD194" s="75"/>
      <c r="BE194" s="75"/>
      <c r="BF194" s="75"/>
      <c r="BG194" s="75"/>
      <c r="BH194" s="75"/>
      <c r="BI194" s="75"/>
      <c r="BJ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c r="BF195" s="75"/>
      <c r="BG195" s="75"/>
      <c r="BH195" s="75"/>
      <c r="BI195" s="75"/>
      <c r="BJ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75"/>
      <c r="AY196" s="75"/>
      <c r="AZ196" s="75"/>
      <c r="BA196" s="75"/>
      <c r="BB196" s="75"/>
      <c r="BC196" s="75"/>
      <c r="BD196" s="75"/>
      <c r="BE196" s="75"/>
      <c r="BF196" s="75"/>
      <c r="BG196" s="75"/>
      <c r="BH196" s="75"/>
      <c r="BI196" s="75"/>
      <c r="BJ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c r="BJ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75"/>
      <c r="BB198" s="75"/>
      <c r="BC198" s="75"/>
      <c r="BD198" s="75"/>
      <c r="BE198" s="75"/>
      <c r="BF198" s="75"/>
      <c r="BG198" s="75"/>
      <c r="BH198" s="75"/>
      <c r="BI198" s="75"/>
      <c r="BJ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75"/>
      <c r="BB199" s="75"/>
      <c r="BC199" s="75"/>
      <c r="BD199" s="75"/>
      <c r="BE199" s="75"/>
      <c r="BF199" s="75"/>
      <c r="BG199" s="75"/>
      <c r="BH199" s="75"/>
      <c r="BI199" s="75"/>
      <c r="BJ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75"/>
      <c r="BB200" s="75"/>
      <c r="BC200" s="75"/>
      <c r="BD200" s="75"/>
      <c r="BE200" s="75"/>
      <c r="BF200" s="75"/>
      <c r="BG200" s="75"/>
      <c r="BH200" s="75"/>
      <c r="BI200" s="75"/>
      <c r="BJ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75"/>
      <c r="BB201" s="75"/>
      <c r="BC201" s="75"/>
      <c r="BD201" s="75"/>
      <c r="BE201" s="75"/>
      <c r="BF201" s="75"/>
      <c r="BG201" s="75"/>
      <c r="BH201" s="75"/>
      <c r="BI201" s="75"/>
      <c r="BJ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75"/>
      <c r="BB202" s="75"/>
      <c r="BC202" s="75"/>
      <c r="BD202" s="75"/>
      <c r="BE202" s="75"/>
      <c r="BF202" s="75"/>
      <c r="BG202" s="75"/>
      <c r="BH202" s="75"/>
      <c r="BI202" s="75"/>
      <c r="BJ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c r="AT203" s="75"/>
      <c r="AU203" s="75"/>
      <c r="AV203" s="75"/>
      <c r="AW203" s="75"/>
      <c r="AX203" s="75"/>
      <c r="AY203" s="75"/>
      <c r="AZ203" s="75"/>
      <c r="BA203" s="75"/>
      <c r="BB203" s="75"/>
      <c r="BC203" s="75"/>
      <c r="BD203" s="75"/>
      <c r="BE203" s="75"/>
      <c r="BF203" s="75"/>
      <c r="BG203" s="75"/>
      <c r="BH203" s="75"/>
      <c r="BI203" s="75"/>
      <c r="BJ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c r="BJ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75"/>
      <c r="BB206" s="75"/>
      <c r="BC206" s="75"/>
      <c r="BD206" s="75"/>
      <c r="BE206" s="75"/>
      <c r="BF206" s="75"/>
      <c r="BG206" s="75"/>
      <c r="BH206" s="75"/>
      <c r="BI206" s="75"/>
      <c r="BJ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75"/>
      <c r="BB207" s="75"/>
      <c r="BC207" s="75"/>
      <c r="BD207" s="75"/>
      <c r="BE207" s="75"/>
      <c r="BF207" s="75"/>
      <c r="BG207" s="75"/>
      <c r="BH207" s="75"/>
      <c r="BI207" s="75"/>
      <c r="BJ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c r="AT208" s="75"/>
      <c r="AU208" s="75"/>
      <c r="AV208" s="75"/>
      <c r="AW208" s="75"/>
      <c r="AX208" s="75"/>
      <c r="AY208" s="75"/>
      <c r="AZ208" s="75"/>
      <c r="BA208" s="75"/>
      <c r="BB208" s="75"/>
      <c r="BC208" s="75"/>
      <c r="BD208" s="75"/>
      <c r="BE208" s="75"/>
      <c r="BF208" s="75"/>
      <c r="BG208" s="75"/>
      <c r="BH208" s="75"/>
      <c r="BI208" s="75"/>
      <c r="BJ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75"/>
      <c r="BB210" s="75"/>
      <c r="BC210" s="75"/>
      <c r="BD210" s="75"/>
      <c r="BE210" s="75"/>
      <c r="BF210" s="75"/>
      <c r="BG210" s="75"/>
      <c r="BH210" s="75"/>
      <c r="BI210" s="75"/>
      <c r="BJ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c r="AT211" s="75"/>
      <c r="AU211" s="75"/>
      <c r="AV211" s="75"/>
      <c r="AW211" s="75"/>
      <c r="AX211" s="75"/>
      <c r="AY211" s="75"/>
      <c r="AZ211" s="75"/>
      <c r="BA211" s="75"/>
      <c r="BB211" s="75"/>
      <c r="BC211" s="75"/>
      <c r="BD211" s="75"/>
      <c r="BE211" s="75"/>
      <c r="BF211" s="75"/>
      <c r="BG211" s="75"/>
      <c r="BH211" s="75"/>
      <c r="BI211" s="75"/>
      <c r="BJ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75"/>
      <c r="AY212" s="75"/>
      <c r="AZ212" s="75"/>
      <c r="BA212" s="75"/>
      <c r="BB212" s="75"/>
      <c r="BC212" s="75"/>
      <c r="BD212" s="75"/>
      <c r="BE212" s="75"/>
      <c r="BF212" s="75"/>
      <c r="BG212" s="75"/>
      <c r="BH212" s="75"/>
      <c r="BI212" s="75"/>
      <c r="BJ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c r="BJ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75"/>
      <c r="AY214" s="75"/>
      <c r="AZ214" s="75"/>
      <c r="BA214" s="75"/>
      <c r="BB214" s="75"/>
      <c r="BC214" s="75"/>
      <c r="BD214" s="75"/>
      <c r="BE214" s="75"/>
      <c r="BF214" s="75"/>
      <c r="BG214" s="75"/>
      <c r="BH214" s="75"/>
      <c r="BI214" s="75"/>
      <c r="BJ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X215" s="75"/>
      <c r="AY215" s="75"/>
      <c r="AZ215" s="75"/>
      <c r="BA215" s="75"/>
      <c r="BB215" s="75"/>
      <c r="BC215" s="75"/>
      <c r="BD215" s="75"/>
      <c r="BE215" s="75"/>
      <c r="BF215" s="75"/>
      <c r="BG215" s="75"/>
      <c r="BH215" s="75"/>
      <c r="BI215" s="75"/>
      <c r="BJ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5"/>
      <c r="BI216" s="75"/>
      <c r="BJ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c r="BF217" s="75"/>
      <c r="BG217" s="75"/>
      <c r="BH217" s="75"/>
      <c r="BI217" s="75"/>
      <c r="BJ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c r="BF218" s="75"/>
      <c r="BG218" s="75"/>
      <c r="BH218" s="75"/>
      <c r="BI218" s="75"/>
      <c r="BJ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c r="BF219" s="75"/>
      <c r="BG219" s="75"/>
      <c r="BH219" s="75"/>
      <c r="BI219" s="75"/>
      <c r="BJ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c r="BF220" s="75"/>
      <c r="BG220" s="75"/>
      <c r="BH220" s="75"/>
      <c r="BI220" s="75"/>
      <c r="BJ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c r="AT221" s="75"/>
      <c r="AU221" s="75"/>
      <c r="AV221" s="75"/>
      <c r="AW221" s="75"/>
      <c r="AX221" s="75"/>
      <c r="AY221" s="75"/>
      <c r="AZ221" s="75"/>
      <c r="BA221" s="75"/>
      <c r="BB221" s="75"/>
      <c r="BC221" s="75"/>
      <c r="BD221" s="75"/>
      <c r="BE221" s="75"/>
      <c r="BF221" s="75"/>
      <c r="BG221" s="75"/>
      <c r="BH221" s="75"/>
      <c r="BI221" s="75"/>
      <c r="BJ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c r="AT222" s="75"/>
      <c r="AU222" s="75"/>
      <c r="AV222" s="75"/>
      <c r="AW222" s="75"/>
      <c r="AX222" s="75"/>
      <c r="AY222" s="75"/>
      <c r="AZ222" s="75"/>
      <c r="BA222" s="75"/>
      <c r="BB222" s="75"/>
      <c r="BC222" s="75"/>
      <c r="BD222" s="75"/>
      <c r="BE222" s="75"/>
      <c r="BF222" s="75"/>
      <c r="BG222" s="75"/>
      <c r="BH222" s="75"/>
      <c r="BI222" s="75"/>
      <c r="BJ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c r="BJ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c r="AT224" s="75"/>
      <c r="AU224" s="75"/>
      <c r="AV224" s="75"/>
      <c r="AW224" s="75"/>
      <c r="AX224" s="75"/>
      <c r="AY224" s="75"/>
      <c r="AZ224" s="75"/>
      <c r="BA224" s="75"/>
      <c r="BB224" s="75"/>
      <c r="BC224" s="75"/>
      <c r="BD224" s="75"/>
      <c r="BE224" s="75"/>
      <c r="BF224" s="75"/>
      <c r="BG224" s="75"/>
      <c r="BH224" s="75"/>
      <c r="BI224" s="75"/>
      <c r="BJ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75"/>
      <c r="AY225" s="75"/>
      <c r="AZ225" s="75"/>
      <c r="BA225" s="75"/>
      <c r="BB225" s="75"/>
      <c r="BC225" s="75"/>
      <c r="BD225" s="75"/>
      <c r="BE225" s="75"/>
      <c r="BF225" s="75"/>
      <c r="BG225" s="75"/>
      <c r="BH225" s="75"/>
      <c r="BI225" s="75"/>
      <c r="BJ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75"/>
      <c r="AY226" s="75"/>
      <c r="AZ226" s="75"/>
      <c r="BA226" s="75"/>
      <c r="BB226" s="75"/>
      <c r="BC226" s="75"/>
      <c r="BD226" s="75"/>
      <c r="BE226" s="75"/>
      <c r="BF226" s="75"/>
      <c r="BG226" s="75"/>
      <c r="BH226" s="75"/>
      <c r="BI226" s="75"/>
      <c r="BJ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75"/>
      <c r="AY227" s="75"/>
      <c r="AZ227" s="75"/>
      <c r="BA227" s="75"/>
      <c r="BB227" s="75"/>
      <c r="BC227" s="75"/>
      <c r="BD227" s="75"/>
      <c r="BE227" s="75"/>
      <c r="BF227" s="75"/>
      <c r="BG227" s="75"/>
      <c r="BH227" s="75"/>
      <c r="BI227" s="75"/>
      <c r="BJ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c r="BF228" s="75"/>
      <c r="BG228" s="75"/>
      <c r="BH228" s="75"/>
      <c r="BI228" s="75"/>
      <c r="BJ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c r="BE229" s="75"/>
      <c r="BF229" s="75"/>
      <c r="BG229" s="75"/>
      <c r="BH229" s="75"/>
      <c r="BI229" s="75"/>
      <c r="BJ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c r="AT230" s="75"/>
      <c r="AU230" s="75"/>
      <c r="AV230" s="75"/>
      <c r="AW230" s="75"/>
      <c r="AX230" s="75"/>
      <c r="AY230" s="75"/>
      <c r="AZ230" s="75"/>
      <c r="BA230" s="75"/>
      <c r="BB230" s="75"/>
      <c r="BC230" s="75"/>
      <c r="BD230" s="75"/>
      <c r="BE230" s="75"/>
      <c r="BF230" s="75"/>
      <c r="BG230" s="75"/>
      <c r="BH230" s="75"/>
      <c r="BI230" s="75"/>
      <c r="BJ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c r="AT231" s="75"/>
      <c r="AU231" s="75"/>
      <c r="AV231" s="75"/>
      <c r="AW231" s="75"/>
      <c r="AX231" s="75"/>
      <c r="AY231" s="75"/>
      <c r="AZ231" s="75"/>
      <c r="BA231" s="75"/>
      <c r="BB231" s="75"/>
      <c r="BC231" s="75"/>
      <c r="BD231" s="75"/>
      <c r="BE231" s="75"/>
      <c r="BF231" s="75"/>
      <c r="BG231" s="75"/>
      <c r="BH231" s="75"/>
      <c r="BI231" s="75"/>
      <c r="BJ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c r="BJ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c r="AT233" s="75"/>
      <c r="AU233" s="75"/>
      <c r="AV233" s="75"/>
      <c r="AW233" s="75"/>
      <c r="AX233" s="75"/>
      <c r="AY233" s="75"/>
      <c r="AZ233" s="75"/>
      <c r="BA233" s="75"/>
      <c r="BB233" s="75"/>
      <c r="BC233" s="75"/>
      <c r="BD233" s="75"/>
      <c r="BE233" s="75"/>
      <c r="BF233" s="75"/>
      <c r="BG233" s="75"/>
      <c r="BH233" s="75"/>
      <c r="BI233" s="75"/>
      <c r="BJ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c r="BJ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c r="AT235" s="75"/>
      <c r="AU235" s="75"/>
      <c r="AV235" s="75"/>
      <c r="AW235" s="75"/>
      <c r="AX235" s="75"/>
      <c r="AY235" s="75"/>
      <c r="AZ235" s="75"/>
      <c r="BA235" s="75"/>
      <c r="BB235" s="75"/>
      <c r="BC235" s="75"/>
      <c r="BD235" s="75"/>
      <c r="BE235" s="75"/>
      <c r="BF235" s="75"/>
      <c r="BG235" s="75"/>
      <c r="BH235" s="75"/>
      <c r="BI235" s="75"/>
      <c r="BJ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c r="BF236" s="75"/>
      <c r="BG236" s="75"/>
      <c r="BH236" s="75"/>
      <c r="BI236" s="75"/>
      <c r="BJ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c r="AT237" s="75"/>
      <c r="AU237" s="75"/>
      <c r="AV237" s="75"/>
      <c r="AW237" s="75"/>
      <c r="AX237" s="75"/>
      <c r="AY237" s="75"/>
      <c r="AZ237" s="75"/>
      <c r="BA237" s="75"/>
      <c r="BB237" s="75"/>
      <c r="BC237" s="75"/>
      <c r="BD237" s="75"/>
      <c r="BE237" s="75"/>
      <c r="BF237" s="75"/>
      <c r="BG237" s="75"/>
      <c r="BH237" s="75"/>
      <c r="BI237" s="75"/>
      <c r="BJ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c r="BF238" s="75"/>
      <c r="BG238" s="75"/>
      <c r="BH238" s="75"/>
      <c r="BI238" s="75"/>
      <c r="BJ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c r="BF239" s="75"/>
      <c r="BG239" s="75"/>
      <c r="BH239" s="75"/>
      <c r="BI239" s="75"/>
      <c r="BJ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c r="BF240" s="75"/>
      <c r="BG240" s="75"/>
      <c r="BH240" s="75"/>
      <c r="BI240" s="75"/>
      <c r="BJ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c r="AT241" s="75"/>
      <c r="AU241" s="75"/>
      <c r="AV241" s="75"/>
      <c r="AW241" s="75"/>
      <c r="AX241" s="75"/>
      <c r="AY241" s="75"/>
      <c r="AZ241" s="75"/>
      <c r="BA241" s="75"/>
      <c r="BB241" s="75"/>
      <c r="BC241" s="75"/>
      <c r="BD241" s="75"/>
      <c r="BE241" s="75"/>
      <c r="BF241" s="75"/>
      <c r="BG241" s="75"/>
      <c r="BH241" s="75"/>
      <c r="BI241" s="75"/>
      <c r="BJ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c r="AT242" s="75"/>
      <c r="AU242" s="75"/>
      <c r="AV242" s="75"/>
      <c r="AW242" s="75"/>
      <c r="AX242" s="75"/>
      <c r="AY242" s="75"/>
      <c r="AZ242" s="75"/>
      <c r="BA242" s="75"/>
      <c r="BB242" s="75"/>
      <c r="BC242" s="75"/>
      <c r="BD242" s="75"/>
      <c r="BE242" s="75"/>
      <c r="BF242" s="75"/>
      <c r="BG242" s="75"/>
      <c r="BH242" s="75"/>
      <c r="BI242" s="75"/>
      <c r="BJ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75"/>
      <c r="BB243" s="75"/>
      <c r="BC243" s="75"/>
      <c r="BD243" s="75"/>
      <c r="BE243" s="75"/>
      <c r="BF243" s="75"/>
      <c r="BG243" s="75"/>
      <c r="BH243" s="75"/>
      <c r="BI243" s="75"/>
      <c r="BJ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75"/>
      <c r="AZ244" s="75"/>
      <c r="BA244" s="75"/>
      <c r="BB244" s="75"/>
      <c r="BC244" s="75"/>
      <c r="BD244" s="75"/>
      <c r="BE244" s="75"/>
      <c r="BF244" s="75"/>
      <c r="BG244" s="75"/>
      <c r="BH244" s="75"/>
      <c r="BI244" s="75"/>
      <c r="BJ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75"/>
      <c r="BB245" s="75"/>
      <c r="BC245" s="75"/>
      <c r="BD245" s="75"/>
      <c r="BE245" s="75"/>
      <c r="BF245" s="75"/>
      <c r="BG245" s="75"/>
      <c r="BH245" s="75"/>
      <c r="BI245" s="75"/>
      <c r="BJ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75"/>
      <c r="BI246" s="75"/>
      <c r="BJ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75"/>
      <c r="BI248" s="75"/>
      <c r="BJ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75"/>
      <c r="BI249" s="75"/>
      <c r="BJ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75"/>
      <c r="BB251" s="75"/>
      <c r="BC251" s="75"/>
      <c r="BD251" s="75"/>
      <c r="BE251" s="75"/>
      <c r="BF251" s="75"/>
      <c r="BG251" s="75"/>
      <c r="BH251" s="75"/>
      <c r="BI251" s="75"/>
      <c r="BJ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c r="BJ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c r="BJ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c r="AT255" s="75"/>
      <c r="AU255" s="75"/>
      <c r="AV255" s="75"/>
      <c r="AW255" s="75"/>
      <c r="AX255" s="75"/>
      <c r="AY255" s="75"/>
      <c r="AZ255" s="75"/>
      <c r="BA255" s="75"/>
      <c r="BB255" s="75"/>
      <c r="BC255" s="75"/>
      <c r="BD255" s="75"/>
      <c r="BE255" s="75"/>
      <c r="BF255" s="75"/>
      <c r="BG255" s="75"/>
      <c r="BH255" s="75"/>
      <c r="BI255" s="75"/>
      <c r="BJ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75"/>
      <c r="AY256" s="75"/>
      <c r="AZ256" s="75"/>
      <c r="BA256" s="75"/>
      <c r="BB256" s="75"/>
      <c r="BC256" s="75"/>
      <c r="BD256" s="75"/>
      <c r="BE256" s="75"/>
      <c r="BF256" s="75"/>
      <c r="BG256" s="75"/>
      <c r="BH256" s="75"/>
      <c r="BI256" s="75"/>
      <c r="BJ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75"/>
      <c r="BB257" s="75"/>
      <c r="BC257" s="75"/>
      <c r="BD257" s="75"/>
      <c r="BE257" s="75"/>
      <c r="BF257" s="75"/>
      <c r="BG257" s="75"/>
      <c r="BH257" s="75"/>
      <c r="BI257" s="75"/>
      <c r="BJ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75"/>
      <c r="AY258" s="75"/>
      <c r="AZ258" s="75"/>
      <c r="BA258" s="75"/>
      <c r="BB258" s="75"/>
      <c r="BC258" s="75"/>
      <c r="BD258" s="75"/>
      <c r="BE258" s="75"/>
      <c r="BF258" s="75"/>
      <c r="BG258" s="75"/>
      <c r="BH258" s="75"/>
      <c r="BI258" s="75"/>
      <c r="BJ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75"/>
      <c r="BB259" s="75"/>
      <c r="BC259" s="75"/>
      <c r="BD259" s="75"/>
      <c r="BE259" s="75"/>
      <c r="BF259" s="75"/>
      <c r="BG259" s="75"/>
      <c r="BH259" s="75"/>
      <c r="BI259" s="75"/>
      <c r="BJ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c r="AT260" s="75"/>
      <c r="AU260" s="75"/>
      <c r="AV260" s="75"/>
      <c r="AW260" s="75"/>
      <c r="AX260" s="75"/>
      <c r="AY260" s="75"/>
      <c r="AZ260" s="75"/>
      <c r="BA260" s="75"/>
      <c r="BB260" s="75"/>
      <c r="BC260" s="75"/>
      <c r="BD260" s="75"/>
      <c r="BE260" s="75"/>
      <c r="BF260" s="75"/>
      <c r="BG260" s="75"/>
      <c r="BH260" s="75"/>
      <c r="BI260" s="75"/>
      <c r="BJ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c r="AT261" s="75"/>
      <c r="AU261" s="75"/>
      <c r="AV261" s="75"/>
      <c r="AW261" s="75"/>
      <c r="AX261" s="75"/>
      <c r="AY261" s="75"/>
      <c r="AZ261" s="75"/>
      <c r="BA261" s="75"/>
      <c r="BB261" s="75"/>
      <c r="BC261" s="75"/>
      <c r="BD261" s="75"/>
      <c r="BE261" s="75"/>
      <c r="BF261" s="75"/>
      <c r="BG261" s="75"/>
      <c r="BH261" s="75"/>
      <c r="BI261" s="75"/>
      <c r="BJ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c r="AT262" s="75"/>
      <c r="AU262" s="75"/>
      <c r="AV262" s="75"/>
      <c r="AW262" s="75"/>
      <c r="AX262" s="75"/>
      <c r="AY262" s="75"/>
      <c r="AZ262" s="75"/>
      <c r="BA262" s="75"/>
      <c r="BB262" s="75"/>
      <c r="BC262" s="75"/>
      <c r="BD262" s="75"/>
      <c r="BE262" s="75"/>
      <c r="BF262" s="75"/>
      <c r="BG262" s="75"/>
      <c r="BH262" s="75"/>
      <c r="BI262" s="75"/>
      <c r="BJ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c r="AT263" s="75"/>
      <c r="AU263" s="75"/>
      <c r="AV263" s="75"/>
      <c r="AW263" s="75"/>
      <c r="AX263" s="75"/>
      <c r="AY263" s="75"/>
      <c r="AZ263" s="75"/>
      <c r="BA263" s="75"/>
      <c r="BB263" s="75"/>
      <c r="BC263" s="75"/>
      <c r="BD263" s="75"/>
      <c r="BE263" s="75"/>
      <c r="BF263" s="75"/>
      <c r="BG263" s="75"/>
      <c r="BH263" s="75"/>
      <c r="BI263" s="75"/>
      <c r="BJ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75"/>
      <c r="AZ264" s="75"/>
      <c r="BA264" s="75"/>
      <c r="BB264" s="75"/>
      <c r="BC264" s="75"/>
      <c r="BD264" s="75"/>
      <c r="BE264" s="75"/>
      <c r="BF264" s="75"/>
      <c r="BG264" s="75"/>
      <c r="BH264" s="75"/>
      <c r="BI264" s="75"/>
      <c r="BJ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c r="BF265" s="75"/>
      <c r="BG265" s="75"/>
      <c r="BH265" s="75"/>
      <c r="BI265" s="75"/>
      <c r="BJ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75"/>
      <c r="BI266" s="75"/>
      <c r="BJ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c r="AT267" s="75"/>
      <c r="AU267" s="75"/>
      <c r="AV267" s="75"/>
      <c r="AW267" s="75"/>
      <c r="AX267" s="75"/>
      <c r="AY267" s="75"/>
      <c r="AZ267" s="75"/>
      <c r="BA267" s="75"/>
      <c r="BB267" s="75"/>
      <c r="BC267" s="75"/>
      <c r="BD267" s="75"/>
      <c r="BE267" s="75"/>
      <c r="BF267" s="75"/>
      <c r="BG267" s="75"/>
      <c r="BH267" s="75"/>
      <c r="BI267" s="75"/>
      <c r="BJ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c r="AT268" s="75"/>
      <c r="AU268" s="75"/>
      <c r="AV268" s="75"/>
      <c r="AW268" s="75"/>
      <c r="AX268" s="75"/>
      <c r="AY268" s="75"/>
      <c r="AZ268" s="75"/>
      <c r="BA268" s="75"/>
      <c r="BB268" s="75"/>
      <c r="BC268" s="75"/>
      <c r="BD268" s="75"/>
      <c r="BE268" s="75"/>
      <c r="BF268" s="75"/>
      <c r="BG268" s="75"/>
      <c r="BH268" s="75"/>
      <c r="BI268" s="75"/>
      <c r="BJ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75"/>
      <c r="BI269" s="75"/>
      <c r="BJ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75"/>
      <c r="BB270" s="75"/>
      <c r="BC270" s="75"/>
      <c r="BD270" s="75"/>
      <c r="BE270" s="75"/>
      <c r="BF270" s="75"/>
      <c r="BG270" s="75"/>
      <c r="BH270" s="75"/>
      <c r="BI270" s="75"/>
      <c r="BJ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75"/>
      <c r="BI271" s="75"/>
      <c r="BJ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75"/>
      <c r="AZ272" s="75"/>
      <c r="BA272" s="75"/>
      <c r="BB272" s="75"/>
      <c r="BC272" s="75"/>
      <c r="BD272" s="75"/>
      <c r="BE272" s="75"/>
      <c r="BF272" s="75"/>
      <c r="BG272" s="75"/>
      <c r="BH272" s="75"/>
      <c r="BI272" s="75"/>
      <c r="BJ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c r="AO273" s="75"/>
      <c r="AP273" s="75"/>
      <c r="AQ273" s="75"/>
      <c r="AR273" s="75"/>
      <c r="AS273" s="75"/>
      <c r="AT273" s="75"/>
      <c r="AU273" s="75"/>
      <c r="AV273" s="75"/>
      <c r="AW273" s="75"/>
      <c r="AX273" s="75"/>
      <c r="AY273" s="75"/>
      <c r="AZ273" s="75"/>
      <c r="BA273" s="75"/>
      <c r="BB273" s="75"/>
      <c r="BC273" s="75"/>
      <c r="BD273" s="75"/>
      <c r="BE273" s="75"/>
      <c r="BF273" s="75"/>
      <c r="BG273" s="75"/>
      <c r="BH273" s="75"/>
      <c r="BI273" s="75"/>
      <c r="BJ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c r="AT274" s="75"/>
      <c r="AU274" s="75"/>
      <c r="AV274" s="75"/>
      <c r="AW274" s="75"/>
      <c r="AX274" s="75"/>
      <c r="AY274" s="75"/>
      <c r="AZ274" s="75"/>
      <c r="BA274" s="75"/>
      <c r="BB274" s="75"/>
      <c r="BC274" s="75"/>
      <c r="BD274" s="75"/>
      <c r="BE274" s="75"/>
      <c r="BF274" s="75"/>
      <c r="BG274" s="75"/>
      <c r="BH274" s="75"/>
      <c r="BI274" s="75"/>
      <c r="BJ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c r="AO275" s="75"/>
      <c r="AP275" s="75"/>
      <c r="AQ275" s="75"/>
      <c r="AR275" s="75"/>
      <c r="AS275" s="75"/>
      <c r="AT275" s="75"/>
      <c r="AU275" s="75"/>
      <c r="AV275" s="75"/>
      <c r="AW275" s="75"/>
      <c r="AX275" s="75"/>
      <c r="AY275" s="75"/>
      <c r="AZ275" s="75"/>
      <c r="BA275" s="75"/>
      <c r="BB275" s="75"/>
      <c r="BC275" s="75"/>
      <c r="BD275" s="75"/>
      <c r="BE275" s="75"/>
      <c r="BF275" s="75"/>
      <c r="BG275" s="75"/>
      <c r="BH275" s="75"/>
      <c r="BI275" s="75"/>
      <c r="BJ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c r="AT276" s="75"/>
      <c r="AU276" s="75"/>
      <c r="AV276" s="75"/>
      <c r="AW276" s="75"/>
      <c r="AX276" s="75"/>
      <c r="AY276" s="75"/>
      <c r="AZ276" s="75"/>
      <c r="BA276" s="75"/>
      <c r="BB276" s="75"/>
      <c r="BC276" s="75"/>
      <c r="BD276" s="75"/>
      <c r="BE276" s="75"/>
      <c r="BF276" s="75"/>
      <c r="BG276" s="75"/>
      <c r="BH276" s="75"/>
      <c r="BI276" s="75"/>
      <c r="BJ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c r="AO277" s="75"/>
      <c r="AP277" s="75"/>
      <c r="AQ277" s="75"/>
      <c r="AR277" s="75"/>
      <c r="AS277" s="75"/>
      <c r="AT277" s="75"/>
      <c r="AU277" s="75"/>
      <c r="AV277" s="75"/>
      <c r="AW277" s="75"/>
      <c r="AX277" s="75"/>
      <c r="AY277" s="75"/>
      <c r="AZ277" s="75"/>
      <c r="BA277" s="75"/>
      <c r="BB277" s="75"/>
      <c r="BC277" s="75"/>
      <c r="BD277" s="75"/>
      <c r="BE277" s="75"/>
      <c r="BF277" s="75"/>
      <c r="BG277" s="75"/>
      <c r="BH277" s="75"/>
      <c r="BI277" s="75"/>
      <c r="BJ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75"/>
      <c r="AZ278" s="75"/>
      <c r="BA278" s="75"/>
      <c r="BB278" s="75"/>
      <c r="BC278" s="75"/>
      <c r="BD278" s="75"/>
      <c r="BE278" s="75"/>
      <c r="BF278" s="75"/>
      <c r="BG278" s="75"/>
      <c r="BH278" s="75"/>
      <c r="BI278" s="75"/>
      <c r="BJ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c r="AT279" s="75"/>
      <c r="AU279" s="75"/>
      <c r="AV279" s="75"/>
      <c r="AW279" s="75"/>
      <c r="AX279" s="75"/>
      <c r="AY279" s="75"/>
      <c r="AZ279" s="75"/>
      <c r="BA279" s="75"/>
      <c r="BB279" s="75"/>
      <c r="BC279" s="75"/>
      <c r="BD279" s="75"/>
      <c r="BE279" s="75"/>
      <c r="BF279" s="75"/>
      <c r="BG279" s="75"/>
      <c r="BH279" s="75"/>
      <c r="BI279" s="75"/>
      <c r="BJ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c r="BF280" s="75"/>
      <c r="BG280" s="75"/>
      <c r="BH280" s="75"/>
      <c r="BI280" s="75"/>
      <c r="BJ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c r="AO281" s="75"/>
      <c r="AP281" s="75"/>
      <c r="AQ281" s="75"/>
      <c r="AR281" s="75"/>
      <c r="AS281" s="75"/>
      <c r="AT281" s="75"/>
      <c r="AU281" s="75"/>
      <c r="AV281" s="75"/>
      <c r="AW281" s="75"/>
      <c r="AX281" s="75"/>
      <c r="AY281" s="75"/>
      <c r="AZ281" s="75"/>
      <c r="BA281" s="75"/>
      <c r="BB281" s="75"/>
      <c r="BC281" s="75"/>
      <c r="BD281" s="75"/>
      <c r="BE281" s="75"/>
      <c r="BF281" s="75"/>
      <c r="BG281" s="75"/>
      <c r="BH281" s="75"/>
      <c r="BI281" s="75"/>
      <c r="BJ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75"/>
      <c r="AZ282" s="75"/>
      <c r="BA282" s="75"/>
      <c r="BB282" s="75"/>
      <c r="BC282" s="75"/>
      <c r="BD282" s="75"/>
      <c r="BE282" s="75"/>
      <c r="BF282" s="75"/>
      <c r="BG282" s="75"/>
      <c r="BH282" s="75"/>
      <c r="BI282" s="75"/>
      <c r="BJ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c r="AO283" s="75"/>
      <c r="AP283" s="75"/>
      <c r="AQ283" s="75"/>
      <c r="AR283" s="75"/>
      <c r="AS283" s="75"/>
      <c r="AT283" s="75"/>
      <c r="AU283" s="75"/>
      <c r="AV283" s="75"/>
      <c r="AW283" s="75"/>
      <c r="AX283" s="75"/>
      <c r="AY283" s="75"/>
      <c r="AZ283" s="75"/>
      <c r="BA283" s="75"/>
      <c r="BB283" s="75"/>
      <c r="BC283" s="75"/>
      <c r="BD283" s="75"/>
      <c r="BE283" s="75"/>
      <c r="BF283" s="75"/>
      <c r="BG283" s="75"/>
      <c r="BH283" s="75"/>
      <c r="BI283" s="75"/>
      <c r="BJ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c r="AT284" s="75"/>
      <c r="AU284" s="75"/>
      <c r="AV284" s="75"/>
      <c r="AW284" s="75"/>
      <c r="AX284" s="75"/>
      <c r="AY284" s="75"/>
      <c r="AZ284" s="75"/>
      <c r="BA284" s="75"/>
      <c r="BB284" s="75"/>
      <c r="BC284" s="75"/>
      <c r="BD284" s="75"/>
      <c r="BE284" s="75"/>
      <c r="BF284" s="75"/>
      <c r="BG284" s="75"/>
      <c r="BH284" s="75"/>
      <c r="BI284" s="75"/>
      <c r="BJ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c r="AO285" s="75"/>
      <c r="AP285" s="75"/>
      <c r="AQ285" s="75"/>
      <c r="AR285" s="75"/>
      <c r="AS285" s="75"/>
      <c r="AT285" s="75"/>
      <c r="AU285" s="75"/>
      <c r="AV285" s="75"/>
      <c r="AW285" s="75"/>
      <c r="AX285" s="75"/>
      <c r="AY285" s="75"/>
      <c r="AZ285" s="75"/>
      <c r="BA285" s="75"/>
      <c r="BB285" s="75"/>
      <c r="BC285" s="75"/>
      <c r="BD285" s="75"/>
      <c r="BE285" s="75"/>
      <c r="BF285" s="75"/>
      <c r="BG285" s="75"/>
      <c r="BH285" s="75"/>
      <c r="BI285" s="75"/>
      <c r="BJ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c r="AT286" s="75"/>
      <c r="AU286" s="75"/>
      <c r="AV286" s="75"/>
      <c r="AW286" s="75"/>
      <c r="AX286" s="75"/>
      <c r="AY286" s="75"/>
      <c r="AZ286" s="75"/>
      <c r="BA286" s="75"/>
      <c r="BB286" s="75"/>
      <c r="BC286" s="75"/>
      <c r="BD286" s="75"/>
      <c r="BE286" s="75"/>
      <c r="BF286" s="75"/>
      <c r="BG286" s="75"/>
      <c r="BH286" s="75"/>
      <c r="BI286" s="75"/>
      <c r="BJ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c r="AO287" s="75"/>
      <c r="AP287" s="75"/>
      <c r="AQ287" s="75"/>
      <c r="AR287" s="75"/>
      <c r="AS287" s="75"/>
      <c r="AT287" s="75"/>
      <c r="AU287" s="75"/>
      <c r="AV287" s="75"/>
      <c r="AW287" s="75"/>
      <c r="AX287" s="75"/>
      <c r="AY287" s="75"/>
      <c r="AZ287" s="75"/>
      <c r="BA287" s="75"/>
      <c r="BB287" s="75"/>
      <c r="BC287" s="75"/>
      <c r="BD287" s="75"/>
      <c r="BE287" s="75"/>
      <c r="BF287" s="75"/>
      <c r="BG287" s="75"/>
      <c r="BH287" s="75"/>
      <c r="BI287" s="75"/>
      <c r="BJ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75"/>
      <c r="AZ288" s="75"/>
      <c r="BA288" s="75"/>
      <c r="BB288" s="75"/>
      <c r="BC288" s="75"/>
      <c r="BD288" s="75"/>
      <c r="BE288" s="75"/>
      <c r="BF288" s="75"/>
      <c r="BG288" s="75"/>
      <c r="BH288" s="75"/>
      <c r="BI288" s="75"/>
      <c r="BJ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c r="AO289" s="75"/>
      <c r="AP289" s="75"/>
      <c r="AQ289" s="75"/>
      <c r="AR289" s="75"/>
      <c r="AS289" s="75"/>
      <c r="AT289" s="75"/>
      <c r="AU289" s="75"/>
      <c r="AV289" s="75"/>
      <c r="AW289" s="75"/>
      <c r="AX289" s="75"/>
      <c r="AY289" s="75"/>
      <c r="AZ289" s="75"/>
      <c r="BA289" s="75"/>
      <c r="BB289" s="75"/>
      <c r="BC289" s="75"/>
      <c r="BD289" s="75"/>
      <c r="BE289" s="75"/>
      <c r="BF289" s="75"/>
      <c r="BG289" s="75"/>
      <c r="BH289" s="75"/>
      <c r="BI289" s="75"/>
      <c r="BJ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c r="AT290" s="75"/>
      <c r="AU290" s="75"/>
      <c r="AV290" s="75"/>
      <c r="AW290" s="75"/>
      <c r="AX290" s="75"/>
      <c r="AY290" s="75"/>
      <c r="AZ290" s="75"/>
      <c r="BA290" s="75"/>
      <c r="BB290" s="75"/>
      <c r="BC290" s="75"/>
      <c r="BD290" s="75"/>
      <c r="BE290" s="75"/>
      <c r="BF290" s="75"/>
      <c r="BG290" s="75"/>
      <c r="BH290" s="75"/>
      <c r="BI290" s="75"/>
      <c r="BJ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c r="AO291" s="75"/>
      <c r="AP291" s="75"/>
      <c r="AQ291" s="75"/>
      <c r="AR291" s="75"/>
      <c r="AS291" s="75"/>
      <c r="AT291" s="75"/>
      <c r="AU291" s="75"/>
      <c r="AV291" s="75"/>
      <c r="AW291" s="75"/>
      <c r="AX291" s="75"/>
      <c r="AY291" s="75"/>
      <c r="AZ291" s="75"/>
      <c r="BA291" s="75"/>
      <c r="BB291" s="75"/>
      <c r="BC291" s="75"/>
      <c r="BD291" s="75"/>
      <c r="BE291" s="75"/>
      <c r="BF291" s="75"/>
      <c r="BG291" s="75"/>
      <c r="BH291" s="75"/>
      <c r="BI291" s="75"/>
      <c r="BJ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c r="AT292" s="75"/>
      <c r="AU292" s="75"/>
      <c r="AV292" s="75"/>
      <c r="AW292" s="75"/>
      <c r="AX292" s="75"/>
      <c r="AY292" s="75"/>
      <c r="AZ292" s="75"/>
      <c r="BA292" s="75"/>
      <c r="BB292" s="75"/>
      <c r="BC292" s="75"/>
      <c r="BD292" s="75"/>
      <c r="BE292" s="75"/>
      <c r="BF292" s="75"/>
      <c r="BG292" s="75"/>
      <c r="BH292" s="75"/>
      <c r="BI292" s="75"/>
      <c r="BJ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c r="AO293" s="75"/>
      <c r="AP293" s="75"/>
      <c r="AQ293" s="75"/>
      <c r="AR293" s="75"/>
      <c r="AS293" s="75"/>
      <c r="AT293" s="75"/>
      <c r="AU293" s="75"/>
      <c r="AV293" s="75"/>
      <c r="AW293" s="75"/>
      <c r="AX293" s="75"/>
      <c r="AY293" s="75"/>
      <c r="AZ293" s="75"/>
      <c r="BA293" s="75"/>
      <c r="BB293" s="75"/>
      <c r="BC293" s="75"/>
      <c r="BD293" s="75"/>
      <c r="BE293" s="75"/>
      <c r="BF293" s="75"/>
      <c r="BG293" s="75"/>
      <c r="BH293" s="75"/>
      <c r="BI293" s="75"/>
      <c r="BJ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75"/>
      <c r="AX294" s="75"/>
      <c r="AY294" s="75"/>
      <c r="AZ294" s="75"/>
      <c r="BA294" s="75"/>
      <c r="BB294" s="75"/>
      <c r="BC294" s="75"/>
      <c r="BD294" s="75"/>
      <c r="BE294" s="75"/>
      <c r="BF294" s="75"/>
      <c r="BG294" s="75"/>
      <c r="BH294" s="75"/>
      <c r="BI294" s="75"/>
      <c r="BJ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c r="AO295" s="75"/>
      <c r="AP295" s="75"/>
      <c r="AQ295" s="75"/>
      <c r="AR295" s="75"/>
      <c r="AS295" s="75"/>
      <c r="AT295" s="75"/>
      <c r="AU295" s="75"/>
      <c r="AV295" s="75"/>
      <c r="AW295" s="75"/>
      <c r="AX295" s="75"/>
      <c r="AY295" s="75"/>
      <c r="AZ295" s="75"/>
      <c r="BA295" s="75"/>
      <c r="BB295" s="75"/>
      <c r="BC295" s="75"/>
      <c r="BD295" s="75"/>
      <c r="BE295" s="75"/>
      <c r="BF295" s="75"/>
      <c r="BG295" s="75"/>
      <c r="BH295" s="75"/>
      <c r="BI295" s="75"/>
      <c r="BJ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c r="AT296" s="75"/>
      <c r="AU296" s="75"/>
      <c r="AV296" s="75"/>
      <c r="AW296" s="75"/>
      <c r="AX296" s="75"/>
      <c r="AY296" s="75"/>
      <c r="AZ296" s="75"/>
      <c r="BA296" s="75"/>
      <c r="BB296" s="75"/>
      <c r="BC296" s="75"/>
      <c r="BD296" s="75"/>
      <c r="BE296" s="75"/>
      <c r="BF296" s="75"/>
      <c r="BG296" s="75"/>
      <c r="BH296" s="75"/>
      <c r="BI296" s="75"/>
      <c r="BJ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c r="AO297" s="75"/>
      <c r="AP297" s="75"/>
      <c r="AQ297" s="75"/>
      <c r="AR297" s="75"/>
      <c r="AS297" s="75"/>
      <c r="AT297" s="75"/>
      <c r="AU297" s="75"/>
      <c r="AV297" s="75"/>
      <c r="AW297" s="75"/>
      <c r="AX297" s="75"/>
      <c r="AY297" s="75"/>
      <c r="AZ297" s="75"/>
      <c r="BA297" s="75"/>
      <c r="BB297" s="75"/>
      <c r="BC297" s="75"/>
      <c r="BD297" s="75"/>
      <c r="BE297" s="75"/>
      <c r="BF297" s="75"/>
      <c r="BG297" s="75"/>
      <c r="BH297" s="75"/>
      <c r="BI297" s="75"/>
      <c r="BJ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c r="AT298" s="75"/>
      <c r="AU298" s="75"/>
      <c r="AV298" s="75"/>
      <c r="AW298" s="75"/>
      <c r="AX298" s="75"/>
      <c r="AY298" s="75"/>
      <c r="AZ298" s="75"/>
      <c r="BA298" s="75"/>
      <c r="BB298" s="75"/>
      <c r="BC298" s="75"/>
      <c r="BD298" s="75"/>
      <c r="BE298" s="75"/>
      <c r="BF298" s="75"/>
      <c r="BG298" s="75"/>
      <c r="BH298" s="75"/>
      <c r="BI298" s="75"/>
      <c r="BJ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c r="AO299" s="75"/>
      <c r="AP299" s="75"/>
      <c r="AQ299" s="75"/>
      <c r="AR299" s="75"/>
      <c r="AS299" s="75"/>
      <c r="AT299" s="75"/>
      <c r="AU299" s="75"/>
      <c r="AV299" s="75"/>
      <c r="AW299" s="75"/>
      <c r="AX299" s="75"/>
      <c r="AY299" s="75"/>
      <c r="AZ299" s="75"/>
      <c r="BA299" s="75"/>
      <c r="BB299" s="75"/>
      <c r="BC299" s="75"/>
      <c r="BD299" s="75"/>
      <c r="BE299" s="75"/>
      <c r="BF299" s="75"/>
      <c r="BG299" s="75"/>
      <c r="BH299" s="75"/>
      <c r="BI299" s="75"/>
      <c r="BJ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c r="AT300" s="75"/>
      <c r="AU300" s="75"/>
      <c r="AV300" s="75"/>
      <c r="AW300" s="75"/>
      <c r="AX300" s="75"/>
      <c r="AY300" s="75"/>
      <c r="AZ300" s="75"/>
      <c r="BA300" s="75"/>
      <c r="BB300" s="75"/>
      <c r="BC300" s="75"/>
      <c r="BD300" s="75"/>
      <c r="BE300" s="75"/>
      <c r="BF300" s="75"/>
      <c r="BG300" s="75"/>
      <c r="BH300" s="75"/>
      <c r="BI300" s="75"/>
      <c r="BJ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c r="AT301" s="75"/>
      <c r="AU301" s="75"/>
      <c r="AV301" s="75"/>
      <c r="AW301" s="75"/>
      <c r="AX301" s="75"/>
      <c r="AY301" s="75"/>
      <c r="AZ301" s="75"/>
      <c r="BA301" s="75"/>
      <c r="BB301" s="75"/>
      <c r="BC301" s="75"/>
      <c r="BD301" s="75"/>
      <c r="BE301" s="75"/>
      <c r="BF301" s="75"/>
      <c r="BG301" s="75"/>
      <c r="BH301" s="75"/>
      <c r="BI301" s="75"/>
      <c r="BJ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c r="AT302" s="75"/>
      <c r="AU302" s="75"/>
      <c r="AV302" s="75"/>
      <c r="AW302" s="75"/>
      <c r="AX302" s="75"/>
      <c r="AY302" s="75"/>
      <c r="AZ302" s="75"/>
      <c r="BA302" s="75"/>
      <c r="BB302" s="75"/>
      <c r="BC302" s="75"/>
      <c r="BD302" s="75"/>
      <c r="BE302" s="75"/>
      <c r="BF302" s="75"/>
      <c r="BG302" s="75"/>
      <c r="BH302" s="75"/>
      <c r="BI302" s="75"/>
      <c r="BJ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c r="AO303" s="75"/>
      <c r="AP303" s="75"/>
      <c r="AQ303" s="75"/>
      <c r="AR303" s="75"/>
      <c r="AS303" s="75"/>
      <c r="AT303" s="75"/>
      <c r="AU303" s="75"/>
      <c r="AV303" s="75"/>
      <c r="AW303" s="75"/>
      <c r="AX303" s="75"/>
      <c r="AY303" s="75"/>
      <c r="AZ303" s="75"/>
      <c r="BA303" s="75"/>
      <c r="BB303" s="75"/>
      <c r="BC303" s="75"/>
      <c r="BD303" s="75"/>
      <c r="BE303" s="75"/>
      <c r="BF303" s="75"/>
      <c r="BG303" s="75"/>
      <c r="BH303" s="75"/>
      <c r="BI303" s="75"/>
      <c r="BJ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c r="AT304" s="75"/>
      <c r="AU304" s="75"/>
      <c r="AV304" s="75"/>
      <c r="AW304" s="75"/>
      <c r="AX304" s="75"/>
      <c r="AY304" s="75"/>
      <c r="AZ304" s="75"/>
      <c r="BA304" s="75"/>
      <c r="BB304" s="75"/>
      <c r="BC304" s="75"/>
      <c r="BD304" s="75"/>
      <c r="BE304" s="75"/>
      <c r="BF304" s="75"/>
      <c r="BG304" s="75"/>
      <c r="BH304" s="75"/>
      <c r="BI304" s="75"/>
      <c r="BJ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c r="BF305" s="75"/>
      <c r="BG305" s="75"/>
      <c r="BH305" s="75"/>
      <c r="BI305" s="75"/>
      <c r="BJ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75"/>
      <c r="AZ306" s="75"/>
      <c r="BA306" s="75"/>
      <c r="BB306" s="75"/>
      <c r="BC306" s="75"/>
      <c r="BD306" s="75"/>
      <c r="BE306" s="75"/>
      <c r="BF306" s="75"/>
      <c r="BG306" s="75"/>
      <c r="BH306" s="75"/>
      <c r="BI306" s="75"/>
      <c r="BJ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c r="AO307" s="75"/>
      <c r="AP307" s="75"/>
      <c r="AQ307" s="75"/>
      <c r="AR307" s="75"/>
      <c r="AS307" s="75"/>
      <c r="AT307" s="75"/>
      <c r="AU307" s="75"/>
      <c r="AV307" s="75"/>
      <c r="AW307" s="75"/>
      <c r="AX307" s="75"/>
      <c r="AY307" s="75"/>
      <c r="AZ307" s="75"/>
      <c r="BA307" s="75"/>
      <c r="BB307" s="75"/>
      <c r="BC307" s="75"/>
      <c r="BD307" s="75"/>
      <c r="BE307" s="75"/>
      <c r="BF307" s="75"/>
      <c r="BG307" s="75"/>
      <c r="BH307" s="75"/>
      <c r="BI307" s="75"/>
      <c r="BJ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c r="AT308" s="75"/>
      <c r="AU308" s="75"/>
      <c r="AV308" s="75"/>
      <c r="AW308" s="75"/>
      <c r="AX308" s="75"/>
      <c r="AY308" s="75"/>
      <c r="AZ308" s="75"/>
      <c r="BA308" s="75"/>
      <c r="BB308" s="75"/>
      <c r="BC308" s="75"/>
      <c r="BD308" s="75"/>
      <c r="BE308" s="75"/>
      <c r="BF308" s="75"/>
      <c r="BG308" s="75"/>
      <c r="BH308" s="75"/>
      <c r="BI308" s="75"/>
      <c r="BJ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c r="AO309" s="75"/>
      <c r="AP309" s="75"/>
      <c r="AQ309" s="75"/>
      <c r="AR309" s="75"/>
      <c r="AS309" s="75"/>
      <c r="AT309" s="75"/>
      <c r="AU309" s="75"/>
      <c r="AV309" s="75"/>
      <c r="AW309" s="75"/>
      <c r="AX309" s="75"/>
      <c r="AY309" s="75"/>
      <c r="AZ309" s="75"/>
      <c r="BA309" s="75"/>
      <c r="BB309" s="75"/>
      <c r="BC309" s="75"/>
      <c r="BD309" s="75"/>
      <c r="BE309" s="75"/>
      <c r="BF309" s="75"/>
      <c r="BG309" s="75"/>
      <c r="BH309" s="75"/>
      <c r="BI309" s="75"/>
      <c r="BJ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c r="AT310" s="75"/>
      <c r="AU310" s="75"/>
      <c r="AV310" s="75"/>
      <c r="AW310" s="75"/>
      <c r="AX310" s="75"/>
      <c r="AY310" s="75"/>
      <c r="AZ310" s="75"/>
      <c r="BA310" s="75"/>
      <c r="BB310" s="75"/>
      <c r="BC310" s="75"/>
      <c r="BD310" s="75"/>
      <c r="BE310" s="75"/>
      <c r="BF310" s="75"/>
      <c r="BG310" s="75"/>
      <c r="BH310" s="75"/>
      <c r="BI310" s="75"/>
      <c r="BJ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c r="AO311" s="75"/>
      <c r="AP311" s="75"/>
      <c r="AQ311" s="75"/>
      <c r="AR311" s="75"/>
      <c r="AS311" s="75"/>
      <c r="AT311" s="75"/>
      <c r="AU311" s="75"/>
      <c r="AV311" s="75"/>
      <c r="AW311" s="75"/>
      <c r="AX311" s="75"/>
      <c r="AY311" s="75"/>
      <c r="AZ311" s="75"/>
      <c r="BA311" s="75"/>
      <c r="BB311" s="75"/>
      <c r="BC311" s="75"/>
      <c r="BD311" s="75"/>
      <c r="BE311" s="75"/>
      <c r="BF311" s="75"/>
      <c r="BG311" s="75"/>
      <c r="BH311" s="75"/>
      <c r="BI311" s="75"/>
      <c r="BJ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c r="AT312" s="75"/>
      <c r="AU312" s="75"/>
      <c r="AV312" s="75"/>
      <c r="AW312" s="75"/>
      <c r="AX312" s="75"/>
      <c r="AY312" s="75"/>
      <c r="AZ312" s="75"/>
      <c r="BA312" s="75"/>
      <c r="BB312" s="75"/>
      <c r="BC312" s="75"/>
      <c r="BD312" s="75"/>
      <c r="BE312" s="75"/>
      <c r="BF312" s="75"/>
      <c r="BG312" s="75"/>
      <c r="BH312" s="75"/>
      <c r="BI312" s="75"/>
      <c r="BJ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75"/>
      <c r="BI314" s="75"/>
      <c r="BJ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c r="AT315" s="75"/>
      <c r="AU315" s="75"/>
      <c r="AV315" s="75"/>
      <c r="AW315" s="75"/>
      <c r="AX315" s="75"/>
      <c r="AY315" s="75"/>
      <c r="AZ315" s="75"/>
      <c r="BA315" s="75"/>
      <c r="BB315" s="75"/>
      <c r="BC315" s="75"/>
      <c r="BD315" s="75"/>
      <c r="BE315" s="75"/>
      <c r="BF315" s="75"/>
      <c r="BG315" s="75"/>
      <c r="BH315" s="75"/>
      <c r="BI315" s="75"/>
      <c r="BJ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75"/>
      <c r="AZ316" s="75"/>
      <c r="BA316" s="75"/>
      <c r="BB316" s="75"/>
      <c r="BC316" s="75"/>
      <c r="BD316" s="75"/>
      <c r="BE316" s="75"/>
      <c r="BF316" s="75"/>
      <c r="BG316" s="75"/>
      <c r="BH316" s="75"/>
      <c r="BI316" s="75"/>
      <c r="BJ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c r="BJ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75"/>
      <c r="AX318" s="75"/>
      <c r="AY318" s="75"/>
      <c r="AZ318" s="75"/>
      <c r="BA318" s="75"/>
      <c r="BB318" s="75"/>
      <c r="BC318" s="75"/>
      <c r="BD318" s="75"/>
      <c r="BE318" s="75"/>
      <c r="BF318" s="75"/>
      <c r="BG318" s="75"/>
      <c r="BH318" s="75"/>
      <c r="BI318" s="75"/>
      <c r="BJ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c r="AT319" s="75"/>
      <c r="AU319" s="75"/>
      <c r="AV319" s="75"/>
      <c r="AW319" s="75"/>
      <c r="AX319" s="75"/>
      <c r="AY319" s="75"/>
      <c r="AZ319" s="75"/>
      <c r="BA319" s="75"/>
      <c r="BB319" s="75"/>
      <c r="BC319" s="75"/>
      <c r="BD319" s="75"/>
      <c r="BE319" s="75"/>
      <c r="BF319" s="75"/>
      <c r="BG319" s="75"/>
      <c r="BH319" s="75"/>
      <c r="BI319" s="75"/>
      <c r="BJ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c r="AT320" s="75"/>
      <c r="AU320" s="75"/>
      <c r="AV320" s="75"/>
      <c r="AW320" s="75"/>
      <c r="AX320" s="75"/>
      <c r="AY320" s="75"/>
      <c r="AZ320" s="75"/>
      <c r="BA320" s="75"/>
      <c r="BB320" s="75"/>
      <c r="BC320" s="75"/>
      <c r="BD320" s="75"/>
      <c r="BE320" s="75"/>
      <c r="BF320" s="75"/>
      <c r="BG320" s="75"/>
      <c r="BH320" s="75"/>
      <c r="BI320" s="75"/>
      <c r="BJ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c r="AT321" s="75"/>
      <c r="AU321" s="75"/>
      <c r="AV321" s="75"/>
      <c r="AW321" s="75"/>
      <c r="AX321" s="75"/>
      <c r="AY321" s="75"/>
      <c r="AZ321" s="75"/>
      <c r="BA321" s="75"/>
      <c r="BB321" s="75"/>
      <c r="BC321" s="75"/>
      <c r="BD321" s="75"/>
      <c r="BE321" s="75"/>
      <c r="BF321" s="75"/>
      <c r="BG321" s="75"/>
      <c r="BH321" s="75"/>
      <c r="BI321" s="75"/>
      <c r="BJ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75"/>
      <c r="BI322" s="75"/>
      <c r="BJ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75"/>
      <c r="BI323" s="75"/>
      <c r="BJ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75"/>
      <c r="BI324" s="75"/>
      <c r="BJ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75"/>
      <c r="BI325" s="75"/>
      <c r="BJ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75"/>
      <c r="BI326" s="75"/>
      <c r="BJ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75"/>
      <c r="BI327" s="75"/>
      <c r="BJ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75"/>
      <c r="BI328" s="75"/>
      <c r="BJ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75"/>
      <c r="BI330" s="75"/>
      <c r="BJ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75"/>
      <c r="BI332" s="75"/>
      <c r="BJ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75"/>
      <c r="BI333" s="75"/>
      <c r="BJ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c r="BJ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c r="BJ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c r="BJ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c r="BJ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c r="BJ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75"/>
      <c r="BI340" s="75"/>
      <c r="BJ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75"/>
      <c r="BI341" s="75"/>
      <c r="BJ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75"/>
      <c r="BI343" s="75"/>
      <c r="BJ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c r="BI349" s="75"/>
      <c r="BJ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c r="BJ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c r="BJ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75"/>
      <c r="BJ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c r="BI355" s="75"/>
      <c r="BJ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75"/>
      <c r="BI356" s="75"/>
      <c r="BJ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75"/>
      <c r="BI357" s="75"/>
      <c r="BJ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75"/>
      <c r="BI361" s="75"/>
      <c r="BJ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c r="BJ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c r="BJ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75"/>
      <c r="BI365" s="75"/>
      <c r="BJ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75"/>
      <c r="BI366" s="75"/>
      <c r="BJ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75"/>
      <c r="BI367" s="75"/>
      <c r="BJ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75"/>
      <c r="BI368" s="75"/>
      <c r="BJ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75"/>
      <c r="BI369" s="75"/>
      <c r="BJ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c r="BJ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75"/>
      <c r="BI372" s="75"/>
      <c r="BJ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75"/>
      <c r="BI373" s="75"/>
      <c r="BJ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75"/>
      <c r="BI374" s="75"/>
      <c r="BJ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75"/>
      <c r="BI375" s="75"/>
      <c r="BJ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75"/>
      <c r="BI376" s="75"/>
      <c r="BJ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75"/>
      <c r="BI377" s="75"/>
      <c r="BJ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75"/>
      <c r="BI378" s="75"/>
      <c r="BJ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75"/>
      <c r="BI379" s="75"/>
      <c r="BJ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75"/>
      <c r="BI381" s="75"/>
      <c r="BJ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75"/>
      <c r="BI382" s="75"/>
      <c r="BJ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75"/>
      <c r="BI383" s="75"/>
      <c r="BJ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75"/>
      <c r="BI384" s="75"/>
      <c r="BJ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75"/>
      <c r="BI385" s="75"/>
      <c r="BJ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c r="BJ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75"/>
      <c r="BI387" s="75"/>
      <c r="BJ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75"/>
      <c r="BI388" s="75"/>
      <c r="BJ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c r="BJ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c r="BJ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c r="BJ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c r="BJ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75"/>
      <c r="BI396" s="75"/>
      <c r="BJ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75"/>
      <c r="BI397" s="75"/>
      <c r="BJ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75"/>
      <c r="BI398" s="75"/>
      <c r="BJ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75"/>
      <c r="BI399" s="75"/>
      <c r="BJ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c r="BJ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75"/>
      <c r="BI401" s="75"/>
      <c r="BJ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c r="BJ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c r="BJ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c r="BJ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c r="BJ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c r="BJ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c r="BJ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75"/>
      <c r="BI409" s="75"/>
      <c r="BJ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c r="BJ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c r="BJ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75"/>
      <c r="BI413" s="75"/>
      <c r="BJ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c r="BJ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75"/>
      <c r="BI415" s="75"/>
      <c r="BJ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c r="BF416" s="75"/>
      <c r="BG416" s="75"/>
      <c r="BH416" s="75"/>
      <c r="BI416" s="75"/>
      <c r="BJ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75"/>
      <c r="BI417" s="75"/>
      <c r="BJ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75"/>
      <c r="BI418" s="75"/>
      <c r="BJ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75"/>
      <c r="BI419" s="75"/>
      <c r="BJ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75"/>
      <c r="BI420" s="75"/>
      <c r="BJ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75"/>
      <c r="BI421" s="75"/>
      <c r="BJ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c r="BF422" s="75"/>
      <c r="BG422" s="75"/>
      <c r="BH422" s="75"/>
      <c r="BI422" s="75"/>
      <c r="BJ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c r="BJ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c r="BJ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c r="BJ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75"/>
      <c r="BI426" s="75"/>
      <c r="BJ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75"/>
      <c r="BI427" s="75"/>
      <c r="BJ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c r="BJ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c r="BF430" s="75"/>
      <c r="BG430" s="75"/>
      <c r="BH430" s="75"/>
      <c r="BI430" s="75"/>
      <c r="BJ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75"/>
      <c r="BI431" s="75"/>
      <c r="BJ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c r="BF432" s="75"/>
      <c r="BG432" s="75"/>
      <c r="BH432" s="75"/>
      <c r="BI432" s="75"/>
      <c r="BJ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75"/>
      <c r="BI433" s="75"/>
      <c r="BJ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c r="BF434" s="75"/>
      <c r="BG434" s="75"/>
      <c r="BH434" s="75"/>
      <c r="BI434" s="75"/>
      <c r="BJ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c r="BF435" s="75"/>
      <c r="BG435" s="75"/>
      <c r="BH435" s="75"/>
      <c r="BI435" s="75"/>
      <c r="BJ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c r="BF436" s="75"/>
      <c r="BG436" s="75"/>
      <c r="BH436" s="75"/>
      <c r="BI436" s="75"/>
      <c r="BJ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75"/>
      <c r="BI437" s="75"/>
      <c r="BJ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75"/>
      <c r="BI438" s="75"/>
      <c r="BJ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75"/>
      <c r="BI439" s="75"/>
      <c r="BJ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c r="BJ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c r="BF441" s="75"/>
      <c r="BG441" s="75"/>
      <c r="BH441" s="75"/>
      <c r="BI441" s="75"/>
      <c r="BJ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c r="BF442" s="75"/>
      <c r="BG442" s="75"/>
      <c r="BH442" s="75"/>
      <c r="BI442" s="75"/>
      <c r="BJ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c r="BF443" s="75"/>
      <c r="BG443" s="75"/>
      <c r="BH443" s="75"/>
      <c r="BI443" s="75"/>
      <c r="BJ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c r="BF444" s="75"/>
      <c r="BG444" s="75"/>
      <c r="BH444" s="75"/>
      <c r="BI444" s="75"/>
      <c r="BJ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c r="BF445" s="75"/>
      <c r="BG445" s="75"/>
      <c r="BH445" s="75"/>
      <c r="BI445" s="75"/>
      <c r="BJ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c r="BF446" s="75"/>
      <c r="BG446" s="75"/>
      <c r="BH446" s="75"/>
      <c r="BI446" s="75"/>
      <c r="BJ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c r="BF447" s="75"/>
      <c r="BG447" s="75"/>
      <c r="BH447" s="75"/>
      <c r="BI447" s="75"/>
      <c r="BJ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c r="BF448" s="75"/>
      <c r="BG448" s="75"/>
      <c r="BH448" s="75"/>
      <c r="BI448" s="75"/>
      <c r="BJ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c r="BF449" s="75"/>
      <c r="BG449" s="75"/>
      <c r="BH449" s="75"/>
      <c r="BI449" s="75"/>
      <c r="BJ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c r="BF450" s="75"/>
      <c r="BG450" s="75"/>
      <c r="BH450" s="75"/>
      <c r="BI450" s="75"/>
      <c r="BJ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c r="BF451" s="75"/>
      <c r="BG451" s="75"/>
      <c r="BH451" s="75"/>
      <c r="BI451" s="75"/>
      <c r="BJ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75"/>
      <c r="BI452" s="75"/>
      <c r="BJ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c r="BF453" s="75"/>
      <c r="BG453" s="75"/>
      <c r="BH453" s="75"/>
      <c r="BI453" s="75"/>
      <c r="BJ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c r="BF454" s="75"/>
      <c r="BG454" s="75"/>
      <c r="BH454" s="75"/>
      <c r="BI454" s="75"/>
      <c r="BJ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75"/>
      <c r="BI455" s="75"/>
      <c r="BJ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75"/>
      <c r="BI456" s="75"/>
      <c r="BJ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c r="BF457" s="75"/>
      <c r="BG457" s="75"/>
      <c r="BH457" s="75"/>
      <c r="BI457" s="75"/>
      <c r="BJ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c r="BF458" s="75"/>
      <c r="BG458" s="75"/>
      <c r="BH458" s="75"/>
      <c r="BI458" s="75"/>
      <c r="BJ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c r="BF459" s="75"/>
      <c r="BG459" s="75"/>
      <c r="BH459" s="75"/>
      <c r="BI459" s="75"/>
      <c r="BJ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c r="BF460" s="75"/>
      <c r="BG460" s="75"/>
      <c r="BH460" s="75"/>
      <c r="BI460" s="75"/>
      <c r="BJ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c r="BF461" s="75"/>
      <c r="BG461" s="75"/>
      <c r="BH461" s="75"/>
      <c r="BI461" s="75"/>
      <c r="BJ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c r="BF462" s="75"/>
      <c r="BG462" s="75"/>
      <c r="BH462" s="75"/>
      <c r="BI462" s="75"/>
      <c r="BJ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75"/>
      <c r="BI463" s="75"/>
      <c r="BJ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75"/>
      <c r="BI464" s="75"/>
      <c r="BJ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75"/>
      <c r="BI465" s="75"/>
      <c r="BJ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c r="BF466" s="75"/>
      <c r="BG466" s="75"/>
      <c r="BH466" s="75"/>
      <c r="BI466" s="75"/>
      <c r="BJ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c r="BF467" s="75"/>
      <c r="BG467" s="75"/>
      <c r="BH467" s="75"/>
      <c r="BI467" s="75"/>
      <c r="BJ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75"/>
      <c r="BI468" s="75"/>
      <c r="BJ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c r="BF469" s="75"/>
      <c r="BG469" s="75"/>
      <c r="BH469" s="75"/>
      <c r="BI469" s="75"/>
      <c r="BJ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75"/>
      <c r="BI470" s="75"/>
      <c r="BJ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75"/>
      <c r="BI471" s="75"/>
      <c r="BJ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c r="BF472" s="75"/>
      <c r="BG472" s="75"/>
      <c r="BH472" s="75"/>
      <c r="BI472" s="75"/>
      <c r="BJ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75"/>
      <c r="BI473" s="75"/>
      <c r="BJ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c r="BF474" s="75"/>
      <c r="BG474" s="75"/>
      <c r="BH474" s="75"/>
      <c r="BI474" s="75"/>
      <c r="BJ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75"/>
      <c r="BI475" s="75"/>
      <c r="BJ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75"/>
      <c r="BI476" s="75"/>
      <c r="BJ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c r="BF477" s="75"/>
      <c r="BG477" s="75"/>
      <c r="BH477" s="75"/>
      <c r="BI477" s="75"/>
      <c r="BJ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75"/>
      <c r="BI478" s="75"/>
      <c r="BJ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c r="BJ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75"/>
      <c r="BI480" s="75"/>
      <c r="BJ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c r="BF481" s="75"/>
      <c r="BG481" s="75"/>
      <c r="BH481" s="75"/>
      <c r="BI481" s="75"/>
      <c r="BJ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c r="BJ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c r="BJ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75"/>
      <c r="BI484" s="75"/>
      <c r="BJ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75"/>
      <c r="BI485" s="75"/>
      <c r="BJ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75"/>
      <c r="BI486" s="75"/>
      <c r="BJ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75"/>
      <c r="BI487" s="75"/>
      <c r="BJ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c r="BF488" s="75"/>
      <c r="BG488" s="75"/>
      <c r="BH488" s="75"/>
      <c r="BI488" s="75"/>
      <c r="BJ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75"/>
      <c r="BI489" s="75"/>
      <c r="BJ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75"/>
      <c r="BI490" s="75"/>
      <c r="BJ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75"/>
      <c r="BI491" s="75"/>
      <c r="BJ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c r="BJ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c r="BF494" s="75"/>
      <c r="BG494" s="75"/>
      <c r="BH494" s="75"/>
      <c r="BI494" s="75"/>
      <c r="BJ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75"/>
      <c r="BI495" s="75"/>
      <c r="BJ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c r="BF496" s="75"/>
      <c r="BG496" s="75"/>
      <c r="BH496" s="75"/>
      <c r="BI496" s="75"/>
      <c r="BJ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c r="BF497" s="75"/>
      <c r="BG497" s="75"/>
      <c r="BH497" s="75"/>
      <c r="BI497" s="75"/>
      <c r="BJ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75"/>
      <c r="BI498" s="75"/>
      <c r="BJ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75"/>
      <c r="BI499" s="75"/>
      <c r="BJ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c r="BF500" s="75"/>
      <c r="BG500" s="75"/>
      <c r="BH500" s="75"/>
      <c r="BI500" s="75"/>
      <c r="BJ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c r="BF501" s="75"/>
      <c r="BG501" s="75"/>
      <c r="BH501" s="75"/>
      <c r="BI501" s="75"/>
      <c r="BJ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c r="BF502" s="75"/>
      <c r="BG502" s="75"/>
      <c r="BH502" s="75"/>
      <c r="BI502" s="75"/>
      <c r="BJ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c r="BF503" s="75"/>
      <c r="BG503" s="75"/>
      <c r="BH503" s="75"/>
      <c r="BI503" s="75"/>
      <c r="BJ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75"/>
      <c r="BI504" s="75"/>
      <c r="BJ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c r="BF505" s="75"/>
      <c r="BG505" s="75"/>
      <c r="BH505" s="75"/>
      <c r="BI505" s="75"/>
      <c r="BJ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c r="BF506" s="75"/>
      <c r="BG506" s="75"/>
      <c r="BH506" s="75"/>
      <c r="BI506" s="75"/>
      <c r="BJ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75"/>
      <c r="BI507" s="75"/>
      <c r="BJ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c r="BJ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c r="BJ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c r="BJ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c r="BJ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c r="BF512" s="75"/>
      <c r="BG512" s="75"/>
      <c r="BH512" s="75"/>
      <c r="BI512" s="75"/>
      <c r="BJ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75"/>
      <c r="BI513" s="75"/>
      <c r="BJ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c r="BJ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c r="BF515" s="75"/>
      <c r="BG515" s="75"/>
      <c r="BH515" s="75"/>
      <c r="BI515" s="75"/>
      <c r="BJ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c r="BF516" s="75"/>
      <c r="BG516" s="75"/>
      <c r="BH516" s="75"/>
      <c r="BI516" s="75"/>
      <c r="BJ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c r="BF517" s="75"/>
      <c r="BG517" s="75"/>
      <c r="BH517" s="75"/>
      <c r="BI517" s="75"/>
      <c r="BJ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c r="BF518" s="75"/>
      <c r="BG518" s="75"/>
      <c r="BH518" s="75"/>
      <c r="BI518" s="75"/>
      <c r="BJ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75"/>
      <c r="BI519" s="75"/>
      <c r="BJ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c r="BF520" s="75"/>
      <c r="BG520" s="75"/>
      <c r="BH520" s="75"/>
      <c r="BI520" s="75"/>
      <c r="BJ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c r="BF521" s="75"/>
      <c r="BG521" s="75"/>
      <c r="BH521" s="75"/>
      <c r="BI521" s="75"/>
      <c r="BJ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c r="BJ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c r="BF523" s="75"/>
      <c r="BG523" s="75"/>
      <c r="BH523" s="75"/>
      <c r="BI523" s="75"/>
      <c r="BJ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c r="BJ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c r="BF525" s="75"/>
      <c r="BG525" s="75"/>
      <c r="BH525" s="75"/>
      <c r="BI525" s="75"/>
      <c r="BJ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c r="BF526" s="75"/>
      <c r="BG526" s="75"/>
      <c r="BH526" s="75"/>
      <c r="BI526" s="75"/>
      <c r="BJ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c r="BF527" s="75"/>
      <c r="BG527" s="75"/>
      <c r="BH527" s="75"/>
      <c r="BI527" s="75"/>
      <c r="BJ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c r="BF528" s="75"/>
      <c r="BG528" s="75"/>
      <c r="BH528" s="75"/>
      <c r="BI528" s="75"/>
      <c r="BJ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c r="BF529" s="75"/>
      <c r="BG529" s="75"/>
      <c r="BH529" s="75"/>
      <c r="BI529" s="75"/>
      <c r="BJ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c r="BF530" s="75"/>
      <c r="BG530" s="75"/>
      <c r="BH530" s="75"/>
      <c r="BI530" s="75"/>
      <c r="BJ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c r="BF531" s="75"/>
      <c r="BG531" s="75"/>
      <c r="BH531" s="75"/>
      <c r="BI531" s="75"/>
      <c r="BJ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c r="BF532" s="75"/>
      <c r="BG532" s="75"/>
      <c r="BH532" s="75"/>
      <c r="BI532" s="75"/>
      <c r="BJ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75"/>
      <c r="BI533" s="75"/>
      <c r="BJ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c r="BF534" s="75"/>
      <c r="BG534" s="75"/>
      <c r="BH534" s="75"/>
      <c r="BI534" s="75"/>
      <c r="BJ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c r="BF535" s="75"/>
      <c r="BG535" s="75"/>
      <c r="BH535" s="75"/>
      <c r="BI535" s="75"/>
      <c r="BJ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75"/>
      <c r="BI536" s="75"/>
      <c r="BJ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c r="BF537" s="75"/>
      <c r="BG537" s="75"/>
      <c r="BH537" s="75"/>
      <c r="BI537" s="75"/>
      <c r="BJ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c r="BF538" s="75"/>
      <c r="BG538" s="75"/>
      <c r="BH538" s="75"/>
      <c r="BI538" s="75"/>
      <c r="BJ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75"/>
      <c r="BI539" s="75"/>
      <c r="BJ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75"/>
      <c r="BI540" s="75"/>
      <c r="BJ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c r="BF541" s="75"/>
      <c r="BG541" s="75"/>
      <c r="BH541" s="75"/>
      <c r="BI541" s="75"/>
      <c r="BJ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75"/>
      <c r="BI542" s="75"/>
      <c r="BJ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75"/>
      <c r="BI543" s="75"/>
      <c r="BJ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75"/>
      <c r="BI544" s="75"/>
      <c r="BJ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75"/>
      <c r="BI545" s="75"/>
      <c r="BJ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75"/>
      <c r="BI546" s="75"/>
      <c r="BJ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75"/>
      <c r="BI547" s="75"/>
      <c r="BJ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c r="BF548" s="75"/>
      <c r="BG548" s="75"/>
      <c r="BH548" s="75"/>
      <c r="BI548" s="75"/>
      <c r="BJ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c r="BF549" s="75"/>
      <c r="BG549" s="75"/>
      <c r="BH549" s="75"/>
      <c r="BI549" s="75"/>
      <c r="BJ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c r="BF550" s="75"/>
      <c r="BG550" s="75"/>
      <c r="BH550" s="75"/>
      <c r="BI550" s="75"/>
      <c r="BJ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c r="BF551" s="75"/>
      <c r="BG551" s="75"/>
      <c r="BH551" s="75"/>
      <c r="BI551" s="75"/>
      <c r="BJ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c r="BF552" s="75"/>
      <c r="BG552" s="75"/>
      <c r="BH552" s="75"/>
      <c r="BI552" s="75"/>
      <c r="BJ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c r="BF553" s="75"/>
      <c r="BG553" s="75"/>
      <c r="BH553" s="75"/>
      <c r="BI553" s="75"/>
      <c r="BJ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75"/>
      <c r="BI554" s="75"/>
      <c r="BJ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c r="BF555" s="75"/>
      <c r="BG555" s="75"/>
      <c r="BH555" s="75"/>
      <c r="BI555" s="75"/>
      <c r="BJ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75"/>
      <c r="BI556" s="75"/>
      <c r="BJ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c r="BF557" s="75"/>
      <c r="BG557" s="75"/>
      <c r="BH557" s="75"/>
      <c r="BI557" s="75"/>
      <c r="BJ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c r="BF558" s="75"/>
      <c r="BG558" s="75"/>
      <c r="BH558" s="75"/>
      <c r="BI558" s="75"/>
      <c r="BJ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c r="BF559" s="75"/>
      <c r="BG559" s="75"/>
      <c r="BH559" s="75"/>
      <c r="BI559" s="75"/>
      <c r="BJ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75"/>
      <c r="BI560" s="75"/>
      <c r="BJ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75"/>
      <c r="BI561" s="75"/>
      <c r="BJ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75"/>
      <c r="BI562" s="75"/>
      <c r="BJ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c r="BF563" s="75"/>
      <c r="BG563" s="75"/>
      <c r="BH563" s="75"/>
      <c r="BI563" s="75"/>
      <c r="BJ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c r="BF564" s="75"/>
      <c r="BG564" s="75"/>
      <c r="BH564" s="75"/>
      <c r="BI564" s="75"/>
      <c r="BJ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c r="BF565" s="75"/>
      <c r="BG565" s="75"/>
      <c r="BH565" s="75"/>
      <c r="BI565" s="75"/>
      <c r="BJ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c r="BF566" s="75"/>
      <c r="BG566" s="75"/>
      <c r="BH566" s="75"/>
      <c r="BI566" s="75"/>
      <c r="BJ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c r="BF567" s="75"/>
      <c r="BG567" s="75"/>
      <c r="BH567" s="75"/>
      <c r="BI567" s="75"/>
      <c r="BJ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c r="BF568" s="75"/>
      <c r="BG568" s="75"/>
      <c r="BH568" s="75"/>
      <c r="BI568" s="75"/>
      <c r="BJ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c r="BF569" s="75"/>
      <c r="BG569" s="75"/>
      <c r="BH569" s="75"/>
      <c r="BI569" s="75"/>
      <c r="BJ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c r="BF570" s="75"/>
      <c r="BG570" s="75"/>
      <c r="BH570" s="75"/>
      <c r="BI570" s="75"/>
      <c r="BJ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c r="BF571" s="75"/>
      <c r="BG571" s="75"/>
      <c r="BH571" s="75"/>
      <c r="BI571" s="75"/>
      <c r="BJ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c r="BF572" s="75"/>
      <c r="BG572" s="75"/>
      <c r="BH572" s="75"/>
      <c r="BI572" s="75"/>
      <c r="BJ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c r="BF573" s="75"/>
      <c r="BG573" s="75"/>
      <c r="BH573" s="75"/>
      <c r="BI573" s="75"/>
      <c r="BJ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c r="BF574" s="75"/>
      <c r="BG574" s="75"/>
      <c r="BH574" s="75"/>
      <c r="BI574" s="75"/>
      <c r="BJ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c r="BF575" s="75"/>
      <c r="BG575" s="75"/>
      <c r="BH575" s="75"/>
      <c r="BI575" s="75"/>
      <c r="BJ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c r="BF576" s="75"/>
      <c r="BG576" s="75"/>
      <c r="BH576" s="75"/>
      <c r="BI576" s="75"/>
      <c r="BJ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c r="BF577" s="75"/>
      <c r="BG577" s="75"/>
      <c r="BH577" s="75"/>
      <c r="BI577" s="75"/>
      <c r="BJ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c r="BF578" s="75"/>
      <c r="BG578" s="75"/>
      <c r="BH578" s="75"/>
      <c r="BI578" s="75"/>
      <c r="BJ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c r="BF579" s="75"/>
      <c r="BG579" s="75"/>
      <c r="BH579" s="75"/>
      <c r="BI579" s="75"/>
      <c r="BJ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c r="BF580" s="75"/>
      <c r="BG580" s="75"/>
      <c r="BH580" s="75"/>
      <c r="BI580" s="75"/>
      <c r="BJ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c r="BF581" s="75"/>
      <c r="BG581" s="75"/>
      <c r="BH581" s="75"/>
      <c r="BI581" s="75"/>
      <c r="BJ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c r="BF582" s="75"/>
      <c r="BG582" s="75"/>
      <c r="BH582" s="75"/>
      <c r="BI582" s="75"/>
      <c r="BJ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75"/>
      <c r="BI583" s="75"/>
      <c r="BJ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c r="BF584" s="75"/>
      <c r="BG584" s="75"/>
      <c r="BH584" s="75"/>
      <c r="BI584" s="75"/>
      <c r="BJ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c r="BF585" s="75"/>
      <c r="BG585" s="75"/>
      <c r="BH585" s="75"/>
      <c r="BI585" s="75"/>
      <c r="BJ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c r="BF586" s="75"/>
      <c r="BG586" s="75"/>
      <c r="BH586" s="75"/>
      <c r="BI586" s="75"/>
      <c r="BJ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c r="BF587" s="75"/>
      <c r="BG587" s="75"/>
      <c r="BH587" s="75"/>
      <c r="BI587" s="75"/>
      <c r="BJ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75"/>
      <c r="BI588" s="75"/>
      <c r="BJ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c r="BF589" s="75"/>
      <c r="BG589" s="75"/>
      <c r="BH589" s="75"/>
      <c r="BI589" s="75"/>
      <c r="BJ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c r="BF590" s="75"/>
      <c r="BG590" s="75"/>
      <c r="BH590" s="75"/>
      <c r="BI590" s="75"/>
      <c r="BJ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c r="BF591" s="75"/>
      <c r="BG591" s="75"/>
      <c r="BH591" s="75"/>
      <c r="BI591" s="75"/>
      <c r="BJ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c r="BF592" s="75"/>
      <c r="BG592" s="75"/>
      <c r="BH592" s="75"/>
      <c r="BI592" s="75"/>
      <c r="BJ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c r="BF593" s="75"/>
      <c r="BG593" s="75"/>
      <c r="BH593" s="75"/>
      <c r="BI593" s="75"/>
      <c r="BJ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c r="BF594" s="75"/>
      <c r="BG594" s="75"/>
      <c r="BH594" s="75"/>
      <c r="BI594" s="75"/>
      <c r="BJ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c r="BF595" s="75"/>
      <c r="BG595" s="75"/>
      <c r="BH595" s="75"/>
      <c r="BI595" s="75"/>
      <c r="BJ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c r="BF596" s="75"/>
      <c r="BG596" s="75"/>
      <c r="BH596" s="75"/>
      <c r="BI596" s="75"/>
      <c r="BJ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c r="BF597" s="75"/>
      <c r="BG597" s="75"/>
      <c r="BH597" s="75"/>
      <c r="BI597" s="75"/>
      <c r="BJ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c r="BF598" s="75"/>
      <c r="BG598" s="75"/>
      <c r="BH598" s="75"/>
      <c r="BI598" s="75"/>
      <c r="BJ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c r="BF599" s="75"/>
      <c r="BG599" s="75"/>
      <c r="BH599" s="75"/>
      <c r="BI599" s="75"/>
      <c r="BJ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c r="BF600" s="75"/>
      <c r="BG600" s="75"/>
      <c r="BH600" s="75"/>
      <c r="BI600" s="75"/>
      <c r="BJ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75"/>
      <c r="BI601" s="75"/>
      <c r="BJ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c r="BF602" s="75"/>
      <c r="BG602" s="75"/>
      <c r="BH602" s="75"/>
      <c r="BI602" s="75"/>
      <c r="BJ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c r="BF603" s="75"/>
      <c r="BG603" s="75"/>
      <c r="BH603" s="75"/>
      <c r="BI603" s="75"/>
      <c r="BJ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c r="BF604" s="75"/>
      <c r="BG604" s="75"/>
      <c r="BH604" s="75"/>
      <c r="BI604" s="75"/>
      <c r="BJ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c r="BF605" s="75"/>
      <c r="BG605" s="75"/>
      <c r="BH605" s="75"/>
      <c r="BI605" s="75"/>
      <c r="BJ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c r="BF606" s="75"/>
      <c r="BG606" s="75"/>
      <c r="BH606" s="75"/>
      <c r="BI606" s="75"/>
      <c r="BJ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75"/>
      <c r="BI607" s="75"/>
      <c r="BJ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c r="BF608" s="75"/>
      <c r="BG608" s="75"/>
      <c r="BH608" s="75"/>
      <c r="BI608" s="75"/>
      <c r="BJ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c r="BF609" s="75"/>
      <c r="BG609" s="75"/>
      <c r="BH609" s="75"/>
      <c r="BI609" s="75"/>
      <c r="BJ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c r="BF610" s="75"/>
      <c r="BG610" s="75"/>
      <c r="BH610" s="75"/>
      <c r="BI610" s="75"/>
      <c r="BJ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75"/>
      <c r="BI611" s="75"/>
      <c r="BJ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c r="BF612" s="75"/>
      <c r="BG612" s="75"/>
      <c r="BH612" s="75"/>
      <c r="BI612" s="75"/>
      <c r="BJ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c r="BF613" s="75"/>
      <c r="BG613" s="75"/>
      <c r="BH613" s="75"/>
      <c r="BI613" s="75"/>
      <c r="BJ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c r="BF614" s="75"/>
      <c r="BG614" s="75"/>
      <c r="BH614" s="75"/>
      <c r="BI614" s="75"/>
      <c r="BJ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75"/>
      <c r="BI615" s="75"/>
      <c r="BJ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75"/>
      <c r="BI616" s="75"/>
      <c r="BJ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75"/>
      <c r="BI617" s="75"/>
      <c r="BJ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75"/>
      <c r="BI618" s="75"/>
      <c r="BJ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75"/>
      <c r="BI619" s="75"/>
      <c r="BJ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c r="BF620" s="75"/>
      <c r="BG620" s="75"/>
      <c r="BH620" s="75"/>
      <c r="BI620" s="75"/>
      <c r="BJ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75"/>
      <c r="BI621" s="75"/>
      <c r="BJ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c r="BF622" s="75"/>
      <c r="BG622" s="75"/>
      <c r="BH622" s="75"/>
      <c r="BI622" s="75"/>
      <c r="BJ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75"/>
      <c r="BI623" s="75"/>
      <c r="BJ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c r="BF624" s="75"/>
      <c r="BG624" s="75"/>
      <c r="BH624" s="75"/>
      <c r="BI624" s="75"/>
      <c r="BJ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75"/>
      <c r="BI625" s="75"/>
      <c r="BJ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75"/>
      <c r="BI626" s="75"/>
      <c r="BJ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c r="BF627" s="75"/>
      <c r="BG627" s="75"/>
      <c r="BH627" s="75"/>
      <c r="BI627" s="75"/>
      <c r="BJ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c r="BF628" s="75"/>
      <c r="BG628" s="75"/>
      <c r="BH628" s="75"/>
      <c r="BI628" s="75"/>
      <c r="BJ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c r="BJ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c r="BF630" s="75"/>
      <c r="BG630" s="75"/>
      <c r="BH630" s="75"/>
      <c r="BI630" s="75"/>
      <c r="BJ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c r="BF631" s="75"/>
      <c r="BG631" s="75"/>
      <c r="BH631" s="75"/>
      <c r="BI631" s="75"/>
      <c r="BJ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c r="BF632" s="75"/>
      <c r="BG632" s="75"/>
      <c r="BH632" s="75"/>
      <c r="BI632" s="75"/>
      <c r="BJ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c r="BF633" s="75"/>
      <c r="BG633" s="75"/>
      <c r="BH633" s="75"/>
      <c r="BI633" s="75"/>
      <c r="BJ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c r="BF634" s="75"/>
      <c r="BG634" s="75"/>
      <c r="BH634" s="75"/>
      <c r="BI634" s="75"/>
      <c r="BJ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c r="BF635" s="75"/>
      <c r="BG635" s="75"/>
      <c r="BH635" s="75"/>
      <c r="BI635" s="75"/>
      <c r="BJ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75"/>
      <c r="BI636" s="75"/>
      <c r="BJ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c r="BF637" s="75"/>
      <c r="BG637" s="75"/>
      <c r="BH637" s="75"/>
      <c r="BI637" s="75"/>
      <c r="BJ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c r="BF638" s="75"/>
      <c r="BG638" s="75"/>
      <c r="BH638" s="75"/>
      <c r="BI638" s="75"/>
      <c r="BJ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75"/>
      <c r="BI639" s="75"/>
      <c r="BJ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c r="BF640" s="75"/>
      <c r="BG640" s="75"/>
      <c r="BH640" s="75"/>
      <c r="BI640" s="75"/>
      <c r="BJ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c r="BF641" s="75"/>
      <c r="BG641" s="75"/>
      <c r="BH641" s="75"/>
      <c r="BI641" s="75"/>
      <c r="BJ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c r="BF642" s="75"/>
      <c r="BG642" s="75"/>
      <c r="BH642" s="75"/>
      <c r="BI642" s="75"/>
      <c r="BJ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75"/>
      <c r="BI643" s="75"/>
      <c r="BJ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c r="BF644" s="75"/>
      <c r="BG644" s="75"/>
      <c r="BH644" s="75"/>
      <c r="BI644" s="75"/>
      <c r="BJ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75"/>
      <c r="BI645" s="75"/>
      <c r="BJ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c r="BF646" s="75"/>
      <c r="BG646" s="75"/>
      <c r="BH646" s="75"/>
      <c r="BI646" s="75"/>
      <c r="BJ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c r="BF647" s="75"/>
      <c r="BG647" s="75"/>
      <c r="BH647" s="75"/>
      <c r="BI647" s="75"/>
      <c r="BJ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c r="BF648" s="75"/>
      <c r="BG648" s="75"/>
      <c r="BH648" s="75"/>
      <c r="BI648" s="75"/>
      <c r="BJ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c r="BF649" s="75"/>
      <c r="BG649" s="75"/>
      <c r="BH649" s="75"/>
      <c r="BI649" s="75"/>
      <c r="BJ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c r="BF650" s="75"/>
      <c r="BG650" s="75"/>
      <c r="BH650" s="75"/>
      <c r="BI650" s="75"/>
      <c r="BJ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c r="BF651" s="75"/>
      <c r="BG651" s="75"/>
      <c r="BH651" s="75"/>
      <c r="BI651" s="75"/>
      <c r="BJ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c r="BF652" s="75"/>
      <c r="BG652" s="75"/>
      <c r="BH652" s="75"/>
      <c r="BI652" s="75"/>
      <c r="BJ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c r="BF653" s="75"/>
      <c r="BG653" s="75"/>
      <c r="BH653" s="75"/>
      <c r="BI653" s="75"/>
      <c r="BJ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c r="BF654" s="75"/>
      <c r="BG654" s="75"/>
      <c r="BH654" s="75"/>
      <c r="BI654" s="75"/>
      <c r="BJ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c r="BF655" s="75"/>
      <c r="BG655" s="75"/>
      <c r="BH655" s="75"/>
      <c r="BI655" s="75"/>
      <c r="BJ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c r="BF656" s="75"/>
      <c r="BG656" s="75"/>
      <c r="BH656" s="75"/>
      <c r="BI656" s="75"/>
      <c r="BJ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75"/>
      <c r="BI657" s="75"/>
      <c r="BJ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c r="BF658" s="75"/>
      <c r="BG658" s="75"/>
      <c r="BH658" s="75"/>
      <c r="BI658" s="75"/>
      <c r="BJ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75"/>
      <c r="BI659" s="75"/>
      <c r="BJ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c r="BF660" s="75"/>
      <c r="BG660" s="75"/>
      <c r="BH660" s="75"/>
      <c r="BI660" s="75"/>
      <c r="BJ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c r="BF661" s="75"/>
      <c r="BG661" s="75"/>
      <c r="BH661" s="75"/>
      <c r="BI661" s="75"/>
      <c r="BJ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c r="BF662" s="75"/>
      <c r="BG662" s="75"/>
      <c r="BH662" s="75"/>
      <c r="BI662" s="75"/>
      <c r="BJ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c r="BF663" s="75"/>
      <c r="BG663" s="75"/>
      <c r="BH663" s="75"/>
      <c r="BI663" s="75"/>
      <c r="BJ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75"/>
      <c r="BI664" s="75"/>
      <c r="BJ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c r="BF665" s="75"/>
      <c r="BG665" s="75"/>
      <c r="BH665" s="75"/>
      <c r="BI665" s="75"/>
      <c r="BJ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c r="BF666" s="75"/>
      <c r="BG666" s="75"/>
      <c r="BH666" s="75"/>
      <c r="BI666" s="75"/>
      <c r="BJ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75"/>
      <c r="BI667" s="75"/>
      <c r="BJ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75"/>
      <c r="BI668" s="75"/>
      <c r="BJ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75"/>
      <c r="BI669" s="75"/>
      <c r="BJ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75"/>
      <c r="BI670" s="75"/>
      <c r="BJ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75"/>
      <c r="BI671" s="75"/>
      <c r="BJ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75"/>
      <c r="BI672" s="75"/>
      <c r="BJ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c r="BF673" s="75"/>
      <c r="BG673" s="75"/>
      <c r="BH673" s="75"/>
      <c r="BI673" s="75"/>
      <c r="BJ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75"/>
      <c r="BI674" s="75"/>
      <c r="BJ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75"/>
      <c r="BI675" s="75"/>
      <c r="BJ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75"/>
      <c r="BI676" s="75"/>
      <c r="BJ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75"/>
      <c r="BI677" s="75"/>
      <c r="BJ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c r="BF678" s="75"/>
      <c r="BG678" s="75"/>
      <c r="BH678" s="75"/>
      <c r="BI678" s="75"/>
      <c r="BJ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c r="BF679" s="75"/>
      <c r="BG679" s="75"/>
      <c r="BH679" s="75"/>
      <c r="BI679" s="75"/>
      <c r="BJ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c r="BF680" s="75"/>
      <c r="BG680" s="75"/>
      <c r="BH680" s="75"/>
      <c r="BI680" s="75"/>
      <c r="BJ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75"/>
      <c r="BI681" s="75"/>
      <c r="BJ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75"/>
      <c r="BI682" s="75"/>
      <c r="BJ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c r="BF683" s="75"/>
      <c r="BG683" s="75"/>
      <c r="BH683" s="75"/>
      <c r="BI683" s="75"/>
      <c r="BJ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75"/>
      <c r="BI684" s="75"/>
      <c r="BJ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75"/>
      <c r="BI685" s="75"/>
      <c r="BJ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75"/>
      <c r="BI686" s="75"/>
      <c r="BJ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c r="BF687" s="75"/>
      <c r="BG687" s="75"/>
      <c r="BH687" s="75"/>
      <c r="BI687" s="75"/>
      <c r="BJ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c r="BF688" s="75"/>
      <c r="BG688" s="75"/>
      <c r="BH688" s="75"/>
      <c r="BI688" s="75"/>
      <c r="BJ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c r="BF689" s="75"/>
      <c r="BG689" s="75"/>
      <c r="BH689" s="75"/>
      <c r="BI689" s="75"/>
      <c r="BJ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c r="BF690" s="75"/>
      <c r="BG690" s="75"/>
      <c r="BH690" s="75"/>
      <c r="BI690" s="75"/>
      <c r="BJ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75"/>
      <c r="BI691" s="75"/>
      <c r="BJ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75"/>
      <c r="BI692" s="75"/>
      <c r="BJ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c r="BF693" s="75"/>
      <c r="BG693" s="75"/>
      <c r="BH693" s="75"/>
      <c r="BI693" s="75"/>
      <c r="BJ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c r="BF694" s="75"/>
      <c r="BG694" s="75"/>
      <c r="BH694" s="75"/>
      <c r="BI694" s="75"/>
      <c r="BJ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c r="BF695" s="75"/>
      <c r="BG695" s="75"/>
      <c r="BH695" s="75"/>
      <c r="BI695" s="75"/>
      <c r="BJ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c r="BF696" s="75"/>
      <c r="BG696" s="75"/>
      <c r="BH696" s="75"/>
      <c r="BI696" s="75"/>
      <c r="BJ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c r="BF697" s="75"/>
      <c r="BG697" s="75"/>
      <c r="BH697" s="75"/>
      <c r="BI697" s="75"/>
      <c r="BJ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c r="BF698" s="75"/>
      <c r="BG698" s="75"/>
      <c r="BH698" s="75"/>
      <c r="BI698" s="75"/>
      <c r="BJ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c r="BF699" s="75"/>
      <c r="BG699" s="75"/>
      <c r="BH699" s="75"/>
      <c r="BI699" s="75"/>
      <c r="BJ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c r="BF700" s="75"/>
      <c r="BG700" s="75"/>
      <c r="BH700" s="75"/>
      <c r="BI700" s="75"/>
      <c r="BJ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75"/>
      <c r="BI701" s="75"/>
      <c r="BJ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c r="BF702" s="75"/>
      <c r="BG702" s="75"/>
      <c r="BH702" s="75"/>
      <c r="BI702" s="75"/>
      <c r="BJ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c r="BF703" s="75"/>
      <c r="BG703" s="75"/>
      <c r="BH703" s="75"/>
      <c r="BI703" s="75"/>
      <c r="BJ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c r="BF704" s="75"/>
      <c r="BG704" s="75"/>
      <c r="BH704" s="75"/>
      <c r="BI704" s="75"/>
      <c r="BJ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75"/>
      <c r="BG705" s="75"/>
      <c r="BH705" s="75"/>
      <c r="BI705" s="75"/>
      <c r="BJ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c r="BF706" s="75"/>
      <c r="BG706" s="75"/>
      <c r="BH706" s="75"/>
      <c r="BI706" s="75"/>
      <c r="BJ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c r="BF707" s="75"/>
      <c r="BG707" s="75"/>
      <c r="BH707" s="75"/>
      <c r="BI707" s="75"/>
      <c r="BJ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c r="BF708" s="75"/>
      <c r="BG708" s="75"/>
      <c r="BH708" s="75"/>
      <c r="BI708" s="75"/>
      <c r="BJ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c r="BF709" s="75"/>
      <c r="BG709" s="75"/>
      <c r="BH709" s="75"/>
      <c r="BI709" s="75"/>
      <c r="BJ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c r="BF710" s="75"/>
      <c r="BG710" s="75"/>
      <c r="BH710" s="75"/>
      <c r="BI710" s="75"/>
      <c r="BJ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c r="BF711" s="75"/>
      <c r="BG711" s="75"/>
      <c r="BH711" s="75"/>
      <c r="BI711" s="75"/>
      <c r="BJ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c r="BF712" s="75"/>
      <c r="BG712" s="75"/>
      <c r="BH712" s="75"/>
      <c r="BI712" s="75"/>
      <c r="BJ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c r="BF713" s="75"/>
      <c r="BG713" s="75"/>
      <c r="BH713" s="75"/>
      <c r="BI713" s="75"/>
      <c r="BJ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75"/>
      <c r="BI714" s="75"/>
      <c r="BJ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75"/>
      <c r="BI715" s="75"/>
      <c r="BJ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75"/>
      <c r="BI716" s="75"/>
      <c r="BJ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75"/>
      <c r="BI717" s="75"/>
      <c r="BJ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c r="BF718" s="75"/>
      <c r="BG718" s="75"/>
      <c r="BH718" s="75"/>
      <c r="BI718" s="75"/>
      <c r="BJ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c r="BF719" s="75"/>
      <c r="BG719" s="75"/>
      <c r="BH719" s="75"/>
      <c r="BI719" s="75"/>
      <c r="BJ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c r="BF720" s="75"/>
      <c r="BG720" s="75"/>
      <c r="BH720" s="75"/>
      <c r="BI720" s="75"/>
      <c r="BJ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75"/>
      <c r="BI721" s="75"/>
      <c r="BJ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75"/>
      <c r="BI722" s="75"/>
      <c r="BJ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c r="BF723" s="75"/>
      <c r="BG723" s="75"/>
      <c r="BH723" s="75"/>
      <c r="BI723" s="75"/>
      <c r="BJ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75"/>
      <c r="BI724" s="75"/>
      <c r="BJ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75"/>
      <c r="BI725" s="75"/>
      <c r="BJ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75"/>
      <c r="BI726" s="75"/>
      <c r="BJ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75"/>
      <c r="BI727" s="75"/>
      <c r="BJ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c r="BF728" s="75"/>
      <c r="BG728" s="75"/>
      <c r="BH728" s="75"/>
      <c r="BI728" s="75"/>
      <c r="BJ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c r="BF729" s="75"/>
      <c r="BG729" s="75"/>
      <c r="BH729" s="75"/>
      <c r="BI729" s="75"/>
      <c r="BJ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75"/>
      <c r="BI730" s="75"/>
      <c r="BJ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c r="BF731" s="75"/>
      <c r="BG731" s="75"/>
      <c r="BH731" s="75"/>
      <c r="BI731" s="75"/>
      <c r="BJ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c r="BF732" s="75"/>
      <c r="BG732" s="75"/>
      <c r="BH732" s="75"/>
      <c r="BI732" s="75"/>
      <c r="BJ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c r="BF733" s="75"/>
      <c r="BG733" s="75"/>
      <c r="BH733" s="75"/>
      <c r="BI733" s="75"/>
      <c r="BJ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c r="BF734" s="75"/>
      <c r="BG734" s="75"/>
      <c r="BH734" s="75"/>
      <c r="BI734" s="75"/>
      <c r="BJ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75"/>
      <c r="BI735" s="75"/>
      <c r="BJ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75"/>
      <c r="BI736" s="75"/>
      <c r="BJ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75"/>
      <c r="BI737" s="75"/>
      <c r="BJ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75"/>
      <c r="BI738" s="75"/>
      <c r="BJ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75"/>
      <c r="BI739" s="75"/>
      <c r="BJ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c r="BF740" s="75"/>
      <c r="BG740" s="75"/>
      <c r="BH740" s="75"/>
      <c r="BI740" s="75"/>
      <c r="BJ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75"/>
      <c r="BI741" s="75"/>
      <c r="BJ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75"/>
      <c r="BI742" s="75"/>
      <c r="BJ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75"/>
      <c r="BI743" s="75"/>
      <c r="BJ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75"/>
      <c r="BI744" s="75"/>
      <c r="BJ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c r="BF745" s="75"/>
      <c r="BG745" s="75"/>
      <c r="BH745" s="75"/>
      <c r="BI745" s="75"/>
      <c r="BJ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c r="BF746" s="75"/>
      <c r="BG746" s="75"/>
      <c r="BH746" s="75"/>
      <c r="BI746" s="75"/>
      <c r="BJ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c r="BJ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c r="BF748" s="75"/>
      <c r="BG748" s="75"/>
      <c r="BH748" s="75"/>
      <c r="BI748" s="75"/>
      <c r="BJ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75"/>
      <c r="BI749" s="75"/>
      <c r="BJ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c r="BF750" s="75"/>
      <c r="BG750" s="75"/>
      <c r="BH750" s="75"/>
      <c r="BI750" s="75"/>
      <c r="BJ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75"/>
      <c r="BI751" s="75"/>
      <c r="BJ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c r="BF752" s="75"/>
      <c r="BG752" s="75"/>
      <c r="BH752" s="75"/>
      <c r="BI752" s="75"/>
      <c r="BJ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75"/>
      <c r="BI753" s="75"/>
      <c r="BJ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75"/>
      <c r="BJ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c r="BF755" s="75"/>
      <c r="BG755" s="75"/>
      <c r="BH755" s="75"/>
      <c r="BI755" s="75"/>
      <c r="BJ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c r="BF756" s="75"/>
      <c r="BG756" s="75"/>
      <c r="BH756" s="75"/>
      <c r="BI756" s="75"/>
      <c r="BJ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c r="BF757" s="75"/>
      <c r="BG757" s="75"/>
      <c r="BH757" s="75"/>
      <c r="BI757" s="75"/>
      <c r="BJ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c r="BF758" s="75"/>
      <c r="BG758" s="75"/>
      <c r="BH758" s="75"/>
      <c r="BI758" s="75"/>
      <c r="BJ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75"/>
      <c r="BI759" s="75"/>
      <c r="BJ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c r="BF760" s="75"/>
      <c r="BG760" s="75"/>
      <c r="BH760" s="75"/>
      <c r="BI760" s="75"/>
      <c r="BJ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75"/>
      <c r="BJ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75"/>
      <c r="BJ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75"/>
      <c r="BI763" s="75"/>
      <c r="BJ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75"/>
      <c r="BI764" s="75"/>
      <c r="BJ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75"/>
      <c r="BI765" s="75"/>
      <c r="BJ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75"/>
      <c r="BI766" s="75"/>
      <c r="BJ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75"/>
      <c r="BI767" s="75"/>
      <c r="BJ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75"/>
      <c r="BI768" s="75"/>
      <c r="BJ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75"/>
      <c r="BI769" s="75"/>
      <c r="BJ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c r="BF770" s="75"/>
      <c r="BG770" s="75"/>
      <c r="BH770" s="75"/>
      <c r="BI770" s="75"/>
      <c r="BJ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c r="BF771" s="75"/>
      <c r="BG771" s="75"/>
      <c r="BH771" s="75"/>
      <c r="BI771" s="75"/>
      <c r="BJ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c r="BF772" s="75"/>
      <c r="BG772" s="75"/>
      <c r="BH772" s="75"/>
      <c r="BI772" s="75"/>
      <c r="BJ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c r="BF773" s="75"/>
      <c r="BG773" s="75"/>
      <c r="BH773" s="75"/>
      <c r="BI773" s="75"/>
      <c r="BJ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75"/>
      <c r="BI774" s="75"/>
      <c r="BJ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c r="BF775" s="75"/>
      <c r="BG775" s="75"/>
      <c r="BH775" s="75"/>
      <c r="BI775" s="75"/>
      <c r="BJ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c r="BF776" s="75"/>
      <c r="BG776" s="75"/>
      <c r="BH776" s="75"/>
      <c r="BI776" s="75"/>
      <c r="BJ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c r="BF777" s="75"/>
      <c r="BG777" s="75"/>
      <c r="BH777" s="75"/>
      <c r="BI777" s="75"/>
      <c r="BJ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c r="BF778" s="75"/>
      <c r="BG778" s="75"/>
      <c r="BH778" s="75"/>
      <c r="BI778" s="75"/>
      <c r="BJ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c r="BF779" s="75"/>
      <c r="BG779" s="75"/>
      <c r="BH779" s="75"/>
      <c r="BI779" s="75"/>
      <c r="BJ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75"/>
      <c r="BI780" s="75"/>
      <c r="BJ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c r="BF781" s="75"/>
      <c r="BG781" s="75"/>
      <c r="BH781" s="75"/>
      <c r="BI781" s="75"/>
      <c r="BJ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75"/>
      <c r="BI782" s="75"/>
      <c r="BJ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c r="BF783" s="75"/>
      <c r="BG783" s="75"/>
      <c r="BH783" s="75"/>
      <c r="BI783" s="75"/>
      <c r="BJ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c r="BF784" s="75"/>
      <c r="BG784" s="75"/>
      <c r="BH784" s="75"/>
      <c r="BI784" s="75"/>
      <c r="BJ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c r="BF785" s="75"/>
      <c r="BG785" s="75"/>
      <c r="BH785" s="75"/>
      <c r="BI785" s="75"/>
      <c r="BJ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c r="BF786" s="75"/>
      <c r="BG786" s="75"/>
      <c r="BH786" s="75"/>
      <c r="BI786" s="75"/>
      <c r="BJ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c r="BF787" s="75"/>
      <c r="BG787" s="75"/>
      <c r="BH787" s="75"/>
      <c r="BI787" s="75"/>
      <c r="BJ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c r="BF788" s="75"/>
      <c r="BG788" s="75"/>
      <c r="BH788" s="75"/>
      <c r="BI788" s="75"/>
      <c r="BJ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75"/>
      <c r="BI789" s="75"/>
      <c r="BJ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c r="BF790" s="75"/>
      <c r="BG790" s="75"/>
      <c r="BH790" s="75"/>
      <c r="BI790" s="75"/>
      <c r="BJ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c r="BF791" s="75"/>
      <c r="BG791" s="75"/>
      <c r="BH791" s="75"/>
      <c r="BI791" s="75"/>
      <c r="BJ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75"/>
      <c r="BI792" s="75"/>
      <c r="BJ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c r="BF793" s="75"/>
      <c r="BG793" s="75"/>
      <c r="BH793" s="75"/>
      <c r="BI793" s="75"/>
      <c r="BJ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c r="BF794" s="75"/>
      <c r="BG794" s="75"/>
      <c r="BH794" s="75"/>
      <c r="BI794" s="75"/>
      <c r="BJ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c r="BF795" s="75"/>
      <c r="BG795" s="75"/>
      <c r="BH795" s="75"/>
      <c r="BI795" s="75"/>
      <c r="BJ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c r="BF796" s="75"/>
      <c r="BG796" s="75"/>
      <c r="BH796" s="75"/>
      <c r="BI796" s="75"/>
      <c r="BJ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c r="BF797" s="75"/>
      <c r="BG797" s="75"/>
      <c r="BH797" s="75"/>
      <c r="BI797" s="75"/>
      <c r="BJ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c r="BF798" s="75"/>
      <c r="BG798" s="75"/>
      <c r="BH798" s="75"/>
      <c r="BI798" s="75"/>
      <c r="BJ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c r="BF799" s="75"/>
      <c r="BG799" s="75"/>
      <c r="BH799" s="75"/>
      <c r="BI799" s="75"/>
      <c r="BJ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c r="BF800" s="75"/>
      <c r="BG800" s="75"/>
      <c r="BH800" s="75"/>
      <c r="BI800" s="75"/>
      <c r="BJ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75"/>
      <c r="BI801" s="75"/>
      <c r="BJ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75"/>
      <c r="BI802" s="75"/>
      <c r="BJ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75"/>
      <c r="BI803" s="75"/>
      <c r="BJ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75"/>
      <c r="BI804" s="75"/>
      <c r="BJ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75"/>
      <c r="BI805" s="75"/>
      <c r="BJ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75"/>
      <c r="BI806" s="75"/>
      <c r="BJ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75"/>
      <c r="BI807" s="75"/>
      <c r="BJ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c r="BF808" s="75"/>
      <c r="BG808" s="75"/>
      <c r="BH808" s="75"/>
      <c r="BI808" s="75"/>
      <c r="BJ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c r="BF809" s="75"/>
      <c r="BG809" s="75"/>
      <c r="BH809" s="75"/>
      <c r="BI809" s="75"/>
      <c r="BJ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75"/>
      <c r="BI810" s="75"/>
      <c r="BJ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75"/>
      <c r="BI811" s="75"/>
      <c r="BJ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75"/>
      <c r="BI812" s="75"/>
      <c r="BJ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c r="BF813" s="75"/>
      <c r="BG813" s="75"/>
      <c r="BH813" s="75"/>
      <c r="BI813" s="75"/>
      <c r="BJ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c r="BF814" s="75"/>
      <c r="BG814" s="75"/>
      <c r="BH814" s="75"/>
      <c r="BI814" s="75"/>
      <c r="BJ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75"/>
      <c r="BI815" s="75"/>
      <c r="BJ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c r="BF816" s="75"/>
      <c r="BG816" s="75"/>
      <c r="BH816" s="75"/>
      <c r="BI816" s="75"/>
      <c r="BJ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75"/>
      <c r="BI817" s="75"/>
      <c r="BJ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c r="BF818" s="75"/>
      <c r="BG818" s="75"/>
      <c r="BH818" s="75"/>
      <c r="BI818" s="75"/>
      <c r="BJ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75"/>
      <c r="BI819" s="75"/>
      <c r="BJ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75"/>
      <c r="BI820" s="75"/>
      <c r="BJ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75"/>
      <c r="BI821" s="75"/>
      <c r="BJ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c r="BF822" s="75"/>
      <c r="BG822" s="75"/>
      <c r="BH822" s="75"/>
      <c r="BI822" s="75"/>
      <c r="BJ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75"/>
      <c r="BI823" s="75"/>
      <c r="BJ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75"/>
      <c r="BI824" s="75"/>
      <c r="BJ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c r="BF825" s="75"/>
      <c r="BG825" s="75"/>
      <c r="BH825" s="75"/>
      <c r="BI825" s="75"/>
      <c r="BJ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c r="BF826" s="75"/>
      <c r="BG826" s="75"/>
      <c r="BH826" s="75"/>
      <c r="BI826" s="75"/>
      <c r="BJ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c r="BF827" s="75"/>
      <c r="BG827" s="75"/>
      <c r="BH827" s="75"/>
      <c r="BI827" s="75"/>
      <c r="BJ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c r="BF828" s="75"/>
      <c r="BG828" s="75"/>
      <c r="BH828" s="75"/>
      <c r="BI828" s="75"/>
      <c r="BJ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c r="BF829" s="75"/>
      <c r="BG829" s="75"/>
      <c r="BH829" s="75"/>
      <c r="BI829" s="75"/>
      <c r="BJ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c r="BF830" s="75"/>
      <c r="BG830" s="75"/>
      <c r="BH830" s="75"/>
      <c r="BI830" s="75"/>
      <c r="BJ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c r="BF831" s="75"/>
      <c r="BG831" s="75"/>
      <c r="BH831" s="75"/>
      <c r="BI831" s="75"/>
      <c r="BJ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c r="BF832" s="75"/>
      <c r="BG832" s="75"/>
      <c r="BH832" s="75"/>
      <c r="BI832" s="75"/>
      <c r="BJ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c r="BF833" s="75"/>
      <c r="BG833" s="75"/>
      <c r="BH833" s="75"/>
      <c r="BI833" s="75"/>
      <c r="BJ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c r="BF834" s="75"/>
      <c r="BG834" s="75"/>
      <c r="BH834" s="75"/>
      <c r="BI834" s="75"/>
      <c r="BJ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c r="BF835" s="75"/>
      <c r="BG835" s="75"/>
      <c r="BH835" s="75"/>
      <c r="BI835" s="75"/>
      <c r="BJ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c r="BF836" s="75"/>
      <c r="BG836" s="75"/>
      <c r="BH836" s="75"/>
      <c r="BI836" s="75"/>
      <c r="BJ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c r="BF837" s="75"/>
      <c r="BG837" s="75"/>
      <c r="BH837" s="75"/>
      <c r="BI837" s="75"/>
      <c r="BJ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c r="BF838" s="75"/>
      <c r="BG838" s="75"/>
      <c r="BH838" s="75"/>
      <c r="BI838" s="75"/>
      <c r="BJ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75"/>
      <c r="BI839" s="75"/>
      <c r="BJ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c r="BF840" s="75"/>
      <c r="BG840" s="75"/>
      <c r="BH840" s="75"/>
      <c r="BI840" s="75"/>
      <c r="BJ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c r="BF841" s="75"/>
      <c r="BG841" s="75"/>
      <c r="BH841" s="75"/>
      <c r="BI841" s="75"/>
      <c r="BJ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c r="BF842" s="75"/>
      <c r="BG842" s="75"/>
      <c r="BH842" s="75"/>
      <c r="BI842" s="75"/>
      <c r="BJ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c r="BF843" s="75"/>
      <c r="BG843" s="75"/>
      <c r="BH843" s="75"/>
      <c r="BI843" s="75"/>
      <c r="BJ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75"/>
      <c r="BI844" s="75"/>
      <c r="BJ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75"/>
      <c r="BI845" s="75"/>
      <c r="BJ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75"/>
      <c r="BI846" s="75"/>
      <c r="BJ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75"/>
      <c r="BI847" s="75"/>
      <c r="BJ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c r="BF848" s="75"/>
      <c r="BG848" s="75"/>
      <c r="BH848" s="75"/>
      <c r="BI848" s="75"/>
      <c r="BJ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c r="BF849" s="75"/>
      <c r="BG849" s="75"/>
      <c r="BH849" s="75"/>
      <c r="BI849" s="75"/>
      <c r="BJ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c r="BF850" s="75"/>
      <c r="BG850" s="75"/>
      <c r="BH850" s="75"/>
      <c r="BI850" s="75"/>
      <c r="BJ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c r="BF851" s="75"/>
      <c r="BG851" s="75"/>
      <c r="BH851" s="75"/>
      <c r="BI851" s="75"/>
      <c r="BJ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c r="BF852" s="75"/>
      <c r="BG852" s="75"/>
      <c r="BH852" s="75"/>
      <c r="BI852" s="75"/>
      <c r="BJ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75"/>
      <c r="BI853" s="75"/>
      <c r="BJ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75"/>
      <c r="BI854" s="75"/>
      <c r="BJ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c r="BF855" s="75"/>
      <c r="BG855" s="75"/>
      <c r="BH855" s="75"/>
      <c r="BI855" s="75"/>
      <c r="BJ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c r="BF856" s="75"/>
      <c r="BG856" s="75"/>
      <c r="BH856" s="75"/>
      <c r="BI856" s="75"/>
      <c r="BJ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75"/>
      <c r="BI857" s="75"/>
      <c r="BJ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75"/>
      <c r="BI858" s="75"/>
      <c r="BJ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75"/>
      <c r="BI859" s="75"/>
      <c r="BJ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c r="BF860" s="75"/>
      <c r="BG860" s="75"/>
      <c r="BH860" s="75"/>
      <c r="BI860" s="75"/>
      <c r="BJ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c r="BF861" s="75"/>
      <c r="BG861" s="75"/>
      <c r="BH861" s="75"/>
      <c r="BI861" s="75"/>
      <c r="BJ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c r="BF862" s="75"/>
      <c r="BG862" s="75"/>
      <c r="BH862" s="75"/>
      <c r="BI862" s="75"/>
      <c r="BJ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c r="BF863" s="75"/>
      <c r="BG863" s="75"/>
      <c r="BH863" s="75"/>
      <c r="BI863" s="75"/>
      <c r="BJ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c r="BF864" s="75"/>
      <c r="BG864" s="75"/>
      <c r="BH864" s="75"/>
      <c r="BI864" s="75"/>
      <c r="BJ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c r="BF865" s="75"/>
      <c r="BG865" s="75"/>
      <c r="BH865" s="75"/>
      <c r="BI865" s="75"/>
      <c r="BJ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c r="BF866" s="75"/>
      <c r="BG866" s="75"/>
      <c r="BH866" s="75"/>
      <c r="BI866" s="75"/>
      <c r="BJ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75"/>
      <c r="BI867" s="75"/>
      <c r="BJ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c r="BF868" s="75"/>
      <c r="BG868" s="75"/>
      <c r="BH868" s="75"/>
      <c r="BI868" s="75"/>
      <c r="BJ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c r="BF869" s="75"/>
      <c r="BG869" s="75"/>
      <c r="BH869" s="75"/>
      <c r="BI869" s="75"/>
      <c r="BJ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c r="BF870" s="75"/>
      <c r="BG870" s="75"/>
      <c r="BH870" s="75"/>
      <c r="BI870" s="75"/>
      <c r="BJ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75"/>
      <c r="BI871" s="75"/>
      <c r="BJ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75"/>
      <c r="BI872" s="75"/>
      <c r="BJ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75"/>
      <c r="BI873" s="75"/>
      <c r="BJ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75"/>
      <c r="BI874" s="75"/>
      <c r="BJ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c r="BF875" s="75"/>
      <c r="BG875" s="75"/>
      <c r="BH875" s="75"/>
      <c r="BI875" s="75"/>
      <c r="BJ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c r="BF876" s="75"/>
      <c r="BG876" s="75"/>
      <c r="BH876" s="75"/>
      <c r="BI876" s="75"/>
      <c r="BJ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c r="BF877" s="75"/>
      <c r="BG877" s="75"/>
      <c r="BH877" s="75"/>
      <c r="BI877" s="75"/>
      <c r="BJ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c r="BF878" s="75"/>
      <c r="BG878" s="75"/>
      <c r="BH878" s="75"/>
      <c r="BI878" s="75"/>
      <c r="BJ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c r="BF879" s="75"/>
      <c r="BG879" s="75"/>
      <c r="BH879" s="75"/>
      <c r="BI879" s="75"/>
      <c r="BJ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c r="BF880" s="75"/>
      <c r="BG880" s="75"/>
      <c r="BH880" s="75"/>
      <c r="BI880" s="75"/>
      <c r="BJ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c r="BF881" s="75"/>
      <c r="BG881" s="75"/>
      <c r="BH881" s="75"/>
      <c r="BI881" s="75"/>
      <c r="BJ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c r="BF882" s="75"/>
      <c r="BG882" s="75"/>
      <c r="BH882" s="75"/>
      <c r="BI882" s="75"/>
      <c r="BJ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75"/>
      <c r="BI883" s="75"/>
      <c r="BJ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c r="BF884" s="75"/>
      <c r="BG884" s="75"/>
      <c r="BH884" s="75"/>
      <c r="BI884" s="75"/>
      <c r="BJ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c r="BF885" s="75"/>
      <c r="BG885" s="75"/>
      <c r="BH885" s="75"/>
      <c r="BI885" s="75"/>
      <c r="BJ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c r="BF886" s="75"/>
      <c r="BG886" s="75"/>
      <c r="BH886" s="75"/>
      <c r="BI886" s="75"/>
      <c r="BJ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c r="BF887" s="75"/>
      <c r="BG887" s="75"/>
      <c r="BH887" s="75"/>
      <c r="BI887" s="75"/>
      <c r="BJ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75"/>
      <c r="BI888" s="75"/>
      <c r="BJ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75"/>
      <c r="BI889" s="75"/>
      <c r="BJ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75"/>
      <c r="BI890" s="75"/>
      <c r="BJ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75"/>
      <c r="BI891" s="75"/>
      <c r="BJ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75"/>
      <c r="BI892" s="75"/>
      <c r="BJ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75"/>
      <c r="BI893" s="75"/>
      <c r="BJ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75"/>
      <c r="BI894" s="75"/>
      <c r="BJ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75"/>
      <c r="BI895" s="75"/>
      <c r="BJ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c r="BF896" s="75"/>
      <c r="BG896" s="75"/>
      <c r="BH896" s="75"/>
      <c r="BI896" s="75"/>
      <c r="BJ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c r="BF897" s="75"/>
      <c r="BG897" s="75"/>
      <c r="BH897" s="75"/>
      <c r="BI897" s="75"/>
      <c r="BJ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c r="BF898" s="75"/>
      <c r="BG898" s="75"/>
      <c r="BH898" s="75"/>
      <c r="BI898" s="75"/>
      <c r="BJ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c r="BF899" s="75"/>
      <c r="BG899" s="75"/>
      <c r="BH899" s="75"/>
      <c r="BI899" s="75"/>
      <c r="BJ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c r="BF900" s="75"/>
      <c r="BG900" s="75"/>
      <c r="BH900" s="75"/>
      <c r="BI900" s="75"/>
      <c r="BJ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c r="BF901" s="75"/>
      <c r="BG901" s="75"/>
      <c r="BH901" s="75"/>
      <c r="BI901" s="75"/>
      <c r="BJ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c r="BF902" s="75"/>
      <c r="BG902" s="75"/>
      <c r="BH902" s="75"/>
      <c r="BI902" s="75"/>
      <c r="BJ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c r="BF903" s="75"/>
      <c r="BG903" s="75"/>
      <c r="BH903" s="75"/>
      <c r="BI903" s="75"/>
      <c r="BJ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c r="BF904" s="75"/>
      <c r="BG904" s="75"/>
      <c r="BH904" s="75"/>
      <c r="BI904" s="75"/>
      <c r="BJ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75"/>
      <c r="BI905" s="75"/>
      <c r="BJ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75"/>
      <c r="BI906" s="75"/>
      <c r="BJ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75"/>
      <c r="BI907" s="75"/>
      <c r="BJ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75"/>
      <c r="BI908" s="75"/>
      <c r="BJ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c r="BF909" s="75"/>
      <c r="BG909" s="75"/>
      <c r="BH909" s="75"/>
      <c r="BI909" s="75"/>
      <c r="BJ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75"/>
      <c r="BI910" s="75"/>
      <c r="BJ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75"/>
      <c r="BI911" s="75"/>
      <c r="BJ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75"/>
      <c r="BI912" s="75"/>
      <c r="BJ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c r="BF913" s="75"/>
      <c r="BG913" s="75"/>
      <c r="BH913" s="75"/>
      <c r="BI913" s="75"/>
      <c r="BJ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c r="BF914" s="75"/>
      <c r="BG914" s="75"/>
      <c r="BH914" s="75"/>
      <c r="BI914" s="75"/>
      <c r="BJ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c r="BF915" s="75"/>
      <c r="BG915" s="75"/>
      <c r="BH915" s="75"/>
      <c r="BI915" s="75"/>
      <c r="BJ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c r="BF916" s="75"/>
      <c r="BG916" s="75"/>
      <c r="BH916" s="75"/>
      <c r="BI916" s="75"/>
      <c r="BJ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c r="BF917" s="75"/>
      <c r="BG917" s="75"/>
      <c r="BH917" s="75"/>
      <c r="BI917" s="75"/>
      <c r="BJ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c r="BF918" s="75"/>
      <c r="BG918" s="75"/>
      <c r="BH918" s="75"/>
      <c r="BI918" s="75"/>
      <c r="BJ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75"/>
      <c r="BI919" s="75"/>
      <c r="BJ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c r="BF920" s="75"/>
      <c r="BG920" s="75"/>
      <c r="BH920" s="75"/>
      <c r="BI920" s="75"/>
      <c r="BJ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c r="BF921" s="75"/>
      <c r="BG921" s="75"/>
      <c r="BH921" s="75"/>
      <c r="BI921" s="75"/>
      <c r="BJ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c r="BF922" s="75"/>
      <c r="BG922" s="75"/>
      <c r="BH922" s="75"/>
      <c r="BI922" s="75"/>
      <c r="BJ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c r="BF923" s="75"/>
      <c r="BG923" s="75"/>
      <c r="BH923" s="75"/>
      <c r="BI923" s="75"/>
      <c r="BJ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c r="BF924" s="75"/>
      <c r="BG924" s="75"/>
      <c r="BH924" s="75"/>
      <c r="BI924" s="75"/>
      <c r="BJ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75"/>
      <c r="BI925" s="75"/>
      <c r="BJ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75"/>
      <c r="BI926" s="75"/>
      <c r="BJ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75"/>
      <c r="BI927" s="75"/>
      <c r="BJ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c r="BF928" s="75"/>
      <c r="BG928" s="75"/>
      <c r="BH928" s="75"/>
      <c r="BI928" s="75"/>
      <c r="BJ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c r="BF929" s="75"/>
      <c r="BG929" s="75"/>
      <c r="BH929" s="75"/>
      <c r="BI929" s="75"/>
      <c r="BJ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c r="BF930" s="75"/>
      <c r="BG930" s="75"/>
      <c r="BH930" s="75"/>
      <c r="BI930" s="75"/>
      <c r="BJ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c r="BF931" s="75"/>
      <c r="BG931" s="75"/>
      <c r="BH931" s="75"/>
      <c r="BI931" s="75"/>
      <c r="BJ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75"/>
      <c r="BI932" s="75"/>
      <c r="BJ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75"/>
      <c r="BI933" s="75"/>
      <c r="BJ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c r="BF934" s="75"/>
      <c r="BG934" s="75"/>
      <c r="BH934" s="75"/>
      <c r="BI934" s="75"/>
      <c r="BJ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c r="BF935" s="75"/>
      <c r="BG935" s="75"/>
      <c r="BH935" s="75"/>
      <c r="BI935" s="75"/>
      <c r="BJ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75"/>
      <c r="BI936" s="75"/>
      <c r="BJ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75"/>
      <c r="BI937" s="75"/>
      <c r="BJ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75"/>
      <c r="BI938" s="75"/>
      <c r="BJ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75"/>
      <c r="BI939" s="75"/>
      <c r="BJ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c r="BF940" s="75"/>
      <c r="BG940" s="75"/>
      <c r="BH940" s="75"/>
      <c r="BI940" s="75"/>
      <c r="BJ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c r="BJ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c r="BJ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c r="BJ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75"/>
      <c r="BI944" s="75"/>
      <c r="BJ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75"/>
      <c r="BI945" s="75"/>
      <c r="BJ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c r="BJ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c r="BJ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c r="BJ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75"/>
      <c r="BI949" s="75"/>
      <c r="BJ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75"/>
      <c r="BI950" s="75"/>
      <c r="BJ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c r="BJ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c r="BJ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75"/>
      <c r="BI953" s="75"/>
      <c r="BJ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75"/>
      <c r="BI954" s="75"/>
      <c r="BJ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75"/>
      <c r="BI955" s="75"/>
      <c r="BJ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75"/>
      <c r="BI956" s="75"/>
      <c r="BJ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c r="BJ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c r="BJ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c r="BJ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c r="BJ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c r="BJ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c r="BJ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c r="BJ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c r="BJ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c r="BJ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c r="BJ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c r="BJ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c r="BJ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c r="BJ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c r="BJ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c r="BJ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c r="BJ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c r="BJ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c r="BJ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c r="BJ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c r="BJ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c r="BJ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c r="BJ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c r="BJ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c r="BJ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c r="BJ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c r="BJ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c r="BJ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c r="BJ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c r="BJ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c r="BJ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c r="BJ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c r="BJ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c r="BJ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c r="BJ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c r="BJ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c r="BJ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c r="BJ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c r="BJ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c r="BJ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c r="BJ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c r="BJ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c r="BJ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c r="BJ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c r="BJ1000" s="7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15</v>
      </c>
      <c r="B1" s="15" t="s">
        <v>248</v>
      </c>
      <c r="C1" s="15" t="s">
        <v>249</v>
      </c>
      <c r="D1" s="15" t="s">
        <v>250</v>
      </c>
      <c r="E1" s="15" t="s">
        <v>251</v>
      </c>
      <c r="F1" s="15" t="s">
        <v>253</v>
      </c>
      <c r="G1" s="15" t="s">
        <v>393</v>
      </c>
      <c r="H1" s="212"/>
      <c r="I1" s="213"/>
      <c r="J1" s="213"/>
      <c r="K1" s="213"/>
      <c r="L1" s="213"/>
      <c r="M1" s="213"/>
      <c r="N1" s="213"/>
      <c r="O1" s="213"/>
      <c r="P1" s="213"/>
      <c r="Q1" s="213"/>
      <c r="R1" s="213"/>
      <c r="S1" s="213"/>
      <c r="T1" s="213"/>
      <c r="U1" s="213"/>
      <c r="V1" s="213"/>
      <c r="W1" s="213"/>
      <c r="X1" s="213"/>
      <c r="Y1" s="213"/>
      <c r="Z1" s="213"/>
    </row>
    <row r="2">
      <c r="A2" s="214"/>
      <c r="B2" s="215">
        <v>8.48</v>
      </c>
      <c r="C2" s="215" t="s">
        <v>256</v>
      </c>
      <c r="D2" s="215">
        <v>1.0</v>
      </c>
      <c r="E2" s="216">
        <f t="shared" ref="E2:E153" si="1">D2/B2</f>
        <v>0.1179245283</v>
      </c>
      <c r="F2" s="217">
        <f t="shared" ref="F2:F153" si="2">E2*100</f>
        <v>11.79245283</v>
      </c>
      <c r="G2" s="215">
        <v>11.79</v>
      </c>
      <c r="H2" s="218"/>
      <c r="I2" s="219"/>
      <c r="J2" s="219"/>
      <c r="K2" s="219"/>
      <c r="L2" s="219"/>
      <c r="M2" s="219"/>
      <c r="N2" s="219"/>
      <c r="O2" s="219"/>
      <c r="P2" s="219"/>
      <c r="Q2" s="219"/>
      <c r="R2" s="219"/>
      <c r="S2" s="219"/>
      <c r="T2" s="219"/>
      <c r="U2" s="219"/>
      <c r="V2" s="219"/>
      <c r="W2" s="219"/>
      <c r="X2" s="219"/>
      <c r="Y2" s="219"/>
      <c r="Z2" s="219"/>
    </row>
    <row r="3">
      <c r="A3" s="214"/>
      <c r="B3" s="215">
        <v>6.67</v>
      </c>
      <c r="C3" s="215" t="s">
        <v>256</v>
      </c>
      <c r="D3" s="215">
        <v>1.0</v>
      </c>
      <c r="E3" s="216">
        <f t="shared" si="1"/>
        <v>0.1499250375</v>
      </c>
      <c r="F3" s="217">
        <f t="shared" si="2"/>
        <v>14.99250375</v>
      </c>
      <c r="G3" s="215">
        <v>14.99</v>
      </c>
      <c r="H3" s="218"/>
      <c r="I3" s="219"/>
      <c r="J3" s="219"/>
      <c r="K3" s="219"/>
      <c r="L3" s="219"/>
      <c r="M3" s="219"/>
      <c r="N3" s="219"/>
      <c r="O3" s="219"/>
      <c r="P3" s="219"/>
      <c r="Q3" s="219"/>
      <c r="R3" s="219"/>
      <c r="S3" s="219"/>
      <c r="T3" s="219"/>
      <c r="U3" s="219"/>
      <c r="V3" s="219"/>
      <c r="W3" s="219"/>
      <c r="X3" s="219"/>
      <c r="Y3" s="219"/>
      <c r="Z3" s="219"/>
    </row>
    <row r="4">
      <c r="A4" s="214"/>
      <c r="B4" s="215">
        <v>4.21</v>
      </c>
      <c r="C4" s="215" t="s">
        <v>256</v>
      </c>
      <c r="D4" s="215">
        <v>1.0</v>
      </c>
      <c r="E4" s="216">
        <f t="shared" si="1"/>
        <v>0.2375296912</v>
      </c>
      <c r="F4" s="217">
        <f t="shared" si="2"/>
        <v>23.75296912</v>
      </c>
      <c r="G4" s="215">
        <v>20.0</v>
      </c>
      <c r="H4" s="218"/>
      <c r="I4" s="219"/>
      <c r="J4" s="219"/>
      <c r="K4" s="219"/>
      <c r="L4" s="219"/>
      <c r="M4" s="219"/>
      <c r="N4" s="219"/>
      <c r="O4" s="219"/>
      <c r="P4" s="219"/>
      <c r="Q4" s="219"/>
      <c r="R4" s="219"/>
      <c r="S4" s="219"/>
      <c r="T4" s="219"/>
      <c r="U4" s="219"/>
      <c r="V4" s="219"/>
      <c r="W4" s="219"/>
      <c r="X4" s="219"/>
      <c r="Y4" s="219"/>
      <c r="Z4" s="219"/>
    </row>
    <row r="5">
      <c r="A5" s="220"/>
      <c r="B5" s="215">
        <v>50.61</v>
      </c>
      <c r="C5" s="215" t="s">
        <v>256</v>
      </c>
      <c r="D5" s="215">
        <v>1.0</v>
      </c>
      <c r="E5" s="216">
        <f t="shared" si="1"/>
        <v>0.01975894092</v>
      </c>
      <c r="F5" s="217">
        <f t="shared" si="2"/>
        <v>1.975894092</v>
      </c>
      <c r="G5" s="215">
        <v>1.98</v>
      </c>
      <c r="H5" s="218"/>
      <c r="I5" s="219"/>
      <c r="J5" s="219"/>
      <c r="K5" s="219"/>
      <c r="L5" s="219"/>
      <c r="M5" s="219"/>
      <c r="N5" s="219"/>
      <c r="O5" s="219"/>
      <c r="P5" s="219"/>
      <c r="Q5" s="219"/>
      <c r="R5" s="219"/>
      <c r="S5" s="219"/>
      <c r="T5" s="219"/>
      <c r="U5" s="219"/>
      <c r="V5" s="219"/>
      <c r="W5" s="219"/>
      <c r="X5" s="219"/>
      <c r="Y5" s="219"/>
      <c r="Z5" s="219"/>
    </row>
    <row r="6">
      <c r="A6" s="221"/>
      <c r="B6" s="215">
        <v>12.05</v>
      </c>
      <c r="C6" s="215" t="s">
        <v>256</v>
      </c>
      <c r="D6" s="215">
        <v>1.0</v>
      </c>
      <c r="E6" s="216">
        <f t="shared" si="1"/>
        <v>0.08298755187</v>
      </c>
      <c r="F6" s="217">
        <f t="shared" si="2"/>
        <v>8.298755187</v>
      </c>
      <c r="G6" s="215">
        <v>8.3</v>
      </c>
      <c r="H6" s="218"/>
      <c r="I6" s="219"/>
      <c r="J6" s="219"/>
      <c r="K6" s="219"/>
      <c r="L6" s="219"/>
      <c r="M6" s="219"/>
      <c r="N6" s="219"/>
      <c r="O6" s="219"/>
      <c r="P6" s="219"/>
      <c r="Q6" s="219"/>
      <c r="R6" s="219"/>
      <c r="S6" s="219"/>
      <c r="T6" s="219"/>
      <c r="U6" s="219"/>
      <c r="V6" s="219"/>
      <c r="W6" s="219"/>
      <c r="X6" s="219"/>
      <c r="Y6" s="219"/>
      <c r="Z6" s="219"/>
    </row>
    <row r="7">
      <c r="A7" s="220"/>
      <c r="B7" s="215">
        <v>114.55</v>
      </c>
      <c r="C7" s="215" t="s">
        <v>256</v>
      </c>
      <c r="D7" s="215">
        <v>2.0</v>
      </c>
      <c r="E7" s="216">
        <f t="shared" si="1"/>
        <v>0.01745962462</v>
      </c>
      <c r="F7" s="217">
        <f t="shared" si="2"/>
        <v>1.745962462</v>
      </c>
      <c r="G7" s="215">
        <v>1.75</v>
      </c>
      <c r="H7" s="218"/>
      <c r="I7" s="219"/>
      <c r="J7" s="219"/>
      <c r="K7" s="219"/>
      <c r="L7" s="219"/>
      <c r="M7" s="219"/>
      <c r="N7" s="219"/>
      <c r="O7" s="219"/>
      <c r="P7" s="219"/>
      <c r="Q7" s="219"/>
      <c r="R7" s="219"/>
      <c r="S7" s="219"/>
      <c r="T7" s="219"/>
      <c r="U7" s="219"/>
      <c r="V7" s="219"/>
      <c r="W7" s="219"/>
      <c r="X7" s="219"/>
      <c r="Y7" s="219"/>
      <c r="Z7" s="219"/>
    </row>
    <row r="8">
      <c r="A8" s="221"/>
      <c r="B8" s="215">
        <v>54.67</v>
      </c>
      <c r="C8" s="215" t="s">
        <v>256</v>
      </c>
      <c r="D8" s="215">
        <v>1.0</v>
      </c>
      <c r="E8" s="216">
        <f t="shared" si="1"/>
        <v>0.01829156759</v>
      </c>
      <c r="F8" s="217">
        <f t="shared" si="2"/>
        <v>1.829156759</v>
      </c>
      <c r="G8" s="215">
        <v>1.83</v>
      </c>
      <c r="H8" s="218"/>
      <c r="I8" s="219"/>
      <c r="J8" s="219"/>
      <c r="K8" s="219"/>
      <c r="L8" s="219"/>
      <c r="M8" s="219"/>
      <c r="N8" s="219"/>
      <c r="O8" s="219"/>
      <c r="P8" s="219"/>
      <c r="Q8" s="219"/>
      <c r="R8" s="219"/>
      <c r="S8" s="219"/>
      <c r="T8" s="219"/>
      <c r="U8" s="219"/>
      <c r="V8" s="219"/>
      <c r="W8" s="219"/>
      <c r="X8" s="219"/>
      <c r="Y8" s="219"/>
      <c r="Z8" s="219"/>
    </row>
    <row r="9">
      <c r="A9" s="222"/>
      <c r="B9" s="215">
        <v>42.42</v>
      </c>
      <c r="C9" s="215" t="s">
        <v>256</v>
      </c>
      <c r="D9" s="215">
        <v>1.0</v>
      </c>
      <c r="E9" s="216">
        <f t="shared" si="1"/>
        <v>0.02357378595</v>
      </c>
      <c r="F9" s="217">
        <f t="shared" si="2"/>
        <v>2.357378595</v>
      </c>
      <c r="G9" s="215">
        <v>2.36</v>
      </c>
      <c r="H9" s="218"/>
      <c r="I9" s="219"/>
      <c r="J9" s="219"/>
      <c r="K9" s="219"/>
      <c r="L9" s="219"/>
      <c r="M9" s="219"/>
      <c r="N9" s="219"/>
      <c r="O9" s="219"/>
      <c r="P9" s="219"/>
      <c r="Q9" s="219"/>
      <c r="R9" s="219"/>
      <c r="S9" s="219"/>
      <c r="T9" s="219"/>
      <c r="U9" s="219"/>
      <c r="V9" s="219"/>
      <c r="W9" s="219"/>
      <c r="X9" s="219"/>
      <c r="Y9" s="219"/>
      <c r="Z9" s="219"/>
    </row>
    <row r="10">
      <c r="A10" s="214"/>
      <c r="B10" s="215">
        <v>9.36</v>
      </c>
      <c r="C10" s="215" t="s">
        <v>256</v>
      </c>
      <c r="D10" s="215">
        <v>1.0</v>
      </c>
      <c r="E10" s="216">
        <f t="shared" si="1"/>
        <v>0.1068376068</v>
      </c>
      <c r="F10" s="217">
        <f t="shared" si="2"/>
        <v>10.68376068</v>
      </c>
      <c r="G10" s="215">
        <v>10.68</v>
      </c>
      <c r="H10" s="218"/>
      <c r="I10" s="219"/>
      <c r="J10" s="219"/>
      <c r="K10" s="219"/>
      <c r="L10" s="219"/>
      <c r="M10" s="219"/>
      <c r="N10" s="219"/>
      <c r="O10" s="219"/>
      <c r="P10" s="219"/>
      <c r="Q10" s="219"/>
      <c r="R10" s="219"/>
      <c r="S10" s="219"/>
      <c r="T10" s="219"/>
      <c r="U10" s="219"/>
      <c r="V10" s="219"/>
      <c r="W10" s="219"/>
      <c r="X10" s="219"/>
      <c r="Y10" s="219"/>
      <c r="Z10" s="219"/>
    </row>
    <row r="11">
      <c r="A11" s="214"/>
      <c r="B11" s="215">
        <v>43.13</v>
      </c>
      <c r="C11" s="215" t="s">
        <v>256</v>
      </c>
      <c r="D11" s="215">
        <v>1.0</v>
      </c>
      <c r="E11" s="216">
        <f t="shared" si="1"/>
        <v>0.0231857176</v>
      </c>
      <c r="F11" s="217">
        <f t="shared" si="2"/>
        <v>2.31857176</v>
      </c>
      <c r="G11" s="215">
        <v>2.32</v>
      </c>
      <c r="H11" s="218"/>
      <c r="I11" s="219"/>
      <c r="J11" s="219"/>
      <c r="K11" s="219"/>
      <c r="L11" s="219"/>
      <c r="M11" s="219"/>
      <c r="N11" s="219"/>
      <c r="O11" s="219"/>
      <c r="P11" s="219"/>
      <c r="Q11" s="219"/>
      <c r="R11" s="219"/>
      <c r="S11" s="219"/>
      <c r="T11" s="219"/>
      <c r="U11" s="219"/>
      <c r="V11" s="219"/>
      <c r="W11" s="219"/>
      <c r="X11" s="219"/>
      <c r="Y11" s="219"/>
      <c r="Z11" s="219"/>
    </row>
    <row r="12">
      <c r="A12" s="222"/>
      <c r="B12" s="215">
        <v>6.73</v>
      </c>
      <c r="C12" s="215" t="s">
        <v>256</v>
      </c>
      <c r="D12" s="215">
        <v>1.0</v>
      </c>
      <c r="E12" s="216">
        <f t="shared" si="1"/>
        <v>0.1485884101</v>
      </c>
      <c r="F12" s="217">
        <f t="shared" si="2"/>
        <v>14.85884101</v>
      </c>
      <c r="G12" s="215">
        <v>14.86</v>
      </c>
      <c r="H12" s="218"/>
      <c r="I12" s="219"/>
      <c r="J12" s="219"/>
      <c r="K12" s="219"/>
      <c r="L12" s="219"/>
      <c r="M12" s="219"/>
      <c r="N12" s="219"/>
      <c r="O12" s="219"/>
      <c r="P12" s="219"/>
      <c r="Q12" s="219"/>
      <c r="R12" s="219"/>
      <c r="S12" s="219"/>
      <c r="T12" s="219"/>
      <c r="U12" s="219"/>
      <c r="V12" s="219"/>
      <c r="W12" s="219"/>
      <c r="X12" s="219"/>
      <c r="Y12" s="219"/>
      <c r="Z12" s="219"/>
    </row>
    <row r="13">
      <c r="A13" s="221"/>
      <c r="B13" s="215">
        <v>8.08</v>
      </c>
      <c r="C13" s="215" t="s">
        <v>256</v>
      </c>
      <c r="D13" s="215">
        <v>1.0</v>
      </c>
      <c r="E13" s="216">
        <f t="shared" si="1"/>
        <v>0.1237623762</v>
      </c>
      <c r="F13" s="217">
        <f t="shared" si="2"/>
        <v>12.37623762</v>
      </c>
      <c r="G13" s="215">
        <v>12.38</v>
      </c>
      <c r="H13" s="218"/>
      <c r="I13" s="219"/>
      <c r="J13" s="219"/>
      <c r="K13" s="219"/>
      <c r="L13" s="219"/>
      <c r="M13" s="219"/>
      <c r="N13" s="219"/>
      <c r="O13" s="219"/>
      <c r="P13" s="219"/>
      <c r="Q13" s="219"/>
      <c r="R13" s="219"/>
      <c r="S13" s="219"/>
      <c r="T13" s="219"/>
      <c r="U13" s="219"/>
      <c r="V13" s="219"/>
      <c r="W13" s="219"/>
      <c r="X13" s="219"/>
      <c r="Y13" s="219"/>
      <c r="Z13" s="219"/>
    </row>
    <row r="14">
      <c r="A14" s="214"/>
      <c r="B14" s="215">
        <v>113.13</v>
      </c>
      <c r="C14" s="215" t="s">
        <v>256</v>
      </c>
      <c r="D14" s="215">
        <v>2.0</v>
      </c>
      <c r="E14" s="216">
        <f t="shared" si="1"/>
        <v>0.01767877663</v>
      </c>
      <c r="F14" s="217">
        <f t="shared" si="2"/>
        <v>1.767877663</v>
      </c>
      <c r="G14" s="215">
        <v>1.77</v>
      </c>
      <c r="H14" s="218"/>
      <c r="I14" s="219"/>
      <c r="J14" s="219"/>
      <c r="K14" s="219"/>
      <c r="L14" s="219"/>
      <c r="M14" s="219"/>
      <c r="N14" s="219"/>
      <c r="O14" s="219"/>
      <c r="P14" s="219"/>
      <c r="Q14" s="219"/>
      <c r="R14" s="219"/>
      <c r="S14" s="219"/>
      <c r="T14" s="219"/>
      <c r="U14" s="219"/>
      <c r="V14" s="219"/>
      <c r="W14" s="219"/>
      <c r="X14" s="219"/>
      <c r="Y14" s="219"/>
      <c r="Z14" s="219"/>
    </row>
    <row r="15">
      <c r="A15" s="222"/>
      <c r="B15" s="215">
        <v>4.55</v>
      </c>
      <c r="C15" s="215" t="s">
        <v>256</v>
      </c>
      <c r="D15" s="215">
        <v>1.0</v>
      </c>
      <c r="E15" s="216">
        <f t="shared" si="1"/>
        <v>0.2197802198</v>
      </c>
      <c r="F15" s="217">
        <f t="shared" si="2"/>
        <v>21.97802198</v>
      </c>
      <c r="G15" s="215">
        <v>20.0</v>
      </c>
      <c r="H15" s="218"/>
      <c r="I15" s="219"/>
      <c r="J15" s="219"/>
      <c r="K15" s="219"/>
      <c r="L15" s="219"/>
      <c r="M15" s="219"/>
      <c r="N15" s="219"/>
      <c r="O15" s="219"/>
      <c r="P15" s="219"/>
      <c r="Q15" s="219"/>
      <c r="R15" s="219"/>
      <c r="S15" s="219"/>
      <c r="T15" s="219"/>
      <c r="U15" s="219"/>
      <c r="V15" s="219"/>
      <c r="W15" s="219"/>
      <c r="X15" s="219"/>
      <c r="Y15" s="219"/>
      <c r="Z15" s="219"/>
    </row>
    <row r="16">
      <c r="A16" s="214"/>
      <c r="B16" s="215">
        <v>2.57</v>
      </c>
      <c r="C16" s="215" t="s">
        <v>256</v>
      </c>
      <c r="D16" s="215">
        <v>1.0</v>
      </c>
      <c r="E16" s="216">
        <f t="shared" si="1"/>
        <v>0.3891050584</v>
      </c>
      <c r="F16" s="217">
        <f t="shared" si="2"/>
        <v>38.91050584</v>
      </c>
      <c r="G16" s="215">
        <v>20.0</v>
      </c>
      <c r="H16" s="218"/>
      <c r="I16" s="219"/>
      <c r="J16" s="219"/>
      <c r="K16" s="219"/>
      <c r="L16" s="219"/>
      <c r="M16" s="219"/>
      <c r="N16" s="219"/>
      <c r="O16" s="219"/>
      <c r="P16" s="219"/>
      <c r="Q16" s="219"/>
      <c r="R16" s="219"/>
      <c r="S16" s="219"/>
      <c r="T16" s="219"/>
      <c r="U16" s="219"/>
      <c r="V16" s="219"/>
      <c r="W16" s="219"/>
      <c r="X16" s="219"/>
      <c r="Y16" s="219"/>
      <c r="Z16" s="219"/>
    </row>
    <row r="17">
      <c r="A17" s="214"/>
      <c r="B17" s="215">
        <v>5.86</v>
      </c>
      <c r="C17" s="215" t="s">
        <v>256</v>
      </c>
      <c r="D17" s="215">
        <v>1.0</v>
      </c>
      <c r="E17" s="216">
        <f t="shared" si="1"/>
        <v>0.1706484642</v>
      </c>
      <c r="F17" s="217">
        <f t="shared" si="2"/>
        <v>17.06484642</v>
      </c>
      <c r="G17" s="215">
        <v>17.06</v>
      </c>
      <c r="H17" s="218"/>
      <c r="I17" s="219"/>
      <c r="J17" s="219"/>
      <c r="K17" s="219"/>
      <c r="L17" s="219"/>
      <c r="M17" s="219"/>
      <c r="N17" s="219"/>
      <c r="O17" s="219"/>
      <c r="P17" s="219"/>
      <c r="Q17" s="219"/>
      <c r="R17" s="219"/>
      <c r="S17" s="219"/>
      <c r="T17" s="219"/>
      <c r="U17" s="219"/>
      <c r="V17" s="219"/>
      <c r="W17" s="219"/>
      <c r="X17" s="219"/>
      <c r="Y17" s="219"/>
      <c r="Z17" s="219"/>
    </row>
    <row r="18">
      <c r="A18" s="214"/>
      <c r="B18" s="215">
        <v>8.15</v>
      </c>
      <c r="C18" s="215" t="s">
        <v>256</v>
      </c>
      <c r="D18" s="215">
        <v>1.0</v>
      </c>
      <c r="E18" s="216">
        <f t="shared" si="1"/>
        <v>0.1226993865</v>
      </c>
      <c r="F18" s="217">
        <f t="shared" si="2"/>
        <v>12.26993865</v>
      </c>
      <c r="G18" s="215">
        <v>12.27</v>
      </c>
      <c r="H18" s="218"/>
      <c r="I18" s="219"/>
      <c r="J18" s="219"/>
      <c r="K18" s="219"/>
      <c r="L18" s="219"/>
      <c r="M18" s="219"/>
      <c r="N18" s="219"/>
      <c r="O18" s="219"/>
      <c r="P18" s="219"/>
      <c r="Q18" s="219"/>
      <c r="R18" s="219"/>
      <c r="S18" s="219"/>
      <c r="T18" s="219"/>
      <c r="U18" s="219"/>
      <c r="V18" s="219"/>
      <c r="W18" s="219"/>
      <c r="X18" s="219"/>
      <c r="Y18" s="219"/>
      <c r="Z18" s="219"/>
    </row>
    <row r="19">
      <c r="A19" s="221"/>
      <c r="B19" s="215">
        <v>5.62</v>
      </c>
      <c r="C19" s="215" t="s">
        <v>256</v>
      </c>
      <c r="D19" s="215">
        <v>1.0</v>
      </c>
      <c r="E19" s="216">
        <f t="shared" si="1"/>
        <v>0.1779359431</v>
      </c>
      <c r="F19" s="217">
        <f t="shared" si="2"/>
        <v>17.79359431</v>
      </c>
      <c r="G19" s="215">
        <v>17.79</v>
      </c>
      <c r="H19" s="218"/>
      <c r="I19" s="219"/>
      <c r="J19" s="219"/>
      <c r="K19" s="219"/>
      <c r="L19" s="219"/>
      <c r="M19" s="219"/>
      <c r="N19" s="219"/>
      <c r="O19" s="219"/>
      <c r="P19" s="219"/>
      <c r="Q19" s="219"/>
      <c r="R19" s="219"/>
      <c r="S19" s="219"/>
      <c r="T19" s="219"/>
      <c r="U19" s="219"/>
      <c r="V19" s="219"/>
      <c r="W19" s="219"/>
      <c r="X19" s="219"/>
      <c r="Y19" s="219"/>
      <c r="Z19" s="219"/>
    </row>
    <row r="20">
      <c r="A20" s="214"/>
      <c r="B20" s="215">
        <v>3.18</v>
      </c>
      <c r="C20" s="215" t="s">
        <v>256</v>
      </c>
      <c r="D20" s="215">
        <v>1.0</v>
      </c>
      <c r="E20" s="216">
        <f t="shared" si="1"/>
        <v>0.3144654088</v>
      </c>
      <c r="F20" s="217">
        <f t="shared" si="2"/>
        <v>31.44654088</v>
      </c>
      <c r="G20" s="215">
        <v>20.0</v>
      </c>
      <c r="H20" s="218"/>
      <c r="I20" s="219"/>
      <c r="J20" s="219"/>
      <c r="K20" s="219"/>
      <c r="L20" s="219"/>
      <c r="M20" s="219"/>
      <c r="N20" s="219"/>
      <c r="O20" s="219"/>
      <c r="P20" s="219"/>
      <c r="Q20" s="219"/>
      <c r="R20" s="219"/>
      <c r="S20" s="219"/>
      <c r="T20" s="219"/>
      <c r="U20" s="219"/>
      <c r="V20" s="219"/>
      <c r="W20" s="219"/>
      <c r="X20" s="219"/>
      <c r="Y20" s="219"/>
      <c r="Z20" s="219"/>
    </row>
    <row r="21">
      <c r="A21" s="221"/>
      <c r="B21" s="215">
        <v>91.92</v>
      </c>
      <c r="C21" s="215" t="s">
        <v>256</v>
      </c>
      <c r="D21" s="215">
        <v>1.0</v>
      </c>
      <c r="E21" s="216">
        <f t="shared" si="1"/>
        <v>0.01087902524</v>
      </c>
      <c r="F21" s="217">
        <f t="shared" si="2"/>
        <v>1.087902524</v>
      </c>
      <c r="G21" s="215">
        <v>1.09</v>
      </c>
      <c r="H21" s="218"/>
      <c r="I21" s="219"/>
      <c r="J21" s="219"/>
      <c r="K21" s="219"/>
      <c r="L21" s="219"/>
      <c r="M21" s="219"/>
      <c r="N21" s="219"/>
      <c r="O21" s="219"/>
      <c r="P21" s="219"/>
      <c r="Q21" s="219"/>
      <c r="R21" s="219"/>
      <c r="S21" s="219"/>
      <c r="T21" s="219"/>
      <c r="U21" s="219"/>
      <c r="V21" s="219"/>
      <c r="W21" s="219"/>
      <c r="X21" s="219"/>
      <c r="Y21" s="219"/>
      <c r="Z21" s="219"/>
    </row>
    <row r="22">
      <c r="A22" s="221"/>
      <c r="B22" s="215">
        <v>26.26</v>
      </c>
      <c r="C22" s="215" t="s">
        <v>256</v>
      </c>
      <c r="D22" s="215">
        <v>1.0</v>
      </c>
      <c r="E22" s="216">
        <f t="shared" si="1"/>
        <v>0.03808073115</v>
      </c>
      <c r="F22" s="217">
        <f t="shared" si="2"/>
        <v>3.808073115</v>
      </c>
      <c r="G22" s="215">
        <v>3.81</v>
      </c>
      <c r="H22" s="218"/>
      <c r="I22" s="219"/>
      <c r="J22" s="219"/>
      <c r="K22" s="219"/>
      <c r="L22" s="219"/>
      <c r="M22" s="219"/>
      <c r="N22" s="219"/>
      <c r="O22" s="219"/>
      <c r="P22" s="219"/>
      <c r="Q22" s="219"/>
      <c r="R22" s="219"/>
      <c r="S22" s="219"/>
      <c r="T22" s="219"/>
      <c r="U22" s="219"/>
      <c r="V22" s="219"/>
      <c r="W22" s="219"/>
      <c r="X22" s="219"/>
      <c r="Y22" s="219"/>
      <c r="Z22" s="219"/>
    </row>
    <row r="23">
      <c r="A23" s="221"/>
      <c r="B23" s="215">
        <v>43.15</v>
      </c>
      <c r="C23" s="215" t="s">
        <v>256</v>
      </c>
      <c r="D23" s="215">
        <v>1.0</v>
      </c>
      <c r="E23" s="216">
        <f t="shared" si="1"/>
        <v>0.02317497103</v>
      </c>
      <c r="F23" s="217">
        <f t="shared" si="2"/>
        <v>2.317497103</v>
      </c>
      <c r="G23" s="215">
        <v>2.32</v>
      </c>
      <c r="H23" s="218"/>
      <c r="I23" s="219"/>
      <c r="J23" s="219"/>
      <c r="K23" s="219"/>
      <c r="L23" s="219"/>
      <c r="M23" s="219"/>
      <c r="N23" s="219"/>
      <c r="O23" s="219"/>
      <c r="P23" s="219"/>
      <c r="Q23" s="219"/>
      <c r="R23" s="219"/>
      <c r="S23" s="219"/>
      <c r="T23" s="219"/>
      <c r="U23" s="219"/>
      <c r="V23" s="219"/>
      <c r="W23" s="219"/>
      <c r="X23" s="219"/>
      <c r="Y23" s="219"/>
      <c r="Z23" s="219"/>
    </row>
    <row r="24">
      <c r="A24" s="214"/>
      <c r="B24" s="215">
        <v>2.01</v>
      </c>
      <c r="C24" s="215" t="s">
        <v>256</v>
      </c>
      <c r="D24" s="215">
        <v>1.0</v>
      </c>
      <c r="E24" s="216">
        <f t="shared" si="1"/>
        <v>0.4975124378</v>
      </c>
      <c r="F24" s="217">
        <f t="shared" si="2"/>
        <v>49.75124378</v>
      </c>
      <c r="G24" s="215">
        <v>20.0</v>
      </c>
      <c r="H24" s="218"/>
      <c r="I24" s="219"/>
      <c r="J24" s="219"/>
      <c r="K24" s="219"/>
      <c r="L24" s="219"/>
      <c r="M24" s="219"/>
      <c r="N24" s="219"/>
      <c r="O24" s="219"/>
      <c r="P24" s="219"/>
      <c r="Q24" s="219"/>
      <c r="R24" s="219"/>
      <c r="S24" s="219"/>
      <c r="T24" s="219"/>
      <c r="U24" s="219"/>
      <c r="V24" s="219"/>
      <c r="W24" s="219"/>
      <c r="X24" s="219"/>
      <c r="Y24" s="219"/>
      <c r="Z24" s="219"/>
    </row>
    <row r="25">
      <c r="A25" s="221"/>
      <c r="B25" s="215">
        <v>6.57</v>
      </c>
      <c r="C25" s="215" t="s">
        <v>256</v>
      </c>
      <c r="D25" s="215">
        <v>1.0</v>
      </c>
      <c r="E25" s="216">
        <f t="shared" si="1"/>
        <v>0.1522070015</v>
      </c>
      <c r="F25" s="217">
        <f t="shared" si="2"/>
        <v>15.22070015</v>
      </c>
      <c r="G25" s="215">
        <v>15.22</v>
      </c>
      <c r="H25" s="218"/>
      <c r="I25" s="219"/>
      <c r="J25" s="219"/>
      <c r="K25" s="219"/>
      <c r="L25" s="219"/>
      <c r="M25" s="219"/>
      <c r="N25" s="219"/>
      <c r="O25" s="219"/>
      <c r="P25" s="219"/>
      <c r="Q25" s="219"/>
      <c r="R25" s="219"/>
      <c r="S25" s="219"/>
      <c r="T25" s="219"/>
      <c r="U25" s="219"/>
      <c r="V25" s="219"/>
      <c r="W25" s="219"/>
      <c r="X25" s="219"/>
      <c r="Y25" s="219"/>
      <c r="Z25" s="219"/>
    </row>
    <row r="26">
      <c r="A26" s="221"/>
      <c r="B26" s="215">
        <v>16.97</v>
      </c>
      <c r="C26" s="215" t="s">
        <v>256</v>
      </c>
      <c r="D26" s="215">
        <v>1.0</v>
      </c>
      <c r="E26" s="216">
        <f t="shared" si="1"/>
        <v>0.05892751915</v>
      </c>
      <c r="F26" s="217">
        <f t="shared" si="2"/>
        <v>5.892751915</v>
      </c>
      <c r="G26" s="215">
        <v>5.89</v>
      </c>
      <c r="H26" s="218"/>
      <c r="I26" s="219"/>
      <c r="J26" s="219"/>
      <c r="K26" s="219"/>
      <c r="L26" s="219"/>
      <c r="M26" s="219"/>
      <c r="N26" s="219"/>
      <c r="O26" s="219"/>
      <c r="P26" s="219"/>
      <c r="Q26" s="219"/>
      <c r="R26" s="219"/>
      <c r="S26" s="219"/>
      <c r="T26" s="219"/>
      <c r="U26" s="219"/>
      <c r="V26" s="219"/>
      <c r="W26" s="219"/>
      <c r="X26" s="219"/>
      <c r="Y26" s="219"/>
      <c r="Z26" s="219"/>
    </row>
    <row r="27">
      <c r="A27" s="214"/>
      <c r="B27" s="215">
        <v>30.74</v>
      </c>
      <c r="C27" s="215" t="s">
        <v>256</v>
      </c>
      <c r="D27" s="215">
        <v>1.0</v>
      </c>
      <c r="E27" s="216">
        <f t="shared" si="1"/>
        <v>0.03253090436</v>
      </c>
      <c r="F27" s="217">
        <f t="shared" si="2"/>
        <v>3.253090436</v>
      </c>
      <c r="G27" s="215">
        <v>3.25</v>
      </c>
      <c r="H27" s="218"/>
      <c r="I27" s="219"/>
      <c r="J27" s="219"/>
      <c r="K27" s="219"/>
      <c r="L27" s="219"/>
      <c r="M27" s="219"/>
      <c r="N27" s="219"/>
      <c r="O27" s="219"/>
      <c r="P27" s="219"/>
      <c r="Q27" s="219"/>
      <c r="R27" s="219"/>
      <c r="S27" s="219"/>
      <c r="T27" s="219"/>
      <c r="U27" s="219"/>
      <c r="V27" s="219"/>
      <c r="W27" s="219"/>
      <c r="X27" s="219"/>
      <c r="Y27" s="219"/>
      <c r="Z27" s="219"/>
    </row>
    <row r="28">
      <c r="A28" s="214"/>
      <c r="B28" s="215">
        <v>3.84</v>
      </c>
      <c r="C28" s="215" t="s">
        <v>256</v>
      </c>
      <c r="D28" s="215">
        <v>1.0</v>
      </c>
      <c r="E28" s="216">
        <f t="shared" si="1"/>
        <v>0.2604166667</v>
      </c>
      <c r="F28" s="217">
        <f t="shared" si="2"/>
        <v>26.04166667</v>
      </c>
      <c r="G28" s="215">
        <v>20.0</v>
      </c>
      <c r="H28" s="218"/>
      <c r="I28" s="219"/>
      <c r="J28" s="219"/>
      <c r="K28" s="219"/>
      <c r="L28" s="219"/>
      <c r="M28" s="219"/>
      <c r="N28" s="219"/>
      <c r="O28" s="219"/>
      <c r="P28" s="219"/>
      <c r="Q28" s="219"/>
      <c r="R28" s="219"/>
      <c r="S28" s="219"/>
      <c r="T28" s="219"/>
      <c r="U28" s="219"/>
      <c r="V28" s="219"/>
      <c r="W28" s="219"/>
      <c r="X28" s="219"/>
      <c r="Y28" s="219"/>
      <c r="Z28" s="219"/>
    </row>
    <row r="29">
      <c r="A29" s="214"/>
      <c r="B29" s="215">
        <v>0.44</v>
      </c>
      <c r="C29" s="215" t="s">
        <v>256</v>
      </c>
      <c r="D29" s="215">
        <v>1.0</v>
      </c>
      <c r="E29" s="216">
        <f t="shared" si="1"/>
        <v>2.272727273</v>
      </c>
      <c r="F29" s="217">
        <f t="shared" si="2"/>
        <v>227.2727273</v>
      </c>
      <c r="G29" s="215">
        <v>20.0</v>
      </c>
      <c r="H29" s="218"/>
      <c r="I29" s="219"/>
      <c r="J29" s="219"/>
      <c r="K29" s="219"/>
      <c r="L29" s="219"/>
      <c r="M29" s="219"/>
      <c r="N29" s="219"/>
      <c r="O29" s="219"/>
      <c r="P29" s="219"/>
      <c r="Q29" s="219"/>
      <c r="R29" s="219"/>
      <c r="S29" s="219"/>
      <c r="T29" s="219"/>
      <c r="U29" s="219"/>
      <c r="V29" s="219"/>
      <c r="W29" s="219"/>
      <c r="X29" s="219"/>
      <c r="Y29" s="219"/>
      <c r="Z29" s="219"/>
    </row>
    <row r="30">
      <c r="A30" s="221"/>
      <c r="B30" s="215">
        <v>9.76</v>
      </c>
      <c r="C30" s="215" t="s">
        <v>256</v>
      </c>
      <c r="D30" s="215">
        <v>1.0</v>
      </c>
      <c r="E30" s="216">
        <f t="shared" si="1"/>
        <v>0.1024590164</v>
      </c>
      <c r="F30" s="217">
        <f t="shared" si="2"/>
        <v>10.24590164</v>
      </c>
      <c r="G30" s="215">
        <v>10.25</v>
      </c>
      <c r="H30" s="218"/>
      <c r="I30" s="219"/>
      <c r="J30" s="219"/>
      <c r="K30" s="219"/>
      <c r="L30" s="219"/>
      <c r="M30" s="219"/>
      <c r="N30" s="219"/>
      <c r="O30" s="219"/>
      <c r="P30" s="219"/>
      <c r="Q30" s="219"/>
      <c r="R30" s="219"/>
      <c r="S30" s="219"/>
      <c r="T30" s="219"/>
      <c r="U30" s="219"/>
      <c r="V30" s="219"/>
      <c r="W30" s="219"/>
      <c r="X30" s="219"/>
      <c r="Y30" s="219"/>
      <c r="Z30" s="219"/>
    </row>
    <row r="31">
      <c r="A31" s="214"/>
      <c r="B31" s="215">
        <v>16.36</v>
      </c>
      <c r="C31" s="215" t="s">
        <v>256</v>
      </c>
      <c r="D31" s="215">
        <v>1.0</v>
      </c>
      <c r="E31" s="216">
        <f t="shared" si="1"/>
        <v>0.06112469438</v>
      </c>
      <c r="F31" s="217">
        <f t="shared" si="2"/>
        <v>6.112469438</v>
      </c>
      <c r="G31" s="215">
        <v>6.11</v>
      </c>
      <c r="H31" s="218"/>
      <c r="I31" s="219"/>
      <c r="J31" s="219"/>
      <c r="K31" s="219"/>
      <c r="L31" s="219"/>
      <c r="M31" s="219"/>
      <c r="N31" s="219"/>
      <c r="O31" s="219"/>
      <c r="P31" s="219"/>
      <c r="Q31" s="219"/>
      <c r="R31" s="219"/>
      <c r="S31" s="219"/>
      <c r="T31" s="219"/>
      <c r="U31" s="219"/>
      <c r="V31" s="219"/>
      <c r="W31" s="219"/>
      <c r="X31" s="219"/>
      <c r="Y31" s="219"/>
      <c r="Z31" s="219"/>
    </row>
    <row r="32">
      <c r="A32" s="221"/>
      <c r="B32" s="215">
        <v>144.24</v>
      </c>
      <c r="C32" s="215" t="s">
        <v>256</v>
      </c>
      <c r="D32" s="215">
        <v>2.0</v>
      </c>
      <c r="E32" s="216">
        <f t="shared" si="1"/>
        <v>0.01386577926</v>
      </c>
      <c r="F32" s="217">
        <f t="shared" si="2"/>
        <v>1.386577926</v>
      </c>
      <c r="G32" s="215">
        <v>1.39</v>
      </c>
      <c r="H32" s="218"/>
      <c r="I32" s="219"/>
      <c r="J32" s="219"/>
      <c r="K32" s="219"/>
      <c r="L32" s="219"/>
      <c r="M32" s="219"/>
      <c r="N32" s="219"/>
      <c r="O32" s="219"/>
      <c r="P32" s="219"/>
      <c r="Q32" s="219"/>
      <c r="R32" s="219"/>
      <c r="S32" s="219"/>
      <c r="T32" s="219"/>
      <c r="U32" s="219"/>
      <c r="V32" s="219"/>
      <c r="W32" s="219"/>
      <c r="X32" s="219"/>
      <c r="Y32" s="219"/>
      <c r="Z32" s="219"/>
    </row>
    <row r="33">
      <c r="A33" s="221"/>
      <c r="B33" s="215">
        <v>26.46</v>
      </c>
      <c r="C33" s="215" t="s">
        <v>256</v>
      </c>
      <c r="D33" s="215">
        <v>1.0</v>
      </c>
      <c r="E33" s="216">
        <f t="shared" si="1"/>
        <v>0.03779289494</v>
      </c>
      <c r="F33" s="217">
        <f t="shared" si="2"/>
        <v>3.779289494</v>
      </c>
      <c r="G33" s="215">
        <v>3.78</v>
      </c>
      <c r="H33" s="218"/>
      <c r="I33" s="219"/>
      <c r="J33" s="219"/>
      <c r="K33" s="219"/>
      <c r="L33" s="219"/>
      <c r="M33" s="219"/>
      <c r="N33" s="219"/>
      <c r="O33" s="219"/>
      <c r="P33" s="219"/>
      <c r="Q33" s="219"/>
      <c r="R33" s="219"/>
      <c r="S33" s="219"/>
      <c r="T33" s="219"/>
      <c r="U33" s="219"/>
      <c r="V33" s="219"/>
      <c r="W33" s="219"/>
      <c r="X33" s="219"/>
      <c r="Y33" s="219"/>
      <c r="Z33" s="219"/>
    </row>
    <row r="34">
      <c r="A34" s="221"/>
      <c r="B34" s="215">
        <v>56.97</v>
      </c>
      <c r="C34" s="215" t="s">
        <v>256</v>
      </c>
      <c r="D34" s="215">
        <v>1.0</v>
      </c>
      <c r="E34" s="216">
        <f t="shared" si="1"/>
        <v>0.01755309812</v>
      </c>
      <c r="F34" s="217">
        <f t="shared" si="2"/>
        <v>1.755309812</v>
      </c>
      <c r="G34" s="215">
        <v>1.76</v>
      </c>
      <c r="H34" s="218"/>
      <c r="I34" s="219"/>
      <c r="J34" s="219"/>
      <c r="K34" s="219"/>
      <c r="L34" s="219"/>
      <c r="M34" s="219"/>
      <c r="N34" s="219"/>
      <c r="O34" s="219"/>
      <c r="P34" s="219"/>
      <c r="Q34" s="219"/>
      <c r="R34" s="219"/>
      <c r="S34" s="219"/>
      <c r="T34" s="219"/>
      <c r="U34" s="219"/>
      <c r="V34" s="219"/>
      <c r="W34" s="219"/>
      <c r="X34" s="219"/>
      <c r="Y34" s="219"/>
      <c r="Z34" s="219"/>
    </row>
    <row r="35">
      <c r="A35" s="214"/>
      <c r="B35" s="215">
        <v>7.41</v>
      </c>
      <c r="C35" s="215" t="s">
        <v>256</v>
      </c>
      <c r="D35" s="215">
        <v>1.0</v>
      </c>
      <c r="E35" s="216">
        <f t="shared" si="1"/>
        <v>0.1349527665</v>
      </c>
      <c r="F35" s="217">
        <f t="shared" si="2"/>
        <v>13.49527665</v>
      </c>
      <c r="G35" s="215">
        <v>13.5</v>
      </c>
      <c r="H35" s="218"/>
      <c r="I35" s="219"/>
      <c r="J35" s="219"/>
      <c r="K35" s="219"/>
      <c r="L35" s="219"/>
      <c r="M35" s="219"/>
      <c r="N35" s="219"/>
      <c r="O35" s="219"/>
      <c r="P35" s="219"/>
      <c r="Q35" s="219"/>
      <c r="R35" s="219"/>
      <c r="S35" s="219"/>
      <c r="T35" s="219"/>
      <c r="U35" s="219"/>
      <c r="V35" s="219"/>
      <c r="W35" s="219"/>
      <c r="X35" s="219"/>
      <c r="Y35" s="219"/>
      <c r="Z35" s="219"/>
    </row>
    <row r="36">
      <c r="A36" s="221"/>
      <c r="B36" s="215">
        <v>92.12</v>
      </c>
      <c r="C36" s="215" t="s">
        <v>256</v>
      </c>
      <c r="D36" s="215">
        <v>1.0</v>
      </c>
      <c r="E36" s="216">
        <f t="shared" si="1"/>
        <v>0.01085540599</v>
      </c>
      <c r="F36" s="217">
        <f t="shared" si="2"/>
        <v>1.085540599</v>
      </c>
      <c r="G36" s="215">
        <v>1.09</v>
      </c>
      <c r="H36" s="218"/>
      <c r="I36" s="219"/>
      <c r="J36" s="219"/>
      <c r="K36" s="219"/>
      <c r="L36" s="219"/>
      <c r="M36" s="219"/>
      <c r="N36" s="219"/>
      <c r="O36" s="219"/>
      <c r="P36" s="219"/>
      <c r="Q36" s="219"/>
      <c r="R36" s="219"/>
      <c r="S36" s="219"/>
      <c r="T36" s="219"/>
      <c r="U36" s="219"/>
      <c r="V36" s="219"/>
      <c r="W36" s="219"/>
      <c r="X36" s="219"/>
      <c r="Y36" s="219"/>
      <c r="Z36" s="219"/>
    </row>
    <row r="37">
      <c r="A37" s="214"/>
      <c r="B37" s="215">
        <v>59.19</v>
      </c>
      <c r="C37" s="215" t="s">
        <v>256</v>
      </c>
      <c r="D37" s="215">
        <v>1.0</v>
      </c>
      <c r="E37" s="216">
        <f t="shared" si="1"/>
        <v>0.01689474573</v>
      </c>
      <c r="F37" s="217">
        <f t="shared" si="2"/>
        <v>1.689474573</v>
      </c>
      <c r="G37" s="215">
        <v>1.69</v>
      </c>
      <c r="H37" s="218"/>
      <c r="I37" s="219"/>
      <c r="J37" s="219"/>
      <c r="K37" s="219"/>
      <c r="L37" s="219"/>
      <c r="M37" s="219"/>
      <c r="N37" s="219"/>
      <c r="O37" s="219"/>
      <c r="P37" s="219"/>
      <c r="Q37" s="219"/>
      <c r="R37" s="219"/>
      <c r="S37" s="219"/>
      <c r="T37" s="219"/>
      <c r="U37" s="219"/>
      <c r="V37" s="219"/>
      <c r="W37" s="219"/>
      <c r="X37" s="219"/>
      <c r="Y37" s="219"/>
      <c r="Z37" s="219"/>
    </row>
    <row r="38">
      <c r="A38" s="221"/>
      <c r="B38" s="215">
        <v>14.61</v>
      </c>
      <c r="C38" s="215" t="s">
        <v>256</v>
      </c>
      <c r="D38" s="215">
        <v>1.0</v>
      </c>
      <c r="E38" s="216">
        <f t="shared" si="1"/>
        <v>0.06844626968</v>
      </c>
      <c r="F38" s="217">
        <f t="shared" si="2"/>
        <v>6.844626968</v>
      </c>
      <c r="G38" s="215">
        <v>6.84</v>
      </c>
      <c r="H38" s="218"/>
      <c r="I38" s="219"/>
      <c r="J38" s="219"/>
      <c r="K38" s="219"/>
      <c r="L38" s="219"/>
      <c r="M38" s="219"/>
      <c r="N38" s="219"/>
      <c r="O38" s="219"/>
      <c r="P38" s="219"/>
      <c r="Q38" s="219"/>
      <c r="R38" s="219"/>
      <c r="S38" s="219"/>
      <c r="T38" s="219"/>
      <c r="U38" s="219"/>
      <c r="V38" s="219"/>
      <c r="W38" s="219"/>
      <c r="X38" s="219"/>
      <c r="Y38" s="219"/>
      <c r="Z38" s="219"/>
    </row>
    <row r="39">
      <c r="A39" s="221"/>
      <c r="B39" s="215">
        <v>10.44</v>
      </c>
      <c r="C39" s="215" t="s">
        <v>256</v>
      </c>
      <c r="D39" s="215">
        <v>1.0</v>
      </c>
      <c r="E39" s="216">
        <f t="shared" si="1"/>
        <v>0.09578544061</v>
      </c>
      <c r="F39" s="217">
        <f t="shared" si="2"/>
        <v>9.578544061</v>
      </c>
      <c r="G39" s="215">
        <v>9.58</v>
      </c>
      <c r="H39" s="218"/>
      <c r="I39" s="219"/>
      <c r="J39" s="219"/>
      <c r="K39" s="219"/>
      <c r="L39" s="219"/>
      <c r="M39" s="219"/>
      <c r="N39" s="219"/>
      <c r="O39" s="219"/>
      <c r="P39" s="219"/>
      <c r="Q39" s="219"/>
      <c r="R39" s="219"/>
      <c r="S39" s="219"/>
      <c r="T39" s="219"/>
      <c r="U39" s="219"/>
      <c r="V39" s="219"/>
      <c r="W39" s="219"/>
      <c r="X39" s="219"/>
      <c r="Y39" s="219"/>
      <c r="Z39" s="219"/>
    </row>
    <row r="40">
      <c r="A40" s="221"/>
      <c r="B40" s="215">
        <v>4.58</v>
      </c>
      <c r="C40" s="215" t="s">
        <v>256</v>
      </c>
      <c r="D40" s="215">
        <v>1.0</v>
      </c>
      <c r="E40" s="216">
        <f t="shared" si="1"/>
        <v>0.2183406114</v>
      </c>
      <c r="F40" s="217">
        <f t="shared" si="2"/>
        <v>21.83406114</v>
      </c>
      <c r="G40" s="215">
        <v>20.0</v>
      </c>
      <c r="H40" s="218"/>
      <c r="I40" s="219"/>
      <c r="J40" s="219"/>
      <c r="K40" s="219"/>
      <c r="L40" s="219"/>
      <c r="M40" s="219"/>
      <c r="N40" s="219"/>
      <c r="O40" s="219"/>
      <c r="P40" s="219"/>
      <c r="Q40" s="219"/>
      <c r="R40" s="219"/>
      <c r="S40" s="219"/>
      <c r="T40" s="219"/>
      <c r="U40" s="219"/>
      <c r="V40" s="219"/>
      <c r="W40" s="219"/>
      <c r="X40" s="219"/>
      <c r="Y40" s="219"/>
      <c r="Z40" s="219"/>
    </row>
    <row r="41">
      <c r="A41" s="221"/>
      <c r="B41" s="215">
        <v>12.32</v>
      </c>
      <c r="C41" s="215" t="s">
        <v>256</v>
      </c>
      <c r="D41" s="215">
        <v>1.0</v>
      </c>
      <c r="E41" s="216">
        <f t="shared" si="1"/>
        <v>0.08116883117</v>
      </c>
      <c r="F41" s="217">
        <f t="shared" si="2"/>
        <v>8.116883117</v>
      </c>
      <c r="G41" s="215">
        <v>8.12</v>
      </c>
      <c r="H41" s="218"/>
      <c r="I41" s="219"/>
      <c r="J41" s="219"/>
      <c r="K41" s="219"/>
      <c r="L41" s="219"/>
      <c r="M41" s="219"/>
      <c r="N41" s="219"/>
      <c r="O41" s="219"/>
      <c r="P41" s="219"/>
      <c r="Q41" s="219"/>
      <c r="R41" s="219"/>
      <c r="S41" s="219"/>
      <c r="T41" s="219"/>
      <c r="U41" s="219"/>
      <c r="V41" s="219"/>
      <c r="W41" s="219"/>
      <c r="X41" s="219"/>
      <c r="Y41" s="219"/>
      <c r="Z41" s="219"/>
    </row>
    <row r="42">
      <c r="A42" s="221"/>
      <c r="B42" s="215">
        <v>83.33</v>
      </c>
      <c r="C42" s="215" t="s">
        <v>256</v>
      </c>
      <c r="D42" s="215">
        <v>1.0</v>
      </c>
      <c r="E42" s="216">
        <f t="shared" si="1"/>
        <v>0.01200048002</v>
      </c>
      <c r="F42" s="217">
        <f t="shared" si="2"/>
        <v>1.200048002</v>
      </c>
      <c r="G42" s="215">
        <v>1.2</v>
      </c>
      <c r="H42" s="218"/>
      <c r="I42" s="219"/>
      <c r="J42" s="219"/>
      <c r="K42" s="219"/>
      <c r="L42" s="219"/>
      <c r="M42" s="219"/>
      <c r="N42" s="219"/>
      <c r="O42" s="219"/>
      <c r="P42" s="219"/>
      <c r="Q42" s="219"/>
      <c r="R42" s="219"/>
      <c r="S42" s="219"/>
      <c r="T42" s="219"/>
      <c r="U42" s="219"/>
      <c r="V42" s="219"/>
      <c r="W42" s="219"/>
      <c r="X42" s="219"/>
      <c r="Y42" s="219"/>
      <c r="Z42" s="219"/>
    </row>
    <row r="43">
      <c r="A43" s="221"/>
      <c r="B43" s="215">
        <v>0.59</v>
      </c>
      <c r="C43" s="215" t="s">
        <v>256</v>
      </c>
      <c r="D43" s="215">
        <v>1.0</v>
      </c>
      <c r="E43" s="216">
        <f t="shared" si="1"/>
        <v>1.694915254</v>
      </c>
      <c r="F43" s="217">
        <f t="shared" si="2"/>
        <v>169.4915254</v>
      </c>
      <c r="G43" s="215">
        <v>20.0</v>
      </c>
      <c r="H43" s="218"/>
      <c r="I43" s="219"/>
      <c r="J43" s="219"/>
      <c r="K43" s="219"/>
      <c r="L43" s="219"/>
      <c r="M43" s="219"/>
      <c r="N43" s="219"/>
      <c r="O43" s="219"/>
      <c r="P43" s="219"/>
      <c r="Q43" s="219"/>
      <c r="R43" s="219"/>
      <c r="S43" s="219"/>
      <c r="T43" s="219"/>
      <c r="U43" s="219"/>
      <c r="V43" s="219"/>
      <c r="W43" s="219"/>
      <c r="X43" s="219"/>
      <c r="Y43" s="219"/>
      <c r="Z43" s="219"/>
    </row>
    <row r="44">
      <c r="A44" s="214"/>
      <c r="B44" s="215">
        <v>54.55</v>
      </c>
      <c r="C44" s="215" t="s">
        <v>256</v>
      </c>
      <c r="D44" s="215">
        <v>1.0</v>
      </c>
      <c r="E44" s="216">
        <f t="shared" si="1"/>
        <v>0.01833180568</v>
      </c>
      <c r="F44" s="217">
        <f t="shared" si="2"/>
        <v>1.833180568</v>
      </c>
      <c r="G44" s="215">
        <v>1.83</v>
      </c>
      <c r="H44" s="218"/>
      <c r="I44" s="219"/>
      <c r="J44" s="219"/>
      <c r="K44" s="219"/>
      <c r="L44" s="219"/>
      <c r="M44" s="219"/>
      <c r="N44" s="219"/>
      <c r="O44" s="219"/>
      <c r="P44" s="219"/>
      <c r="Q44" s="219"/>
      <c r="R44" s="219"/>
      <c r="S44" s="219"/>
      <c r="T44" s="219"/>
      <c r="U44" s="219"/>
      <c r="V44" s="219"/>
      <c r="W44" s="219"/>
      <c r="X44" s="219"/>
      <c r="Y44" s="219"/>
      <c r="Z44" s="219"/>
    </row>
    <row r="45">
      <c r="A45" s="214"/>
      <c r="B45" s="215">
        <v>2.61</v>
      </c>
      <c r="C45" s="215" t="s">
        <v>256</v>
      </c>
      <c r="D45" s="215">
        <v>1.0</v>
      </c>
      <c r="E45" s="216">
        <f t="shared" si="1"/>
        <v>0.3831417625</v>
      </c>
      <c r="F45" s="217">
        <f t="shared" si="2"/>
        <v>38.31417625</v>
      </c>
      <c r="G45" s="215">
        <v>20.0</v>
      </c>
      <c r="H45" s="218"/>
      <c r="I45" s="219"/>
      <c r="J45" s="219"/>
      <c r="K45" s="219"/>
      <c r="L45" s="219"/>
      <c r="M45" s="219"/>
      <c r="N45" s="219"/>
      <c r="O45" s="219"/>
      <c r="P45" s="219"/>
      <c r="Q45" s="219"/>
      <c r="R45" s="219"/>
      <c r="S45" s="219"/>
      <c r="T45" s="219"/>
      <c r="U45" s="219"/>
      <c r="V45" s="219"/>
      <c r="W45" s="219"/>
      <c r="X45" s="219"/>
      <c r="Y45" s="219"/>
      <c r="Z45" s="219"/>
    </row>
    <row r="46">
      <c r="A46" s="214"/>
      <c r="B46" s="215">
        <v>15.08</v>
      </c>
      <c r="C46" s="215" t="s">
        <v>256</v>
      </c>
      <c r="D46" s="215">
        <v>1.0</v>
      </c>
      <c r="E46" s="216">
        <f t="shared" si="1"/>
        <v>0.06631299735</v>
      </c>
      <c r="F46" s="217">
        <f t="shared" si="2"/>
        <v>6.631299735</v>
      </c>
      <c r="G46" s="215">
        <v>6.63</v>
      </c>
      <c r="H46" s="218"/>
      <c r="I46" s="219"/>
      <c r="J46" s="219"/>
      <c r="K46" s="219"/>
      <c r="L46" s="219"/>
      <c r="M46" s="219"/>
      <c r="N46" s="219"/>
      <c r="O46" s="219"/>
      <c r="P46" s="219"/>
      <c r="Q46" s="219"/>
      <c r="R46" s="219"/>
      <c r="S46" s="219"/>
      <c r="T46" s="219"/>
      <c r="U46" s="219"/>
      <c r="V46" s="219"/>
      <c r="W46" s="219"/>
      <c r="X46" s="219"/>
      <c r="Y46" s="219"/>
      <c r="Z46" s="219"/>
    </row>
    <row r="47">
      <c r="A47" s="221"/>
      <c r="B47" s="215">
        <v>21.55</v>
      </c>
      <c r="C47" s="215" t="s">
        <v>256</v>
      </c>
      <c r="D47" s="215">
        <v>1.0</v>
      </c>
      <c r="E47" s="216">
        <f t="shared" si="1"/>
        <v>0.0464037123</v>
      </c>
      <c r="F47" s="217">
        <f t="shared" si="2"/>
        <v>4.64037123</v>
      </c>
      <c r="G47" s="215">
        <v>4.64</v>
      </c>
      <c r="H47" s="218"/>
      <c r="I47" s="219"/>
      <c r="J47" s="219"/>
      <c r="K47" s="219"/>
      <c r="L47" s="219"/>
      <c r="M47" s="219"/>
      <c r="N47" s="219"/>
      <c r="O47" s="219"/>
      <c r="P47" s="219"/>
      <c r="Q47" s="219"/>
      <c r="R47" s="219"/>
      <c r="S47" s="219"/>
      <c r="T47" s="219"/>
      <c r="U47" s="219"/>
      <c r="V47" s="219"/>
      <c r="W47" s="219"/>
      <c r="X47" s="219"/>
      <c r="Y47" s="219"/>
      <c r="Z47" s="219"/>
    </row>
    <row r="48">
      <c r="A48" s="221"/>
      <c r="B48" s="215">
        <v>3.64</v>
      </c>
      <c r="C48" s="215" t="s">
        <v>256</v>
      </c>
      <c r="D48" s="215">
        <v>1.0</v>
      </c>
      <c r="E48" s="216">
        <f t="shared" si="1"/>
        <v>0.2747252747</v>
      </c>
      <c r="F48" s="217">
        <f t="shared" si="2"/>
        <v>27.47252747</v>
      </c>
      <c r="G48" s="215">
        <v>20.0</v>
      </c>
      <c r="H48" s="218"/>
      <c r="I48" s="219"/>
      <c r="J48" s="219"/>
      <c r="K48" s="219"/>
      <c r="L48" s="219"/>
      <c r="M48" s="219"/>
      <c r="N48" s="219"/>
      <c r="O48" s="219"/>
      <c r="P48" s="219"/>
      <c r="Q48" s="219"/>
      <c r="R48" s="219"/>
      <c r="S48" s="219"/>
      <c r="T48" s="219"/>
      <c r="U48" s="219"/>
      <c r="V48" s="219"/>
      <c r="W48" s="219"/>
      <c r="X48" s="219"/>
      <c r="Y48" s="219"/>
      <c r="Z48" s="219"/>
    </row>
    <row r="49">
      <c r="A49" s="214"/>
      <c r="B49" s="215">
        <v>7.34</v>
      </c>
      <c r="C49" s="215" t="s">
        <v>256</v>
      </c>
      <c r="D49" s="215">
        <v>1.0</v>
      </c>
      <c r="E49" s="216">
        <f t="shared" si="1"/>
        <v>0.136239782</v>
      </c>
      <c r="F49" s="217">
        <f t="shared" si="2"/>
        <v>13.6239782</v>
      </c>
      <c r="G49" s="215">
        <v>13.62</v>
      </c>
      <c r="H49" s="218"/>
      <c r="I49" s="219"/>
      <c r="J49" s="219"/>
      <c r="K49" s="219"/>
      <c r="L49" s="219"/>
      <c r="M49" s="219"/>
      <c r="N49" s="219"/>
      <c r="O49" s="219"/>
      <c r="P49" s="219"/>
      <c r="Q49" s="219"/>
      <c r="R49" s="219"/>
      <c r="S49" s="219"/>
      <c r="T49" s="219"/>
      <c r="U49" s="219"/>
      <c r="V49" s="219"/>
      <c r="W49" s="219"/>
      <c r="X49" s="219"/>
      <c r="Y49" s="219"/>
      <c r="Z49" s="219"/>
    </row>
    <row r="50">
      <c r="A50" s="221"/>
      <c r="B50" s="215">
        <v>14.68</v>
      </c>
      <c r="C50" s="215" t="s">
        <v>256</v>
      </c>
      <c r="D50" s="215">
        <v>1.0</v>
      </c>
      <c r="E50" s="216">
        <f t="shared" si="1"/>
        <v>0.06811989101</v>
      </c>
      <c r="F50" s="217">
        <f t="shared" si="2"/>
        <v>6.811989101</v>
      </c>
      <c r="G50" s="215">
        <v>6.81</v>
      </c>
      <c r="H50" s="218"/>
      <c r="I50" s="219"/>
      <c r="J50" s="219"/>
      <c r="K50" s="219"/>
      <c r="L50" s="219"/>
      <c r="M50" s="219"/>
      <c r="N50" s="219"/>
      <c r="O50" s="219"/>
      <c r="P50" s="219"/>
      <c r="Q50" s="219"/>
      <c r="R50" s="219"/>
      <c r="S50" s="219"/>
      <c r="T50" s="219"/>
      <c r="U50" s="219"/>
      <c r="V50" s="219"/>
      <c r="W50" s="219"/>
      <c r="X50" s="219"/>
      <c r="Y50" s="219"/>
      <c r="Z50" s="219"/>
    </row>
    <row r="51">
      <c r="A51" s="214"/>
      <c r="B51" s="215">
        <v>13.74</v>
      </c>
      <c r="C51" s="215" t="s">
        <v>256</v>
      </c>
      <c r="D51" s="215">
        <v>1.0</v>
      </c>
      <c r="E51" s="216">
        <f t="shared" si="1"/>
        <v>0.07278020378</v>
      </c>
      <c r="F51" s="217">
        <f t="shared" si="2"/>
        <v>7.278020378</v>
      </c>
      <c r="G51" s="215">
        <v>7.28</v>
      </c>
      <c r="H51" s="218"/>
      <c r="I51" s="219"/>
      <c r="J51" s="219"/>
      <c r="K51" s="219"/>
      <c r="L51" s="219"/>
      <c r="M51" s="219"/>
      <c r="N51" s="219"/>
      <c r="O51" s="219"/>
      <c r="P51" s="219"/>
      <c r="Q51" s="219"/>
      <c r="R51" s="219"/>
      <c r="S51" s="219"/>
      <c r="T51" s="219"/>
      <c r="U51" s="219"/>
      <c r="V51" s="219"/>
      <c r="W51" s="219"/>
      <c r="X51" s="219"/>
      <c r="Y51" s="219"/>
      <c r="Z51" s="219"/>
    </row>
    <row r="52">
      <c r="A52" s="221"/>
      <c r="B52" s="215">
        <v>110.1</v>
      </c>
      <c r="C52" s="215" t="s">
        <v>256</v>
      </c>
      <c r="D52" s="215">
        <v>2.0</v>
      </c>
      <c r="E52" s="216">
        <f t="shared" si="1"/>
        <v>0.01816530427</v>
      </c>
      <c r="F52" s="217">
        <f t="shared" si="2"/>
        <v>1.816530427</v>
      </c>
      <c r="G52" s="215">
        <v>1.82</v>
      </c>
      <c r="H52" s="218"/>
      <c r="I52" s="219"/>
      <c r="J52" s="219"/>
      <c r="K52" s="219"/>
      <c r="L52" s="219"/>
      <c r="M52" s="219"/>
      <c r="N52" s="219"/>
      <c r="O52" s="219"/>
      <c r="P52" s="219"/>
      <c r="Q52" s="219"/>
      <c r="R52" s="219"/>
      <c r="S52" s="219"/>
      <c r="T52" s="219"/>
      <c r="U52" s="219"/>
      <c r="V52" s="219"/>
      <c r="W52" s="219"/>
      <c r="X52" s="219"/>
      <c r="Y52" s="219"/>
      <c r="Z52" s="219"/>
    </row>
    <row r="53">
      <c r="A53" s="214"/>
      <c r="B53" s="215">
        <v>6.03</v>
      </c>
      <c r="C53" s="215" t="s">
        <v>256</v>
      </c>
      <c r="D53" s="215">
        <v>1.0</v>
      </c>
      <c r="E53" s="216">
        <f t="shared" si="1"/>
        <v>0.1658374793</v>
      </c>
      <c r="F53" s="217">
        <f t="shared" si="2"/>
        <v>16.58374793</v>
      </c>
      <c r="G53" s="215">
        <v>16.58</v>
      </c>
      <c r="H53" s="218"/>
      <c r="I53" s="219"/>
      <c r="J53" s="219"/>
      <c r="K53" s="219"/>
      <c r="L53" s="219"/>
      <c r="M53" s="219"/>
      <c r="N53" s="219"/>
      <c r="O53" s="219"/>
      <c r="P53" s="219"/>
      <c r="Q53" s="219"/>
      <c r="R53" s="219"/>
      <c r="S53" s="219"/>
      <c r="T53" s="219"/>
      <c r="U53" s="219"/>
      <c r="V53" s="219"/>
      <c r="W53" s="219"/>
      <c r="X53" s="219"/>
      <c r="Y53" s="219"/>
      <c r="Z53" s="219"/>
    </row>
    <row r="54">
      <c r="A54" s="214"/>
      <c r="B54" s="215">
        <v>8.22</v>
      </c>
      <c r="C54" s="215" t="s">
        <v>256</v>
      </c>
      <c r="D54" s="215">
        <v>1.0</v>
      </c>
      <c r="E54" s="216">
        <f t="shared" si="1"/>
        <v>0.1216545012</v>
      </c>
      <c r="F54" s="217">
        <f t="shared" si="2"/>
        <v>12.16545012</v>
      </c>
      <c r="G54" s="215">
        <v>12.17</v>
      </c>
      <c r="H54" s="218"/>
      <c r="I54" s="219"/>
      <c r="J54" s="219"/>
      <c r="K54" s="219"/>
      <c r="L54" s="219"/>
      <c r="M54" s="219"/>
      <c r="N54" s="219"/>
      <c r="O54" s="219"/>
      <c r="P54" s="219"/>
      <c r="Q54" s="219"/>
      <c r="R54" s="219"/>
      <c r="S54" s="219"/>
      <c r="T54" s="219"/>
      <c r="U54" s="219"/>
      <c r="V54" s="219"/>
      <c r="W54" s="219"/>
      <c r="X54" s="219"/>
      <c r="Y54" s="219"/>
      <c r="Z54" s="219"/>
    </row>
    <row r="55">
      <c r="A55" s="221"/>
      <c r="B55" s="215">
        <v>35.96</v>
      </c>
      <c r="C55" s="215" t="s">
        <v>256</v>
      </c>
      <c r="D55" s="215">
        <v>1.0</v>
      </c>
      <c r="E55" s="216">
        <f t="shared" si="1"/>
        <v>0.02780867631</v>
      </c>
      <c r="F55" s="217">
        <f t="shared" si="2"/>
        <v>2.780867631</v>
      </c>
      <c r="G55" s="215">
        <v>2.78</v>
      </c>
      <c r="H55" s="218"/>
      <c r="I55" s="219"/>
      <c r="J55" s="219"/>
      <c r="K55" s="219"/>
      <c r="L55" s="219"/>
      <c r="M55" s="219"/>
      <c r="N55" s="219"/>
      <c r="O55" s="219"/>
      <c r="P55" s="219"/>
      <c r="Q55" s="219"/>
      <c r="R55" s="219"/>
      <c r="S55" s="219"/>
      <c r="T55" s="219"/>
      <c r="U55" s="219"/>
      <c r="V55" s="219"/>
      <c r="W55" s="219"/>
      <c r="X55" s="219"/>
      <c r="Y55" s="219"/>
      <c r="Z55" s="219"/>
    </row>
    <row r="56">
      <c r="A56" s="221"/>
      <c r="B56" s="215">
        <v>29.39</v>
      </c>
      <c r="C56" s="215" t="s">
        <v>256</v>
      </c>
      <c r="D56" s="215">
        <v>1.0</v>
      </c>
      <c r="E56" s="216">
        <f t="shared" si="1"/>
        <v>0.03402517863</v>
      </c>
      <c r="F56" s="217">
        <f t="shared" si="2"/>
        <v>3.402517863</v>
      </c>
      <c r="G56" s="215">
        <v>3.4</v>
      </c>
      <c r="H56" s="218"/>
      <c r="I56" s="219"/>
      <c r="J56" s="219"/>
      <c r="K56" s="219"/>
      <c r="L56" s="219"/>
      <c r="M56" s="219"/>
      <c r="N56" s="219"/>
      <c r="O56" s="219"/>
      <c r="P56" s="219"/>
      <c r="Q56" s="219"/>
      <c r="R56" s="219"/>
      <c r="S56" s="219"/>
      <c r="T56" s="219"/>
      <c r="U56" s="219"/>
      <c r="V56" s="219"/>
      <c r="W56" s="219"/>
      <c r="X56" s="219"/>
      <c r="Y56" s="219"/>
      <c r="Z56" s="219"/>
    </row>
    <row r="57">
      <c r="A57" s="214"/>
      <c r="B57" s="215">
        <v>11.85</v>
      </c>
      <c r="C57" s="215" t="s">
        <v>256</v>
      </c>
      <c r="D57" s="215">
        <v>1.0</v>
      </c>
      <c r="E57" s="216">
        <f t="shared" si="1"/>
        <v>0.08438818565</v>
      </c>
      <c r="F57" s="217">
        <f t="shared" si="2"/>
        <v>8.438818565</v>
      </c>
      <c r="G57" s="215">
        <v>8.44</v>
      </c>
      <c r="H57" s="218"/>
      <c r="I57" s="219"/>
      <c r="J57" s="219"/>
      <c r="K57" s="219"/>
      <c r="L57" s="219"/>
      <c r="M57" s="219"/>
      <c r="N57" s="219"/>
      <c r="O57" s="219"/>
      <c r="P57" s="219"/>
      <c r="Q57" s="219"/>
      <c r="R57" s="219"/>
      <c r="S57" s="219"/>
      <c r="T57" s="219"/>
      <c r="U57" s="219"/>
      <c r="V57" s="219"/>
      <c r="W57" s="219"/>
      <c r="X57" s="219"/>
      <c r="Y57" s="219"/>
      <c r="Z57" s="219"/>
    </row>
    <row r="58">
      <c r="A58" s="221"/>
      <c r="B58" s="215">
        <v>11.31</v>
      </c>
      <c r="C58" s="215" t="s">
        <v>256</v>
      </c>
      <c r="D58" s="215">
        <v>1.0</v>
      </c>
      <c r="E58" s="216">
        <f t="shared" si="1"/>
        <v>0.0884173298</v>
      </c>
      <c r="F58" s="217">
        <f t="shared" si="2"/>
        <v>8.84173298</v>
      </c>
      <c r="G58" s="215">
        <v>8.84</v>
      </c>
      <c r="H58" s="218"/>
      <c r="I58" s="219"/>
      <c r="J58" s="219"/>
      <c r="K58" s="219"/>
      <c r="L58" s="219"/>
      <c r="M58" s="219"/>
      <c r="N58" s="219"/>
      <c r="O58" s="219"/>
      <c r="P58" s="219"/>
      <c r="Q58" s="219"/>
      <c r="R58" s="219"/>
      <c r="S58" s="219"/>
      <c r="T58" s="219"/>
      <c r="U58" s="219"/>
      <c r="V58" s="219"/>
      <c r="W58" s="219"/>
      <c r="X58" s="219"/>
      <c r="Y58" s="219"/>
      <c r="Z58" s="219"/>
    </row>
    <row r="59">
      <c r="A59" s="221"/>
      <c r="B59" s="215">
        <v>3.54</v>
      </c>
      <c r="C59" s="215" t="s">
        <v>256</v>
      </c>
      <c r="D59" s="215">
        <v>1.0</v>
      </c>
      <c r="E59" s="216">
        <f t="shared" si="1"/>
        <v>0.2824858757</v>
      </c>
      <c r="F59" s="217">
        <f t="shared" si="2"/>
        <v>28.24858757</v>
      </c>
      <c r="G59" s="215">
        <v>20.0</v>
      </c>
      <c r="H59" s="218"/>
      <c r="I59" s="219"/>
      <c r="J59" s="219"/>
      <c r="K59" s="219"/>
      <c r="L59" s="219"/>
      <c r="M59" s="219"/>
      <c r="N59" s="219"/>
      <c r="O59" s="219"/>
      <c r="P59" s="219"/>
      <c r="Q59" s="219"/>
      <c r="R59" s="219"/>
      <c r="S59" s="219"/>
      <c r="T59" s="219"/>
      <c r="U59" s="219"/>
      <c r="V59" s="219"/>
      <c r="W59" s="219"/>
      <c r="X59" s="219"/>
      <c r="Y59" s="219"/>
      <c r="Z59" s="219"/>
    </row>
    <row r="60">
      <c r="A60" s="221"/>
      <c r="B60" s="215">
        <v>56.52</v>
      </c>
      <c r="C60" s="215" t="s">
        <v>256</v>
      </c>
      <c r="D60" s="215">
        <v>1.0</v>
      </c>
      <c r="E60" s="216">
        <f t="shared" si="1"/>
        <v>0.01769285209</v>
      </c>
      <c r="F60" s="217">
        <f t="shared" si="2"/>
        <v>1.769285209</v>
      </c>
      <c r="G60" s="215">
        <v>1.77</v>
      </c>
      <c r="H60" s="218"/>
      <c r="I60" s="219"/>
      <c r="J60" s="219"/>
      <c r="K60" s="219"/>
      <c r="L60" s="219"/>
      <c r="M60" s="219"/>
      <c r="N60" s="219"/>
      <c r="O60" s="219"/>
      <c r="P60" s="219"/>
      <c r="Q60" s="219"/>
      <c r="R60" s="219"/>
      <c r="S60" s="219"/>
      <c r="T60" s="219"/>
      <c r="U60" s="219"/>
      <c r="V60" s="219"/>
      <c r="W60" s="219"/>
      <c r="X60" s="219"/>
      <c r="Y60" s="219"/>
      <c r="Z60" s="219"/>
    </row>
    <row r="61">
      <c r="A61" s="221"/>
      <c r="B61" s="215">
        <v>6.6</v>
      </c>
      <c r="C61" s="215" t="s">
        <v>256</v>
      </c>
      <c r="D61" s="215">
        <v>1.0</v>
      </c>
      <c r="E61" s="216">
        <f t="shared" si="1"/>
        <v>0.1515151515</v>
      </c>
      <c r="F61" s="217">
        <f t="shared" si="2"/>
        <v>15.15151515</v>
      </c>
      <c r="G61" s="215">
        <v>15.15</v>
      </c>
      <c r="H61" s="218"/>
      <c r="I61" s="219"/>
      <c r="J61" s="219"/>
      <c r="K61" s="219"/>
      <c r="L61" s="219"/>
      <c r="M61" s="219"/>
      <c r="N61" s="219"/>
      <c r="O61" s="219"/>
      <c r="P61" s="219"/>
      <c r="Q61" s="219"/>
      <c r="R61" s="219"/>
      <c r="S61" s="219"/>
      <c r="T61" s="219"/>
      <c r="U61" s="219"/>
      <c r="V61" s="219"/>
      <c r="W61" s="219"/>
      <c r="X61" s="219"/>
      <c r="Y61" s="219"/>
      <c r="Z61" s="219"/>
    </row>
    <row r="62">
      <c r="A62" s="214"/>
      <c r="B62" s="215">
        <v>157.58</v>
      </c>
      <c r="C62" s="215" t="s">
        <v>256</v>
      </c>
      <c r="D62" s="215">
        <v>2.0</v>
      </c>
      <c r="E62" s="216">
        <f t="shared" si="1"/>
        <v>0.01269196599</v>
      </c>
      <c r="F62" s="217">
        <f t="shared" si="2"/>
        <v>1.269196599</v>
      </c>
      <c r="G62" s="215">
        <v>1.27</v>
      </c>
      <c r="H62" s="218"/>
      <c r="I62" s="219"/>
      <c r="J62" s="219"/>
      <c r="K62" s="219"/>
      <c r="L62" s="219"/>
      <c r="M62" s="219"/>
      <c r="N62" s="219"/>
      <c r="O62" s="219"/>
      <c r="P62" s="219"/>
      <c r="Q62" s="219"/>
      <c r="R62" s="219"/>
      <c r="S62" s="219"/>
      <c r="T62" s="219"/>
      <c r="U62" s="219"/>
      <c r="V62" s="219"/>
      <c r="W62" s="219"/>
      <c r="X62" s="219"/>
      <c r="Y62" s="219"/>
      <c r="Z62" s="219"/>
    </row>
    <row r="63">
      <c r="A63" s="221"/>
      <c r="B63" s="215">
        <v>11.25</v>
      </c>
      <c r="C63" s="215" t="s">
        <v>256</v>
      </c>
      <c r="D63" s="215">
        <v>1.0</v>
      </c>
      <c r="E63" s="216">
        <f t="shared" si="1"/>
        <v>0.08888888889</v>
      </c>
      <c r="F63" s="217">
        <f t="shared" si="2"/>
        <v>8.888888889</v>
      </c>
      <c r="G63" s="215">
        <v>8.89</v>
      </c>
      <c r="H63" s="218"/>
      <c r="I63" s="219"/>
      <c r="J63" s="219"/>
      <c r="K63" s="219"/>
      <c r="L63" s="219"/>
      <c r="M63" s="219"/>
      <c r="N63" s="219"/>
      <c r="O63" s="219"/>
      <c r="P63" s="219"/>
      <c r="Q63" s="219"/>
      <c r="R63" s="219"/>
      <c r="S63" s="219"/>
      <c r="T63" s="219"/>
      <c r="U63" s="219"/>
      <c r="V63" s="219"/>
      <c r="W63" s="219"/>
      <c r="X63" s="219"/>
      <c r="Y63" s="219"/>
      <c r="Z63" s="219"/>
    </row>
    <row r="64">
      <c r="A64" s="221"/>
      <c r="B64" s="215">
        <v>8.08</v>
      </c>
      <c r="C64" s="215" t="s">
        <v>256</v>
      </c>
      <c r="D64" s="215">
        <v>1.0</v>
      </c>
      <c r="E64" s="216">
        <f t="shared" si="1"/>
        <v>0.1237623762</v>
      </c>
      <c r="F64" s="217">
        <f t="shared" si="2"/>
        <v>12.37623762</v>
      </c>
      <c r="G64" s="215">
        <v>12.38</v>
      </c>
      <c r="H64" s="218"/>
      <c r="I64" s="219"/>
      <c r="J64" s="219"/>
      <c r="K64" s="219"/>
      <c r="L64" s="219"/>
      <c r="M64" s="219"/>
      <c r="N64" s="219"/>
      <c r="O64" s="219"/>
      <c r="P64" s="219"/>
      <c r="Q64" s="219"/>
      <c r="R64" s="219"/>
      <c r="S64" s="219"/>
      <c r="T64" s="219"/>
      <c r="U64" s="219"/>
      <c r="V64" s="219"/>
      <c r="W64" s="219"/>
      <c r="X64" s="219"/>
      <c r="Y64" s="219"/>
      <c r="Z64" s="219"/>
    </row>
    <row r="65">
      <c r="A65" s="221"/>
      <c r="B65" s="215">
        <v>72.12</v>
      </c>
      <c r="C65" s="215" t="s">
        <v>256</v>
      </c>
      <c r="D65" s="215">
        <v>1.0</v>
      </c>
      <c r="E65" s="216">
        <f t="shared" si="1"/>
        <v>0.01386577926</v>
      </c>
      <c r="F65" s="217">
        <f t="shared" si="2"/>
        <v>1.386577926</v>
      </c>
      <c r="G65" s="215">
        <v>1.39</v>
      </c>
      <c r="H65" s="218"/>
      <c r="I65" s="219"/>
      <c r="J65" s="219"/>
      <c r="K65" s="219"/>
      <c r="L65" s="219"/>
      <c r="M65" s="219"/>
      <c r="N65" s="219"/>
      <c r="O65" s="219"/>
      <c r="P65" s="219"/>
      <c r="Q65" s="219"/>
      <c r="R65" s="219"/>
      <c r="S65" s="219"/>
      <c r="T65" s="219"/>
      <c r="U65" s="219"/>
      <c r="V65" s="219"/>
      <c r="W65" s="219"/>
      <c r="X65" s="219"/>
      <c r="Y65" s="219"/>
      <c r="Z65" s="219"/>
    </row>
    <row r="66">
      <c r="A66" s="221"/>
      <c r="B66" s="215">
        <v>110.3</v>
      </c>
      <c r="C66" s="215" t="s">
        <v>256</v>
      </c>
      <c r="D66" s="215">
        <v>2.0</v>
      </c>
      <c r="E66" s="216">
        <f t="shared" si="1"/>
        <v>0.01813236627</v>
      </c>
      <c r="F66" s="217">
        <f t="shared" si="2"/>
        <v>1.813236627</v>
      </c>
      <c r="G66" s="215">
        <v>1.81</v>
      </c>
      <c r="H66" s="218"/>
      <c r="I66" s="219"/>
      <c r="J66" s="219"/>
      <c r="K66" s="219"/>
      <c r="L66" s="219"/>
      <c r="M66" s="219"/>
      <c r="N66" s="219"/>
      <c r="O66" s="219"/>
      <c r="P66" s="219"/>
      <c r="Q66" s="219"/>
      <c r="R66" s="219"/>
      <c r="S66" s="219"/>
      <c r="T66" s="219"/>
      <c r="U66" s="219"/>
      <c r="V66" s="219"/>
      <c r="W66" s="219"/>
      <c r="X66" s="219"/>
      <c r="Y66" s="219"/>
      <c r="Z66" s="219"/>
    </row>
    <row r="67">
      <c r="A67" s="214"/>
      <c r="B67" s="215">
        <v>12.46</v>
      </c>
      <c r="C67" s="215" t="s">
        <v>256</v>
      </c>
      <c r="D67" s="215">
        <v>1.0</v>
      </c>
      <c r="E67" s="216">
        <f t="shared" si="1"/>
        <v>0.08025682183</v>
      </c>
      <c r="F67" s="217">
        <f t="shared" si="2"/>
        <v>8.025682183</v>
      </c>
      <c r="G67" s="215">
        <v>8.03</v>
      </c>
      <c r="H67" s="218"/>
      <c r="I67" s="219"/>
      <c r="J67" s="219"/>
      <c r="K67" s="219"/>
      <c r="L67" s="219"/>
      <c r="M67" s="219"/>
      <c r="N67" s="219"/>
      <c r="O67" s="219"/>
      <c r="P67" s="219"/>
      <c r="Q67" s="219"/>
      <c r="R67" s="219"/>
      <c r="S67" s="219"/>
      <c r="T67" s="219"/>
      <c r="U67" s="219"/>
      <c r="V67" s="219"/>
      <c r="W67" s="219"/>
      <c r="X67" s="219"/>
      <c r="Y67" s="219"/>
      <c r="Z67" s="219"/>
    </row>
    <row r="68">
      <c r="A68" s="221"/>
      <c r="B68" s="215">
        <v>7.54</v>
      </c>
      <c r="C68" s="215" t="s">
        <v>256</v>
      </c>
      <c r="D68" s="215">
        <v>1.0</v>
      </c>
      <c r="E68" s="216">
        <f t="shared" si="1"/>
        <v>0.1326259947</v>
      </c>
      <c r="F68" s="217">
        <f t="shared" si="2"/>
        <v>13.26259947</v>
      </c>
      <c r="G68" s="215">
        <v>13.26</v>
      </c>
      <c r="H68" s="218"/>
      <c r="I68" s="219"/>
      <c r="J68" s="219"/>
      <c r="K68" s="219"/>
      <c r="L68" s="219"/>
      <c r="M68" s="219"/>
      <c r="N68" s="219"/>
      <c r="O68" s="219"/>
      <c r="P68" s="219"/>
      <c r="Q68" s="219"/>
      <c r="R68" s="219"/>
      <c r="S68" s="219"/>
      <c r="T68" s="219"/>
      <c r="U68" s="219"/>
      <c r="V68" s="219"/>
      <c r="W68" s="219"/>
      <c r="X68" s="219"/>
      <c r="Y68" s="219"/>
      <c r="Z68" s="219"/>
    </row>
    <row r="69">
      <c r="A69" s="214"/>
      <c r="B69" s="215">
        <v>0.0</v>
      </c>
      <c r="C69" s="215" t="s">
        <v>256</v>
      </c>
      <c r="D69" s="215">
        <v>1.0</v>
      </c>
      <c r="E69" s="216" t="str">
        <f t="shared" si="1"/>
        <v>#DIV/0!</v>
      </c>
      <c r="F69" s="217" t="str">
        <f t="shared" si="2"/>
        <v>#DIV/0!</v>
      </c>
      <c r="G69" s="215">
        <v>20.0</v>
      </c>
      <c r="H69" s="218"/>
      <c r="I69" s="219"/>
      <c r="J69" s="219"/>
      <c r="K69" s="219"/>
      <c r="L69" s="219"/>
      <c r="M69" s="219"/>
      <c r="N69" s="219"/>
      <c r="O69" s="219"/>
      <c r="P69" s="219"/>
      <c r="Q69" s="219"/>
      <c r="R69" s="219"/>
      <c r="S69" s="219"/>
      <c r="T69" s="219"/>
      <c r="U69" s="219"/>
      <c r="V69" s="219"/>
      <c r="W69" s="219"/>
      <c r="X69" s="219"/>
      <c r="Y69" s="219"/>
      <c r="Z69" s="219"/>
    </row>
    <row r="70">
      <c r="A70" s="221"/>
      <c r="B70" s="215">
        <v>98.79</v>
      </c>
      <c r="C70" s="215" t="s">
        <v>256</v>
      </c>
      <c r="D70" s="215">
        <v>1.0</v>
      </c>
      <c r="E70" s="216">
        <f t="shared" si="1"/>
        <v>0.01012248203</v>
      </c>
      <c r="F70" s="217">
        <f t="shared" si="2"/>
        <v>1.012248203</v>
      </c>
      <c r="G70" s="215">
        <v>1.01</v>
      </c>
      <c r="H70" s="218"/>
      <c r="I70" s="219"/>
      <c r="J70" s="219"/>
      <c r="K70" s="219"/>
      <c r="L70" s="219"/>
      <c r="M70" s="219"/>
      <c r="N70" s="219"/>
      <c r="O70" s="219"/>
      <c r="P70" s="219"/>
      <c r="Q70" s="219"/>
      <c r="R70" s="219"/>
      <c r="S70" s="219"/>
      <c r="T70" s="219"/>
      <c r="U70" s="219"/>
      <c r="V70" s="219"/>
      <c r="W70" s="219"/>
      <c r="X70" s="219"/>
      <c r="Y70" s="219"/>
      <c r="Z70" s="219"/>
    </row>
    <row r="71">
      <c r="A71" s="214"/>
      <c r="B71" s="215">
        <v>67.47</v>
      </c>
      <c r="C71" s="215" t="s">
        <v>256</v>
      </c>
      <c r="D71" s="215">
        <v>1.0</v>
      </c>
      <c r="E71" s="216">
        <f t="shared" si="1"/>
        <v>0.0148214021</v>
      </c>
      <c r="F71" s="217">
        <f t="shared" si="2"/>
        <v>1.48214021</v>
      </c>
      <c r="G71" s="215">
        <v>1.48</v>
      </c>
      <c r="H71" s="218"/>
      <c r="I71" s="219"/>
      <c r="J71" s="219"/>
      <c r="K71" s="219"/>
      <c r="L71" s="219"/>
      <c r="M71" s="219"/>
      <c r="N71" s="219"/>
      <c r="O71" s="219"/>
      <c r="P71" s="219"/>
      <c r="Q71" s="219"/>
      <c r="R71" s="219"/>
      <c r="S71" s="219"/>
      <c r="T71" s="219"/>
      <c r="U71" s="219"/>
      <c r="V71" s="219"/>
      <c r="W71" s="219"/>
      <c r="X71" s="219"/>
      <c r="Y71" s="219"/>
      <c r="Z71" s="219"/>
    </row>
    <row r="72">
      <c r="A72" s="214"/>
      <c r="B72" s="215">
        <v>10.51</v>
      </c>
      <c r="C72" s="215" t="s">
        <v>256</v>
      </c>
      <c r="D72" s="215">
        <v>1.0</v>
      </c>
      <c r="E72" s="216">
        <f t="shared" si="1"/>
        <v>0.09514747859</v>
      </c>
      <c r="F72" s="217">
        <f t="shared" si="2"/>
        <v>9.514747859</v>
      </c>
      <c r="G72" s="215">
        <v>9.51</v>
      </c>
      <c r="H72" s="218"/>
      <c r="I72" s="219"/>
      <c r="J72" s="219"/>
      <c r="K72" s="219"/>
      <c r="L72" s="219"/>
      <c r="M72" s="219"/>
      <c r="N72" s="219"/>
      <c r="O72" s="219"/>
      <c r="P72" s="219"/>
      <c r="Q72" s="219"/>
      <c r="R72" s="219"/>
      <c r="S72" s="219"/>
      <c r="T72" s="219"/>
      <c r="U72" s="219"/>
      <c r="V72" s="219"/>
      <c r="W72" s="219"/>
      <c r="X72" s="219"/>
      <c r="Y72" s="219"/>
      <c r="Z72" s="219"/>
    </row>
    <row r="73">
      <c r="A73" s="214"/>
      <c r="B73" s="215">
        <v>5.93</v>
      </c>
      <c r="C73" s="215" t="s">
        <v>256</v>
      </c>
      <c r="D73" s="215">
        <v>1.0</v>
      </c>
      <c r="E73" s="216">
        <f t="shared" si="1"/>
        <v>0.1686340641</v>
      </c>
      <c r="F73" s="217">
        <f t="shared" si="2"/>
        <v>16.86340641</v>
      </c>
      <c r="G73" s="215">
        <v>16.86</v>
      </c>
      <c r="H73" s="218"/>
      <c r="I73" s="219"/>
      <c r="J73" s="219"/>
      <c r="K73" s="219"/>
      <c r="L73" s="219"/>
      <c r="M73" s="219"/>
      <c r="N73" s="219"/>
      <c r="O73" s="219"/>
      <c r="P73" s="219"/>
      <c r="Q73" s="219"/>
      <c r="R73" s="219"/>
      <c r="S73" s="219"/>
      <c r="T73" s="219"/>
      <c r="U73" s="219"/>
      <c r="V73" s="219"/>
      <c r="W73" s="219"/>
      <c r="X73" s="219"/>
      <c r="Y73" s="219"/>
      <c r="Z73" s="219"/>
    </row>
    <row r="74">
      <c r="A74" s="221"/>
      <c r="B74" s="215">
        <v>6.3</v>
      </c>
      <c r="C74" s="215" t="s">
        <v>256</v>
      </c>
      <c r="D74" s="215">
        <v>1.0</v>
      </c>
      <c r="E74" s="216">
        <f t="shared" si="1"/>
        <v>0.1587301587</v>
      </c>
      <c r="F74" s="217">
        <f t="shared" si="2"/>
        <v>15.87301587</v>
      </c>
      <c r="G74" s="215">
        <v>15.87</v>
      </c>
      <c r="H74" s="218"/>
      <c r="I74" s="219"/>
      <c r="J74" s="219"/>
      <c r="K74" s="219"/>
      <c r="L74" s="219"/>
      <c r="M74" s="219"/>
      <c r="N74" s="219"/>
      <c r="O74" s="219"/>
      <c r="P74" s="219"/>
      <c r="Q74" s="219"/>
      <c r="R74" s="219"/>
      <c r="S74" s="219"/>
      <c r="T74" s="219"/>
      <c r="U74" s="219"/>
      <c r="V74" s="219"/>
      <c r="W74" s="219"/>
      <c r="X74" s="219"/>
      <c r="Y74" s="219"/>
      <c r="Z74" s="219"/>
    </row>
    <row r="75">
      <c r="A75" s="221"/>
      <c r="B75" s="215">
        <v>8.75</v>
      </c>
      <c r="C75" s="215" t="s">
        <v>256</v>
      </c>
      <c r="D75" s="215">
        <v>1.0</v>
      </c>
      <c r="E75" s="216">
        <f t="shared" si="1"/>
        <v>0.1142857143</v>
      </c>
      <c r="F75" s="217">
        <f t="shared" si="2"/>
        <v>11.42857143</v>
      </c>
      <c r="G75" s="215">
        <v>11.43</v>
      </c>
      <c r="H75" s="218"/>
      <c r="I75" s="219"/>
      <c r="J75" s="219"/>
      <c r="K75" s="219"/>
      <c r="L75" s="219"/>
      <c r="M75" s="219"/>
      <c r="N75" s="219"/>
      <c r="O75" s="219"/>
      <c r="P75" s="219"/>
      <c r="Q75" s="219"/>
      <c r="R75" s="219"/>
      <c r="S75" s="219"/>
      <c r="T75" s="219"/>
      <c r="U75" s="219"/>
      <c r="V75" s="219"/>
      <c r="W75" s="219"/>
      <c r="X75" s="219"/>
      <c r="Y75" s="219"/>
      <c r="Z75" s="219"/>
    </row>
    <row r="76">
      <c r="A76" s="214"/>
      <c r="B76" s="215">
        <v>9.56</v>
      </c>
      <c r="C76" s="215" t="s">
        <v>256</v>
      </c>
      <c r="D76" s="215">
        <v>1.0</v>
      </c>
      <c r="E76" s="216">
        <f t="shared" si="1"/>
        <v>0.1046025105</v>
      </c>
      <c r="F76" s="217">
        <f t="shared" si="2"/>
        <v>10.46025105</v>
      </c>
      <c r="G76" s="215">
        <v>10.46</v>
      </c>
      <c r="H76" s="218"/>
      <c r="I76" s="219"/>
      <c r="J76" s="219"/>
      <c r="K76" s="219"/>
      <c r="L76" s="219"/>
      <c r="M76" s="219"/>
      <c r="N76" s="219"/>
      <c r="O76" s="219"/>
      <c r="P76" s="219"/>
      <c r="Q76" s="219"/>
      <c r="R76" s="219"/>
      <c r="S76" s="219"/>
      <c r="T76" s="219"/>
      <c r="U76" s="219"/>
      <c r="V76" s="219"/>
      <c r="W76" s="219"/>
      <c r="X76" s="219"/>
      <c r="Y76" s="219"/>
      <c r="Z76" s="219"/>
    </row>
    <row r="77">
      <c r="A77" s="214"/>
      <c r="B77" s="215">
        <v>9.16</v>
      </c>
      <c r="C77" s="215" t="s">
        <v>256</v>
      </c>
      <c r="D77" s="215">
        <v>1.0</v>
      </c>
      <c r="E77" s="216">
        <f t="shared" si="1"/>
        <v>0.1091703057</v>
      </c>
      <c r="F77" s="217">
        <f t="shared" si="2"/>
        <v>10.91703057</v>
      </c>
      <c r="G77" s="215">
        <v>10.92</v>
      </c>
      <c r="H77" s="218"/>
      <c r="I77" s="219"/>
      <c r="J77" s="219"/>
      <c r="K77" s="219"/>
      <c r="L77" s="219"/>
      <c r="M77" s="219"/>
      <c r="N77" s="219"/>
      <c r="O77" s="219"/>
      <c r="P77" s="219"/>
      <c r="Q77" s="219"/>
      <c r="R77" s="219"/>
      <c r="S77" s="219"/>
      <c r="T77" s="219"/>
      <c r="U77" s="219"/>
      <c r="V77" s="219"/>
      <c r="W77" s="219"/>
      <c r="X77" s="219"/>
      <c r="Y77" s="219"/>
      <c r="Z77" s="219"/>
    </row>
    <row r="78">
      <c r="A78" s="221"/>
      <c r="B78" s="215">
        <v>8.96</v>
      </c>
      <c r="C78" s="215" t="s">
        <v>256</v>
      </c>
      <c r="D78" s="215">
        <v>1.0</v>
      </c>
      <c r="E78" s="216">
        <f t="shared" si="1"/>
        <v>0.1116071429</v>
      </c>
      <c r="F78" s="217">
        <f t="shared" si="2"/>
        <v>11.16071429</v>
      </c>
      <c r="G78" s="215">
        <v>11.16</v>
      </c>
      <c r="H78" s="218"/>
      <c r="I78" s="219"/>
      <c r="J78" s="219"/>
      <c r="K78" s="219"/>
      <c r="L78" s="219"/>
      <c r="M78" s="219"/>
      <c r="N78" s="219"/>
      <c r="O78" s="219"/>
      <c r="P78" s="219"/>
      <c r="Q78" s="219"/>
      <c r="R78" s="219"/>
      <c r="S78" s="219"/>
      <c r="T78" s="219"/>
      <c r="U78" s="219"/>
      <c r="V78" s="219"/>
      <c r="W78" s="219"/>
      <c r="X78" s="219"/>
      <c r="Y78" s="219"/>
      <c r="Z78" s="219"/>
    </row>
    <row r="79">
      <c r="A79" s="214"/>
      <c r="B79" s="215">
        <v>0.55</v>
      </c>
      <c r="C79" s="215" t="s">
        <v>256</v>
      </c>
      <c r="D79" s="215">
        <v>1.0</v>
      </c>
      <c r="E79" s="216">
        <f t="shared" si="1"/>
        <v>1.818181818</v>
      </c>
      <c r="F79" s="217">
        <f t="shared" si="2"/>
        <v>181.8181818</v>
      </c>
      <c r="G79" s="215">
        <v>20.0</v>
      </c>
      <c r="H79" s="218"/>
      <c r="I79" s="219"/>
      <c r="J79" s="219"/>
      <c r="K79" s="219"/>
      <c r="L79" s="219"/>
      <c r="M79" s="219"/>
      <c r="N79" s="219"/>
      <c r="O79" s="219"/>
      <c r="P79" s="219"/>
      <c r="Q79" s="219"/>
      <c r="R79" s="219"/>
      <c r="S79" s="219"/>
      <c r="T79" s="219"/>
      <c r="U79" s="219"/>
      <c r="V79" s="219"/>
      <c r="W79" s="219"/>
      <c r="X79" s="219"/>
      <c r="Y79" s="219"/>
      <c r="Z79" s="219"/>
    </row>
    <row r="80">
      <c r="A80" s="221"/>
      <c r="B80" s="215">
        <v>8.28</v>
      </c>
      <c r="C80" s="215" t="s">
        <v>256</v>
      </c>
      <c r="D80" s="215">
        <v>1.0</v>
      </c>
      <c r="E80" s="216">
        <f t="shared" si="1"/>
        <v>0.1207729469</v>
      </c>
      <c r="F80" s="217">
        <f t="shared" si="2"/>
        <v>12.07729469</v>
      </c>
      <c r="G80" s="215">
        <v>12.08</v>
      </c>
      <c r="H80" s="218"/>
      <c r="I80" s="219"/>
      <c r="J80" s="219"/>
      <c r="K80" s="219"/>
      <c r="L80" s="219"/>
      <c r="M80" s="219"/>
      <c r="N80" s="219"/>
      <c r="O80" s="219"/>
      <c r="P80" s="219"/>
      <c r="Q80" s="219"/>
      <c r="R80" s="219"/>
      <c r="S80" s="219"/>
      <c r="T80" s="219"/>
      <c r="U80" s="219"/>
      <c r="V80" s="219"/>
      <c r="W80" s="219"/>
      <c r="X80" s="219"/>
      <c r="Y80" s="219"/>
      <c r="Z80" s="219"/>
    </row>
    <row r="81">
      <c r="A81" s="221"/>
      <c r="B81" s="215">
        <v>17.52</v>
      </c>
      <c r="C81" s="215" t="s">
        <v>256</v>
      </c>
      <c r="D81" s="215">
        <v>1.0</v>
      </c>
      <c r="E81" s="216">
        <f t="shared" si="1"/>
        <v>0.05707762557</v>
      </c>
      <c r="F81" s="217">
        <f t="shared" si="2"/>
        <v>5.707762557</v>
      </c>
      <c r="G81" s="215">
        <v>5.71</v>
      </c>
      <c r="H81" s="218"/>
      <c r="I81" s="219"/>
      <c r="J81" s="219"/>
      <c r="K81" s="219"/>
      <c r="L81" s="219"/>
      <c r="M81" s="219"/>
      <c r="N81" s="219"/>
      <c r="O81" s="219"/>
      <c r="P81" s="219"/>
      <c r="Q81" s="219"/>
      <c r="R81" s="219"/>
      <c r="S81" s="219"/>
      <c r="T81" s="219"/>
      <c r="U81" s="219"/>
      <c r="V81" s="219"/>
      <c r="W81" s="219"/>
      <c r="X81" s="219"/>
      <c r="Y81" s="219"/>
      <c r="Z81" s="219"/>
    </row>
    <row r="82">
      <c r="A82" s="214"/>
      <c r="B82" s="215">
        <v>36.67</v>
      </c>
      <c r="C82" s="215" t="s">
        <v>256</v>
      </c>
      <c r="D82" s="215">
        <v>1.0</v>
      </c>
      <c r="E82" s="216">
        <f t="shared" si="1"/>
        <v>0.02727024816</v>
      </c>
      <c r="F82" s="217">
        <f t="shared" si="2"/>
        <v>2.727024816</v>
      </c>
      <c r="G82" s="215">
        <v>2.73</v>
      </c>
      <c r="H82" s="218"/>
      <c r="I82" s="219"/>
      <c r="J82" s="219"/>
      <c r="K82" s="219"/>
      <c r="L82" s="219"/>
      <c r="M82" s="219"/>
      <c r="N82" s="219"/>
      <c r="O82" s="219"/>
      <c r="P82" s="219"/>
      <c r="Q82" s="219"/>
      <c r="R82" s="219"/>
      <c r="S82" s="219"/>
      <c r="T82" s="219"/>
      <c r="U82" s="219"/>
      <c r="V82" s="219"/>
      <c r="W82" s="219"/>
      <c r="X82" s="219"/>
      <c r="Y82" s="219"/>
      <c r="Z82" s="219"/>
    </row>
    <row r="83">
      <c r="A83" s="221"/>
      <c r="B83" s="215">
        <v>18.73</v>
      </c>
      <c r="C83" s="215" t="s">
        <v>256</v>
      </c>
      <c r="D83" s="215">
        <v>1.0</v>
      </c>
      <c r="E83" s="216">
        <f t="shared" si="1"/>
        <v>0.05339028297</v>
      </c>
      <c r="F83" s="217">
        <f t="shared" si="2"/>
        <v>5.339028297</v>
      </c>
      <c r="G83" s="215">
        <v>5.34</v>
      </c>
      <c r="H83" s="218"/>
      <c r="I83" s="219"/>
      <c r="J83" s="219"/>
      <c r="K83" s="219"/>
      <c r="L83" s="219"/>
      <c r="M83" s="219"/>
      <c r="N83" s="219"/>
      <c r="O83" s="219"/>
      <c r="P83" s="219"/>
      <c r="Q83" s="219"/>
      <c r="R83" s="219"/>
      <c r="S83" s="219"/>
      <c r="T83" s="219"/>
      <c r="U83" s="219"/>
      <c r="V83" s="219"/>
      <c r="W83" s="219"/>
      <c r="X83" s="219"/>
      <c r="Y83" s="219"/>
      <c r="Z83" s="219"/>
    </row>
    <row r="84">
      <c r="A84" s="221"/>
      <c r="B84" s="215">
        <v>20.27</v>
      </c>
      <c r="C84" s="215" t="s">
        <v>256</v>
      </c>
      <c r="D84" s="215">
        <v>1.0</v>
      </c>
      <c r="E84" s="216">
        <f t="shared" si="1"/>
        <v>0.04933399112</v>
      </c>
      <c r="F84" s="217">
        <f t="shared" si="2"/>
        <v>4.933399112</v>
      </c>
      <c r="G84" s="215">
        <v>4.93</v>
      </c>
      <c r="H84" s="218"/>
      <c r="I84" s="219"/>
      <c r="J84" s="219"/>
      <c r="K84" s="219"/>
      <c r="L84" s="219"/>
      <c r="M84" s="219"/>
      <c r="N84" s="219"/>
      <c r="O84" s="219"/>
      <c r="P84" s="219"/>
      <c r="Q84" s="219"/>
      <c r="R84" s="219"/>
      <c r="S84" s="219"/>
      <c r="T84" s="219"/>
      <c r="U84" s="219"/>
      <c r="V84" s="219"/>
      <c r="W84" s="219"/>
      <c r="X84" s="219"/>
      <c r="Y84" s="219"/>
      <c r="Z84" s="219"/>
    </row>
    <row r="85">
      <c r="A85" s="221"/>
      <c r="B85" s="215">
        <v>20.35</v>
      </c>
      <c r="C85" s="215" t="s">
        <v>256</v>
      </c>
      <c r="D85" s="215">
        <v>1.0</v>
      </c>
      <c r="E85" s="216">
        <f t="shared" si="1"/>
        <v>0.04914004914</v>
      </c>
      <c r="F85" s="217">
        <f t="shared" si="2"/>
        <v>4.914004914</v>
      </c>
      <c r="G85" s="215">
        <v>4.91</v>
      </c>
      <c r="H85" s="218"/>
      <c r="I85" s="219"/>
      <c r="J85" s="219"/>
      <c r="K85" s="219"/>
      <c r="L85" s="219"/>
      <c r="M85" s="219"/>
      <c r="N85" s="219"/>
      <c r="O85" s="219"/>
      <c r="P85" s="219"/>
      <c r="Q85" s="219"/>
      <c r="R85" s="219"/>
      <c r="S85" s="219"/>
      <c r="T85" s="219"/>
      <c r="U85" s="219"/>
      <c r="V85" s="219"/>
      <c r="W85" s="219"/>
      <c r="X85" s="219"/>
      <c r="Y85" s="219"/>
      <c r="Z85" s="219"/>
    </row>
    <row r="86">
      <c r="A86" s="214"/>
      <c r="B86" s="215">
        <v>27.21</v>
      </c>
      <c r="C86" s="215" t="s">
        <v>256</v>
      </c>
      <c r="D86" s="215">
        <v>1.0</v>
      </c>
      <c r="E86" s="216">
        <f t="shared" si="1"/>
        <v>0.03675119441</v>
      </c>
      <c r="F86" s="217">
        <f t="shared" si="2"/>
        <v>3.675119441</v>
      </c>
      <c r="G86" s="215">
        <v>3.68</v>
      </c>
      <c r="H86" s="218"/>
      <c r="I86" s="219"/>
      <c r="J86" s="219"/>
      <c r="K86" s="219"/>
      <c r="L86" s="219"/>
      <c r="M86" s="219"/>
      <c r="N86" s="219"/>
      <c r="O86" s="219"/>
      <c r="P86" s="219"/>
      <c r="Q86" s="219"/>
      <c r="R86" s="219"/>
      <c r="S86" s="219"/>
      <c r="T86" s="219"/>
      <c r="U86" s="219"/>
      <c r="V86" s="219"/>
      <c r="W86" s="219"/>
      <c r="X86" s="219"/>
      <c r="Y86" s="219"/>
      <c r="Z86" s="219"/>
    </row>
    <row r="87">
      <c r="A87" s="214"/>
      <c r="B87" s="215">
        <v>14.27</v>
      </c>
      <c r="C87" s="215" t="s">
        <v>256</v>
      </c>
      <c r="D87" s="215">
        <v>1.0</v>
      </c>
      <c r="E87" s="216">
        <f t="shared" si="1"/>
        <v>0.07007708479</v>
      </c>
      <c r="F87" s="217">
        <f t="shared" si="2"/>
        <v>7.007708479</v>
      </c>
      <c r="G87" s="215">
        <v>7.01</v>
      </c>
      <c r="H87" s="218"/>
      <c r="I87" s="219"/>
      <c r="J87" s="219"/>
      <c r="K87" s="219"/>
      <c r="L87" s="219"/>
      <c r="M87" s="219"/>
      <c r="N87" s="219"/>
      <c r="O87" s="219"/>
      <c r="P87" s="219"/>
      <c r="Q87" s="219"/>
      <c r="R87" s="219"/>
      <c r="S87" s="219"/>
      <c r="T87" s="219"/>
      <c r="U87" s="219"/>
      <c r="V87" s="219"/>
      <c r="W87" s="219"/>
      <c r="X87" s="219"/>
      <c r="Y87" s="219"/>
      <c r="Z87" s="219"/>
    </row>
    <row r="88">
      <c r="A88" s="214"/>
      <c r="B88" s="215">
        <v>8.48</v>
      </c>
      <c r="C88" s="215" t="s">
        <v>256</v>
      </c>
      <c r="D88" s="215">
        <v>1.0</v>
      </c>
      <c r="E88" s="216">
        <f t="shared" si="1"/>
        <v>0.1179245283</v>
      </c>
      <c r="F88" s="217">
        <f t="shared" si="2"/>
        <v>11.79245283</v>
      </c>
      <c r="G88" s="215">
        <v>11.79</v>
      </c>
      <c r="H88" s="218"/>
      <c r="I88" s="219"/>
      <c r="J88" s="219"/>
      <c r="K88" s="219"/>
      <c r="L88" s="219"/>
      <c r="M88" s="219"/>
      <c r="N88" s="219"/>
      <c r="O88" s="219"/>
      <c r="P88" s="219"/>
      <c r="Q88" s="219"/>
      <c r="R88" s="219"/>
      <c r="S88" s="219"/>
      <c r="T88" s="219"/>
      <c r="U88" s="219"/>
      <c r="V88" s="219"/>
      <c r="W88" s="219"/>
      <c r="X88" s="219"/>
      <c r="Y88" s="219"/>
      <c r="Z88" s="219"/>
    </row>
    <row r="89">
      <c r="A89" s="221"/>
      <c r="B89" s="215">
        <v>3.12</v>
      </c>
      <c r="C89" s="215" t="s">
        <v>256</v>
      </c>
      <c r="D89" s="215">
        <v>1.0</v>
      </c>
      <c r="E89" s="216">
        <f t="shared" si="1"/>
        <v>0.3205128205</v>
      </c>
      <c r="F89" s="217">
        <f t="shared" si="2"/>
        <v>32.05128205</v>
      </c>
      <c r="G89" s="215">
        <v>32.05</v>
      </c>
      <c r="H89" s="218"/>
      <c r="I89" s="219"/>
      <c r="J89" s="219"/>
      <c r="K89" s="219"/>
      <c r="L89" s="219"/>
      <c r="M89" s="219"/>
      <c r="N89" s="219"/>
      <c r="O89" s="219"/>
      <c r="P89" s="219"/>
      <c r="Q89" s="219"/>
      <c r="R89" s="219"/>
      <c r="S89" s="219"/>
      <c r="T89" s="219"/>
      <c r="U89" s="219"/>
      <c r="V89" s="219"/>
      <c r="W89" s="219"/>
      <c r="X89" s="219"/>
      <c r="Y89" s="219"/>
      <c r="Z89" s="219"/>
    </row>
    <row r="90">
      <c r="A90" s="214"/>
      <c r="B90" s="215">
        <v>6.23</v>
      </c>
      <c r="C90" s="215" t="s">
        <v>256</v>
      </c>
      <c r="D90" s="215">
        <v>1.0</v>
      </c>
      <c r="E90" s="216">
        <f t="shared" si="1"/>
        <v>0.1605136437</v>
      </c>
      <c r="F90" s="217">
        <f t="shared" si="2"/>
        <v>16.05136437</v>
      </c>
      <c r="G90" s="215">
        <v>16.05</v>
      </c>
      <c r="H90" s="218"/>
      <c r="I90" s="219"/>
      <c r="J90" s="219"/>
      <c r="K90" s="219"/>
      <c r="L90" s="219"/>
      <c r="M90" s="219"/>
      <c r="N90" s="219"/>
      <c r="O90" s="219"/>
      <c r="P90" s="219"/>
      <c r="Q90" s="219"/>
      <c r="R90" s="219"/>
      <c r="S90" s="219"/>
      <c r="T90" s="219"/>
      <c r="U90" s="219"/>
      <c r="V90" s="219"/>
      <c r="W90" s="219"/>
      <c r="X90" s="219"/>
      <c r="Y90" s="219"/>
      <c r="Z90" s="219"/>
    </row>
    <row r="91">
      <c r="A91" s="214"/>
      <c r="B91" s="215">
        <v>6.7</v>
      </c>
      <c r="C91" s="215" t="s">
        <v>256</v>
      </c>
      <c r="D91" s="215">
        <v>1.0</v>
      </c>
      <c r="E91" s="216">
        <f t="shared" si="1"/>
        <v>0.1492537313</v>
      </c>
      <c r="F91" s="217">
        <f t="shared" si="2"/>
        <v>14.92537313</v>
      </c>
      <c r="G91" s="215">
        <v>14.93</v>
      </c>
      <c r="H91" s="218"/>
      <c r="I91" s="219"/>
      <c r="J91" s="219"/>
      <c r="K91" s="219"/>
      <c r="L91" s="219"/>
      <c r="M91" s="219"/>
      <c r="N91" s="219"/>
      <c r="O91" s="219"/>
      <c r="P91" s="219"/>
      <c r="Q91" s="219"/>
      <c r="R91" s="219"/>
      <c r="S91" s="219"/>
      <c r="T91" s="219"/>
      <c r="U91" s="219"/>
      <c r="V91" s="219"/>
      <c r="W91" s="219"/>
      <c r="X91" s="219"/>
      <c r="Y91" s="219"/>
      <c r="Z91" s="219"/>
    </row>
    <row r="92">
      <c r="A92" s="214"/>
      <c r="B92" s="215">
        <v>8.01</v>
      </c>
      <c r="C92" s="215" t="s">
        <v>256</v>
      </c>
      <c r="D92" s="215">
        <v>1.0</v>
      </c>
      <c r="E92" s="216">
        <f t="shared" si="1"/>
        <v>0.1248439451</v>
      </c>
      <c r="F92" s="217">
        <f t="shared" si="2"/>
        <v>12.48439451</v>
      </c>
      <c r="G92" s="215">
        <v>12.48</v>
      </c>
      <c r="H92" s="218"/>
      <c r="I92" s="219"/>
      <c r="J92" s="219"/>
      <c r="K92" s="219"/>
      <c r="L92" s="219"/>
      <c r="M92" s="219"/>
      <c r="N92" s="219"/>
      <c r="O92" s="219"/>
      <c r="P92" s="219"/>
      <c r="Q92" s="219"/>
      <c r="R92" s="219"/>
      <c r="S92" s="219"/>
      <c r="T92" s="219"/>
      <c r="U92" s="219"/>
      <c r="V92" s="219"/>
      <c r="W92" s="219"/>
      <c r="X92" s="219"/>
      <c r="Y92" s="219"/>
      <c r="Z92" s="219"/>
    </row>
    <row r="93">
      <c r="A93" s="214"/>
      <c r="B93" s="215">
        <v>39.65</v>
      </c>
      <c r="C93" s="215" t="s">
        <v>256</v>
      </c>
      <c r="D93" s="215">
        <v>1.0</v>
      </c>
      <c r="E93" s="216">
        <f t="shared" si="1"/>
        <v>0.02522068096</v>
      </c>
      <c r="F93" s="217">
        <f t="shared" si="2"/>
        <v>2.522068096</v>
      </c>
      <c r="G93" s="215">
        <v>2.52</v>
      </c>
      <c r="H93" s="218"/>
      <c r="I93" s="219"/>
      <c r="J93" s="219"/>
      <c r="K93" s="219"/>
      <c r="L93" s="219"/>
      <c r="M93" s="219"/>
      <c r="N93" s="219"/>
      <c r="O93" s="219"/>
      <c r="P93" s="219"/>
      <c r="Q93" s="219"/>
      <c r="R93" s="219"/>
      <c r="S93" s="219"/>
      <c r="T93" s="219"/>
      <c r="U93" s="219"/>
      <c r="V93" s="219"/>
      <c r="W93" s="219"/>
      <c r="X93" s="219"/>
      <c r="Y93" s="219"/>
      <c r="Z93" s="219"/>
    </row>
    <row r="94">
      <c r="A94" s="214"/>
      <c r="B94" s="215">
        <v>13.54</v>
      </c>
      <c r="C94" s="215" t="s">
        <v>256</v>
      </c>
      <c r="D94" s="215">
        <v>1.0</v>
      </c>
      <c r="E94" s="216">
        <f t="shared" si="1"/>
        <v>0.07385524372</v>
      </c>
      <c r="F94" s="217">
        <f t="shared" si="2"/>
        <v>7.385524372</v>
      </c>
      <c r="G94" s="215">
        <v>7.39</v>
      </c>
      <c r="H94" s="218"/>
      <c r="I94" s="219"/>
      <c r="J94" s="219"/>
      <c r="K94" s="219"/>
      <c r="L94" s="219"/>
      <c r="M94" s="219"/>
      <c r="N94" s="219"/>
      <c r="O94" s="219"/>
      <c r="P94" s="219"/>
      <c r="Q94" s="219"/>
      <c r="R94" s="219"/>
      <c r="S94" s="219"/>
      <c r="T94" s="219"/>
      <c r="U94" s="219"/>
      <c r="V94" s="219"/>
      <c r="W94" s="219"/>
      <c r="X94" s="219"/>
      <c r="Y94" s="219"/>
      <c r="Z94" s="219"/>
    </row>
    <row r="95">
      <c r="A95" s="221"/>
      <c r="B95" s="215">
        <v>13.13</v>
      </c>
      <c r="C95" s="215" t="s">
        <v>256</v>
      </c>
      <c r="D95" s="215">
        <v>1.0</v>
      </c>
      <c r="E95" s="216">
        <f t="shared" si="1"/>
        <v>0.0761614623</v>
      </c>
      <c r="F95" s="217">
        <f t="shared" si="2"/>
        <v>7.61614623</v>
      </c>
      <c r="G95" s="215">
        <v>7.62</v>
      </c>
      <c r="H95" s="218"/>
      <c r="I95" s="219"/>
      <c r="J95" s="219"/>
      <c r="K95" s="219"/>
      <c r="L95" s="219"/>
      <c r="M95" s="219"/>
      <c r="N95" s="219"/>
      <c r="O95" s="219"/>
      <c r="P95" s="219"/>
      <c r="Q95" s="219"/>
      <c r="R95" s="219"/>
      <c r="S95" s="219"/>
      <c r="T95" s="219"/>
      <c r="U95" s="219"/>
      <c r="V95" s="219"/>
      <c r="W95" s="219"/>
      <c r="X95" s="219"/>
      <c r="Y95" s="219"/>
      <c r="Z95" s="219"/>
    </row>
    <row r="96">
      <c r="A96" s="214"/>
      <c r="B96" s="215">
        <v>23.33</v>
      </c>
      <c r="C96" s="215" t="s">
        <v>256</v>
      </c>
      <c r="D96" s="215">
        <v>1.0</v>
      </c>
      <c r="E96" s="216">
        <f t="shared" si="1"/>
        <v>0.04286326618</v>
      </c>
      <c r="F96" s="217">
        <f t="shared" si="2"/>
        <v>4.286326618</v>
      </c>
      <c r="G96" s="215">
        <v>4.29</v>
      </c>
      <c r="H96" s="218"/>
      <c r="I96" s="219"/>
      <c r="J96" s="219"/>
      <c r="K96" s="219"/>
      <c r="L96" s="219"/>
      <c r="M96" s="219"/>
      <c r="N96" s="219"/>
      <c r="O96" s="219"/>
      <c r="P96" s="219"/>
      <c r="Q96" s="219"/>
      <c r="R96" s="219"/>
      <c r="S96" s="219"/>
      <c r="T96" s="219"/>
      <c r="U96" s="219"/>
      <c r="V96" s="219"/>
      <c r="W96" s="219"/>
      <c r="X96" s="219"/>
      <c r="Y96" s="219"/>
      <c r="Z96" s="219"/>
    </row>
    <row r="97">
      <c r="A97" s="214"/>
      <c r="B97" s="215">
        <v>5.79</v>
      </c>
      <c r="C97" s="215" t="s">
        <v>256</v>
      </c>
      <c r="D97" s="215">
        <v>1.0</v>
      </c>
      <c r="E97" s="216">
        <f t="shared" si="1"/>
        <v>0.1727115717</v>
      </c>
      <c r="F97" s="217">
        <f t="shared" si="2"/>
        <v>17.27115717</v>
      </c>
      <c r="G97" s="215">
        <v>17.27</v>
      </c>
      <c r="H97" s="218"/>
      <c r="I97" s="219"/>
      <c r="J97" s="219"/>
      <c r="K97" s="219"/>
      <c r="L97" s="219"/>
      <c r="M97" s="219"/>
      <c r="N97" s="219"/>
      <c r="O97" s="219"/>
      <c r="P97" s="219"/>
      <c r="Q97" s="219"/>
      <c r="R97" s="219"/>
      <c r="S97" s="219"/>
      <c r="T97" s="219"/>
      <c r="U97" s="219"/>
      <c r="V97" s="219"/>
      <c r="W97" s="219"/>
      <c r="X97" s="219"/>
      <c r="Y97" s="219"/>
      <c r="Z97" s="219"/>
    </row>
    <row r="98">
      <c r="A98" s="214"/>
      <c r="B98" s="215">
        <v>44.11</v>
      </c>
      <c r="C98" s="215" t="s">
        <v>256</v>
      </c>
      <c r="D98" s="215">
        <v>1.0</v>
      </c>
      <c r="E98" s="216">
        <f t="shared" si="1"/>
        <v>0.02267059624</v>
      </c>
      <c r="F98" s="217">
        <f t="shared" si="2"/>
        <v>2.267059624</v>
      </c>
      <c r="G98" s="215">
        <v>2.27</v>
      </c>
      <c r="H98" s="218"/>
      <c r="I98" s="219"/>
      <c r="J98" s="219"/>
      <c r="K98" s="219"/>
      <c r="L98" s="219"/>
      <c r="M98" s="219"/>
      <c r="N98" s="219"/>
      <c r="O98" s="219"/>
      <c r="P98" s="219"/>
      <c r="Q98" s="219"/>
      <c r="R98" s="219"/>
      <c r="S98" s="219"/>
      <c r="T98" s="219"/>
      <c r="U98" s="219"/>
      <c r="V98" s="219"/>
      <c r="W98" s="219"/>
      <c r="X98" s="219"/>
      <c r="Y98" s="219"/>
      <c r="Z98" s="219"/>
    </row>
    <row r="99">
      <c r="A99" s="214"/>
      <c r="B99" s="215">
        <v>30.76</v>
      </c>
      <c r="C99" s="215" t="s">
        <v>256</v>
      </c>
      <c r="D99" s="215">
        <v>1.0</v>
      </c>
      <c r="E99" s="216">
        <f t="shared" si="1"/>
        <v>0.03250975293</v>
      </c>
      <c r="F99" s="217">
        <f t="shared" si="2"/>
        <v>3.250975293</v>
      </c>
      <c r="G99" s="215">
        <v>3.25</v>
      </c>
      <c r="H99" s="218"/>
      <c r="I99" s="219"/>
      <c r="J99" s="219"/>
      <c r="K99" s="219"/>
      <c r="L99" s="219"/>
      <c r="M99" s="219"/>
      <c r="N99" s="219"/>
      <c r="O99" s="219"/>
      <c r="P99" s="219"/>
      <c r="Q99" s="219"/>
      <c r="R99" s="219"/>
      <c r="S99" s="219"/>
      <c r="T99" s="219"/>
      <c r="U99" s="219"/>
      <c r="V99" s="219"/>
      <c r="W99" s="219"/>
      <c r="X99" s="219"/>
      <c r="Y99" s="219"/>
      <c r="Z99" s="219"/>
    </row>
    <row r="100">
      <c r="A100" s="214"/>
      <c r="B100" s="215">
        <v>51.82</v>
      </c>
      <c r="C100" s="215" t="s">
        <v>256</v>
      </c>
      <c r="D100" s="215">
        <v>1.0</v>
      </c>
      <c r="E100" s="216">
        <f t="shared" si="1"/>
        <v>0.01929756851</v>
      </c>
      <c r="F100" s="217">
        <f t="shared" si="2"/>
        <v>1.929756851</v>
      </c>
      <c r="G100" s="215">
        <v>1.93</v>
      </c>
      <c r="H100" s="218"/>
      <c r="I100" s="219"/>
      <c r="J100" s="219"/>
      <c r="K100" s="219"/>
      <c r="L100" s="219"/>
      <c r="M100" s="219"/>
      <c r="N100" s="219"/>
      <c r="O100" s="219"/>
      <c r="P100" s="219"/>
      <c r="Q100" s="219"/>
      <c r="R100" s="219"/>
      <c r="S100" s="219"/>
      <c r="T100" s="219"/>
      <c r="U100" s="219"/>
      <c r="V100" s="219"/>
      <c r="W100" s="219"/>
      <c r="X100" s="219"/>
      <c r="Y100" s="219"/>
      <c r="Z100" s="219"/>
    </row>
    <row r="101">
      <c r="A101" s="214"/>
      <c r="B101" s="215">
        <v>74.38</v>
      </c>
      <c r="C101" s="215" t="s">
        <v>256</v>
      </c>
      <c r="D101" s="215">
        <v>1.0</v>
      </c>
      <c r="E101" s="216">
        <f t="shared" si="1"/>
        <v>0.01344447432</v>
      </c>
      <c r="F101" s="217">
        <f t="shared" si="2"/>
        <v>1.344447432</v>
      </c>
      <c r="G101" s="215">
        <v>1.34</v>
      </c>
      <c r="H101" s="218"/>
      <c r="I101" s="219"/>
      <c r="J101" s="219"/>
      <c r="K101" s="219"/>
      <c r="L101" s="219"/>
      <c r="M101" s="219"/>
      <c r="N101" s="219"/>
      <c r="O101" s="219"/>
      <c r="P101" s="219"/>
      <c r="Q101" s="219"/>
      <c r="R101" s="219"/>
      <c r="S101" s="219"/>
      <c r="T101" s="219"/>
      <c r="U101" s="219"/>
      <c r="V101" s="219"/>
      <c r="W101" s="219"/>
      <c r="X101" s="219"/>
      <c r="Y101" s="219"/>
      <c r="Z101" s="219"/>
    </row>
    <row r="102">
      <c r="A102" s="214"/>
      <c r="B102" s="215">
        <v>25.0</v>
      </c>
      <c r="C102" s="215" t="s">
        <v>256</v>
      </c>
      <c r="D102" s="215">
        <v>1.0</v>
      </c>
      <c r="E102" s="216">
        <f t="shared" si="1"/>
        <v>0.04</v>
      </c>
      <c r="F102" s="217">
        <f t="shared" si="2"/>
        <v>4</v>
      </c>
      <c r="G102" s="215">
        <v>4.0</v>
      </c>
      <c r="H102" s="218"/>
      <c r="I102" s="219"/>
      <c r="J102" s="219"/>
      <c r="K102" s="219"/>
      <c r="L102" s="219"/>
      <c r="M102" s="219"/>
      <c r="N102" s="219"/>
      <c r="O102" s="219"/>
      <c r="P102" s="219"/>
      <c r="Q102" s="219"/>
      <c r="R102" s="219"/>
      <c r="S102" s="219"/>
      <c r="T102" s="219"/>
      <c r="U102" s="219"/>
      <c r="V102" s="219"/>
      <c r="W102" s="219"/>
      <c r="X102" s="219"/>
      <c r="Y102" s="219"/>
      <c r="Z102" s="219"/>
    </row>
    <row r="103">
      <c r="A103" s="222"/>
      <c r="B103" s="215">
        <v>30.15</v>
      </c>
      <c r="C103" s="215" t="s">
        <v>256</v>
      </c>
      <c r="D103" s="215">
        <v>1.0</v>
      </c>
      <c r="E103" s="216">
        <f t="shared" si="1"/>
        <v>0.03316749585</v>
      </c>
      <c r="F103" s="217">
        <f t="shared" si="2"/>
        <v>3.316749585</v>
      </c>
      <c r="G103" s="215">
        <v>3.32</v>
      </c>
      <c r="H103" s="218"/>
      <c r="I103" s="219"/>
      <c r="J103" s="219"/>
      <c r="K103" s="219"/>
      <c r="L103" s="219"/>
      <c r="M103" s="219"/>
      <c r="N103" s="219"/>
      <c r="O103" s="219"/>
      <c r="P103" s="219"/>
      <c r="Q103" s="219"/>
      <c r="R103" s="219"/>
      <c r="S103" s="219"/>
      <c r="T103" s="219"/>
      <c r="U103" s="219"/>
      <c r="V103" s="219"/>
      <c r="W103" s="219"/>
      <c r="X103" s="219"/>
      <c r="Y103" s="219"/>
      <c r="Z103" s="219"/>
    </row>
    <row r="104">
      <c r="A104" s="214"/>
      <c r="B104" s="215">
        <v>37.42</v>
      </c>
      <c r="C104" s="215" t="s">
        <v>256</v>
      </c>
      <c r="D104" s="215">
        <v>1.0</v>
      </c>
      <c r="E104" s="216">
        <f t="shared" si="1"/>
        <v>0.02672367718</v>
      </c>
      <c r="F104" s="217">
        <f t="shared" si="2"/>
        <v>2.672367718</v>
      </c>
      <c r="G104" s="215">
        <v>2.67</v>
      </c>
      <c r="H104" s="218"/>
      <c r="I104" s="219"/>
      <c r="J104" s="219"/>
      <c r="K104" s="219"/>
      <c r="L104" s="219"/>
      <c r="M104" s="219"/>
      <c r="N104" s="219"/>
      <c r="O104" s="219"/>
      <c r="P104" s="219"/>
      <c r="Q104" s="219"/>
      <c r="R104" s="219"/>
      <c r="S104" s="219"/>
      <c r="T104" s="219"/>
      <c r="U104" s="219"/>
      <c r="V104" s="219"/>
      <c r="W104" s="219"/>
      <c r="X104" s="219"/>
      <c r="Y104" s="219"/>
      <c r="Z104" s="219"/>
    </row>
    <row r="105">
      <c r="A105" s="214"/>
      <c r="B105" s="215">
        <v>116.8</v>
      </c>
      <c r="C105" s="215" t="s">
        <v>256</v>
      </c>
      <c r="D105" s="215">
        <v>2.0</v>
      </c>
      <c r="E105" s="216">
        <f t="shared" si="1"/>
        <v>0.01712328767</v>
      </c>
      <c r="F105" s="217">
        <f t="shared" si="2"/>
        <v>1.712328767</v>
      </c>
      <c r="G105" s="215">
        <v>1.71</v>
      </c>
      <c r="H105" s="218"/>
      <c r="I105" s="219"/>
      <c r="J105" s="219"/>
      <c r="K105" s="219"/>
      <c r="L105" s="219"/>
      <c r="M105" s="219"/>
      <c r="N105" s="219"/>
      <c r="O105" s="219"/>
      <c r="P105" s="219"/>
      <c r="Q105" s="219"/>
      <c r="R105" s="219"/>
      <c r="S105" s="219"/>
      <c r="T105" s="219"/>
      <c r="U105" s="219"/>
      <c r="V105" s="219"/>
      <c r="W105" s="219"/>
      <c r="X105" s="219"/>
      <c r="Y105" s="219"/>
      <c r="Z105" s="219"/>
    </row>
    <row r="106">
      <c r="A106" s="214"/>
      <c r="B106" s="215">
        <v>88.15</v>
      </c>
      <c r="C106" s="215" t="s">
        <v>256</v>
      </c>
      <c r="D106" s="215">
        <v>1.0</v>
      </c>
      <c r="E106" s="216">
        <f t="shared" si="1"/>
        <v>0.01134429949</v>
      </c>
      <c r="F106" s="217">
        <f t="shared" si="2"/>
        <v>1.134429949</v>
      </c>
      <c r="G106" s="215">
        <v>1.13</v>
      </c>
      <c r="H106" s="218"/>
      <c r="I106" s="219"/>
      <c r="J106" s="219"/>
      <c r="K106" s="219"/>
      <c r="L106" s="219"/>
      <c r="M106" s="219"/>
      <c r="N106" s="219"/>
      <c r="O106" s="219"/>
      <c r="P106" s="219"/>
      <c r="Q106" s="219"/>
      <c r="R106" s="219"/>
      <c r="S106" s="219"/>
      <c r="T106" s="219"/>
      <c r="U106" s="219"/>
      <c r="V106" s="219"/>
      <c r="W106" s="219"/>
      <c r="X106" s="219"/>
      <c r="Y106" s="219"/>
      <c r="Z106" s="219"/>
    </row>
    <row r="107">
      <c r="A107" s="222"/>
      <c r="B107" s="215">
        <v>84.85</v>
      </c>
      <c r="C107" s="215" t="s">
        <v>256</v>
      </c>
      <c r="D107" s="215">
        <v>1.0</v>
      </c>
      <c r="E107" s="216">
        <f t="shared" si="1"/>
        <v>0.01178550383</v>
      </c>
      <c r="F107" s="217">
        <f t="shared" si="2"/>
        <v>1.178550383</v>
      </c>
      <c r="G107" s="215">
        <v>1.18</v>
      </c>
      <c r="H107" s="218"/>
      <c r="I107" s="219"/>
      <c r="J107" s="219"/>
      <c r="K107" s="219"/>
      <c r="L107" s="219"/>
      <c r="M107" s="219"/>
      <c r="N107" s="219"/>
      <c r="O107" s="219"/>
      <c r="P107" s="219"/>
      <c r="Q107" s="219"/>
      <c r="R107" s="219"/>
      <c r="S107" s="219"/>
      <c r="T107" s="219"/>
      <c r="U107" s="219"/>
      <c r="V107" s="219"/>
      <c r="W107" s="219"/>
      <c r="X107" s="219"/>
      <c r="Y107" s="219"/>
      <c r="Z107" s="219"/>
    </row>
    <row r="108">
      <c r="A108" s="214"/>
      <c r="B108" s="215">
        <v>44.59</v>
      </c>
      <c r="C108" s="215" t="s">
        <v>256</v>
      </c>
      <c r="D108" s="215">
        <v>1.0</v>
      </c>
      <c r="E108" s="216">
        <f t="shared" si="1"/>
        <v>0.02242655304</v>
      </c>
      <c r="F108" s="217">
        <f t="shared" si="2"/>
        <v>2.242655304</v>
      </c>
      <c r="G108" s="215">
        <v>2.24</v>
      </c>
      <c r="H108" s="218"/>
      <c r="I108" s="219"/>
      <c r="J108" s="219"/>
      <c r="K108" s="219"/>
      <c r="L108" s="219"/>
      <c r="M108" s="219"/>
      <c r="N108" s="219"/>
      <c r="O108" s="219"/>
      <c r="P108" s="219"/>
      <c r="Q108" s="219"/>
      <c r="R108" s="219"/>
      <c r="S108" s="219"/>
      <c r="T108" s="219"/>
      <c r="U108" s="219"/>
      <c r="V108" s="219"/>
      <c r="W108" s="219"/>
      <c r="X108" s="219"/>
      <c r="Y108" s="219"/>
      <c r="Z108" s="219"/>
    </row>
    <row r="109">
      <c r="A109" s="220"/>
      <c r="B109" s="215">
        <v>46.97</v>
      </c>
      <c r="C109" s="215" t="s">
        <v>256</v>
      </c>
      <c r="D109" s="215">
        <v>1.0</v>
      </c>
      <c r="E109" s="216">
        <f t="shared" si="1"/>
        <v>0.02129018522</v>
      </c>
      <c r="F109" s="217">
        <f t="shared" si="2"/>
        <v>2.129018522</v>
      </c>
      <c r="G109" s="215">
        <v>2.13</v>
      </c>
      <c r="H109" s="218"/>
      <c r="I109" s="219"/>
      <c r="J109" s="219"/>
      <c r="K109" s="219"/>
      <c r="L109" s="219"/>
      <c r="M109" s="219"/>
      <c r="N109" s="219"/>
      <c r="O109" s="219"/>
      <c r="P109" s="219"/>
      <c r="Q109" s="219"/>
      <c r="R109" s="219"/>
      <c r="S109" s="219"/>
      <c r="T109" s="219"/>
      <c r="U109" s="219"/>
      <c r="V109" s="219"/>
      <c r="W109" s="219"/>
      <c r="X109" s="219"/>
      <c r="Y109" s="219"/>
      <c r="Z109" s="219"/>
    </row>
    <row r="110">
      <c r="A110" s="222"/>
      <c r="B110" s="215">
        <v>35.76</v>
      </c>
      <c r="C110" s="215" t="s">
        <v>256</v>
      </c>
      <c r="D110" s="215">
        <v>1.0</v>
      </c>
      <c r="E110" s="216">
        <f t="shared" si="1"/>
        <v>0.02796420582</v>
      </c>
      <c r="F110" s="217">
        <f t="shared" si="2"/>
        <v>2.796420582</v>
      </c>
      <c r="G110" s="215">
        <v>2.8</v>
      </c>
      <c r="H110" s="218"/>
      <c r="I110" s="219"/>
      <c r="J110" s="219"/>
      <c r="K110" s="219"/>
      <c r="L110" s="219"/>
      <c r="M110" s="219"/>
      <c r="N110" s="219"/>
      <c r="O110" s="219"/>
      <c r="P110" s="219"/>
      <c r="Q110" s="219"/>
      <c r="R110" s="219"/>
      <c r="S110" s="219"/>
      <c r="T110" s="219"/>
      <c r="U110" s="219"/>
      <c r="V110" s="219"/>
      <c r="W110" s="219"/>
      <c r="X110" s="219"/>
      <c r="Y110" s="219"/>
      <c r="Z110" s="219"/>
    </row>
    <row r="111">
      <c r="A111" s="214"/>
      <c r="B111" s="215">
        <v>35.05</v>
      </c>
      <c r="C111" s="215" t="s">
        <v>256</v>
      </c>
      <c r="D111" s="215">
        <v>1.0</v>
      </c>
      <c r="E111" s="216">
        <f t="shared" si="1"/>
        <v>0.02853067047</v>
      </c>
      <c r="F111" s="217">
        <f t="shared" si="2"/>
        <v>2.853067047</v>
      </c>
      <c r="G111" s="215">
        <v>2.85</v>
      </c>
      <c r="H111" s="218"/>
      <c r="I111" s="219"/>
      <c r="J111" s="219"/>
      <c r="K111" s="219"/>
      <c r="L111" s="219"/>
      <c r="M111" s="219"/>
      <c r="N111" s="219"/>
      <c r="O111" s="219"/>
      <c r="P111" s="219"/>
      <c r="Q111" s="219"/>
      <c r="R111" s="219"/>
      <c r="S111" s="219"/>
      <c r="T111" s="219"/>
      <c r="U111" s="219"/>
      <c r="V111" s="219"/>
      <c r="W111" s="219"/>
      <c r="X111" s="219"/>
      <c r="Y111" s="219"/>
      <c r="Z111" s="219"/>
    </row>
    <row r="112">
      <c r="A112" s="214"/>
      <c r="B112" s="215">
        <v>45.15</v>
      </c>
      <c r="C112" s="215" t="s">
        <v>256</v>
      </c>
      <c r="D112" s="215">
        <v>1.0</v>
      </c>
      <c r="E112" s="216">
        <f t="shared" si="1"/>
        <v>0.02214839424</v>
      </c>
      <c r="F112" s="217">
        <f t="shared" si="2"/>
        <v>2.214839424</v>
      </c>
      <c r="G112" s="215">
        <v>2.21</v>
      </c>
      <c r="H112" s="218"/>
      <c r="I112" s="219"/>
      <c r="J112" s="219"/>
      <c r="K112" s="219"/>
      <c r="L112" s="219"/>
      <c r="M112" s="219"/>
      <c r="N112" s="219"/>
      <c r="O112" s="219"/>
      <c r="P112" s="219"/>
      <c r="Q112" s="219"/>
      <c r="R112" s="219"/>
      <c r="S112" s="219"/>
      <c r="T112" s="219"/>
      <c r="U112" s="219"/>
      <c r="V112" s="219"/>
      <c r="W112" s="219"/>
      <c r="X112" s="219"/>
      <c r="Y112" s="219"/>
      <c r="Z112" s="219"/>
    </row>
    <row r="113">
      <c r="A113" s="214"/>
      <c r="B113" s="215">
        <v>43.03</v>
      </c>
      <c r="C113" s="215" t="s">
        <v>256</v>
      </c>
      <c r="D113" s="215">
        <v>1.0</v>
      </c>
      <c r="E113" s="216">
        <f t="shared" si="1"/>
        <v>0.02323960028</v>
      </c>
      <c r="F113" s="217">
        <f t="shared" si="2"/>
        <v>2.323960028</v>
      </c>
      <c r="G113" s="215">
        <v>2.32</v>
      </c>
      <c r="H113" s="218"/>
      <c r="I113" s="219"/>
      <c r="J113" s="219"/>
      <c r="K113" s="219"/>
      <c r="L113" s="219"/>
      <c r="M113" s="219"/>
      <c r="N113" s="219"/>
      <c r="O113" s="219"/>
      <c r="P113" s="219"/>
      <c r="Q113" s="219"/>
      <c r="R113" s="219"/>
      <c r="S113" s="219"/>
      <c r="T113" s="219"/>
      <c r="U113" s="219"/>
      <c r="V113" s="219"/>
      <c r="W113" s="219"/>
      <c r="X113" s="219"/>
      <c r="Y113" s="219"/>
      <c r="Z113" s="219"/>
    </row>
    <row r="114">
      <c r="A114" s="214"/>
      <c r="B114" s="215">
        <v>55.15</v>
      </c>
      <c r="C114" s="215" t="s">
        <v>256</v>
      </c>
      <c r="D114" s="215">
        <v>1.0</v>
      </c>
      <c r="E114" s="216">
        <f t="shared" si="1"/>
        <v>0.01813236627</v>
      </c>
      <c r="F114" s="217">
        <f t="shared" si="2"/>
        <v>1.813236627</v>
      </c>
      <c r="G114" s="215">
        <v>1.81</v>
      </c>
      <c r="H114" s="218"/>
      <c r="I114" s="219"/>
      <c r="J114" s="219"/>
      <c r="K114" s="219"/>
      <c r="L114" s="219"/>
      <c r="M114" s="219"/>
      <c r="N114" s="219"/>
      <c r="O114" s="219"/>
      <c r="P114" s="219"/>
      <c r="Q114" s="219"/>
      <c r="R114" s="219"/>
      <c r="S114" s="219"/>
      <c r="T114" s="219"/>
      <c r="U114" s="219"/>
      <c r="V114" s="219"/>
      <c r="W114" s="219"/>
      <c r="X114" s="219"/>
      <c r="Y114" s="219"/>
      <c r="Z114" s="219"/>
    </row>
    <row r="115">
      <c r="A115" s="224"/>
      <c r="B115" s="215">
        <v>35.15</v>
      </c>
      <c r="C115" s="215" t="s">
        <v>256</v>
      </c>
      <c r="D115" s="215">
        <v>1.0</v>
      </c>
      <c r="E115" s="216">
        <f t="shared" si="1"/>
        <v>0.02844950213</v>
      </c>
      <c r="F115" s="217">
        <f t="shared" si="2"/>
        <v>2.844950213</v>
      </c>
      <c r="G115" s="215">
        <v>2.84</v>
      </c>
      <c r="H115" s="218"/>
      <c r="I115" s="219"/>
      <c r="J115" s="219"/>
      <c r="K115" s="219"/>
      <c r="L115" s="219"/>
      <c r="M115" s="219"/>
      <c r="N115" s="219"/>
      <c r="O115" s="219"/>
      <c r="P115" s="219"/>
      <c r="Q115" s="219"/>
      <c r="R115" s="219"/>
      <c r="S115" s="219"/>
      <c r="T115" s="219"/>
      <c r="U115" s="219"/>
      <c r="V115" s="219"/>
      <c r="W115" s="219"/>
      <c r="X115" s="219"/>
      <c r="Y115" s="219"/>
      <c r="Z115" s="219"/>
    </row>
    <row r="116">
      <c r="A116" s="214"/>
      <c r="B116" s="215">
        <v>74.55</v>
      </c>
      <c r="C116" s="215" t="s">
        <v>256</v>
      </c>
      <c r="D116" s="215">
        <v>1.0</v>
      </c>
      <c r="E116" s="216">
        <f t="shared" si="1"/>
        <v>0.01341381623</v>
      </c>
      <c r="F116" s="217">
        <f t="shared" si="2"/>
        <v>1.341381623</v>
      </c>
      <c r="G116" s="215">
        <v>1.34</v>
      </c>
      <c r="H116" s="218"/>
      <c r="I116" s="219"/>
      <c r="J116" s="219"/>
      <c r="K116" s="219"/>
      <c r="L116" s="219"/>
      <c r="M116" s="219"/>
      <c r="N116" s="219"/>
      <c r="O116" s="219"/>
      <c r="P116" s="219"/>
      <c r="Q116" s="219"/>
      <c r="R116" s="219"/>
      <c r="S116" s="219"/>
      <c r="T116" s="219"/>
      <c r="U116" s="219"/>
      <c r="V116" s="219"/>
      <c r="W116" s="219"/>
      <c r="X116" s="219"/>
      <c r="Y116" s="219"/>
      <c r="Z116" s="219"/>
    </row>
    <row r="117">
      <c r="A117" s="222"/>
      <c r="B117" s="215">
        <v>51.52</v>
      </c>
      <c r="C117" s="215" t="s">
        <v>256</v>
      </c>
      <c r="D117" s="215">
        <v>1.0</v>
      </c>
      <c r="E117" s="216">
        <f t="shared" si="1"/>
        <v>0.01940993789</v>
      </c>
      <c r="F117" s="217">
        <f t="shared" si="2"/>
        <v>1.940993789</v>
      </c>
      <c r="G117" s="215">
        <v>1.94</v>
      </c>
      <c r="H117" s="218"/>
      <c r="I117" s="219"/>
      <c r="J117" s="219"/>
      <c r="K117" s="219"/>
      <c r="L117" s="219"/>
      <c r="M117" s="219"/>
      <c r="N117" s="219"/>
      <c r="O117" s="219"/>
      <c r="P117" s="219"/>
      <c r="Q117" s="219"/>
      <c r="R117" s="219"/>
      <c r="S117" s="219"/>
      <c r="T117" s="219"/>
      <c r="U117" s="219"/>
      <c r="V117" s="219"/>
      <c r="W117" s="219"/>
      <c r="X117" s="219"/>
      <c r="Y117" s="219"/>
      <c r="Z117" s="219"/>
    </row>
    <row r="118">
      <c r="A118" s="214"/>
      <c r="B118" s="215">
        <v>25.02</v>
      </c>
      <c r="C118" s="215" t="s">
        <v>256</v>
      </c>
      <c r="D118" s="215">
        <v>1.0</v>
      </c>
      <c r="E118" s="216">
        <f t="shared" si="1"/>
        <v>0.03996802558</v>
      </c>
      <c r="F118" s="217">
        <f t="shared" si="2"/>
        <v>3.996802558</v>
      </c>
      <c r="G118" s="215">
        <v>4.0</v>
      </c>
      <c r="H118" s="218"/>
      <c r="I118" s="219"/>
      <c r="J118" s="219"/>
      <c r="K118" s="219"/>
      <c r="L118" s="219"/>
      <c r="M118" s="219"/>
      <c r="N118" s="219"/>
      <c r="O118" s="219"/>
      <c r="P118" s="219"/>
      <c r="Q118" s="219"/>
      <c r="R118" s="219"/>
      <c r="S118" s="219"/>
      <c r="T118" s="219"/>
      <c r="U118" s="219"/>
      <c r="V118" s="219"/>
      <c r="W118" s="219"/>
      <c r="X118" s="219"/>
      <c r="Y118" s="219"/>
      <c r="Z118" s="219"/>
    </row>
    <row r="119">
      <c r="A119" s="214"/>
      <c r="B119" s="215">
        <v>52.81</v>
      </c>
      <c r="C119" s="215" t="s">
        <v>256</v>
      </c>
      <c r="D119" s="215">
        <v>1.0</v>
      </c>
      <c r="E119" s="216">
        <f t="shared" si="1"/>
        <v>0.01893580761</v>
      </c>
      <c r="F119" s="217">
        <f t="shared" si="2"/>
        <v>1.893580761</v>
      </c>
      <c r="G119" s="215">
        <v>1.89</v>
      </c>
      <c r="H119" s="218"/>
      <c r="I119" s="219"/>
      <c r="J119" s="219"/>
      <c r="K119" s="219"/>
      <c r="L119" s="219"/>
      <c r="M119" s="219"/>
      <c r="N119" s="219"/>
      <c r="O119" s="219"/>
      <c r="P119" s="219"/>
      <c r="Q119" s="219"/>
      <c r="R119" s="219"/>
      <c r="S119" s="219"/>
      <c r="T119" s="219"/>
      <c r="U119" s="219"/>
      <c r="V119" s="219"/>
      <c r="W119" s="219"/>
      <c r="X119" s="219"/>
      <c r="Y119" s="219"/>
      <c r="Z119" s="219"/>
    </row>
    <row r="120">
      <c r="A120" s="214"/>
      <c r="B120" s="215">
        <v>39.22</v>
      </c>
      <c r="C120" s="215" t="s">
        <v>256</v>
      </c>
      <c r="D120" s="215">
        <v>1.0</v>
      </c>
      <c r="E120" s="216">
        <f t="shared" si="1"/>
        <v>0.02549719531</v>
      </c>
      <c r="F120" s="217">
        <f t="shared" si="2"/>
        <v>2.549719531</v>
      </c>
      <c r="G120" s="215">
        <v>2.55</v>
      </c>
      <c r="H120" s="218"/>
      <c r="I120" s="219"/>
      <c r="J120" s="219"/>
      <c r="K120" s="219"/>
      <c r="L120" s="219"/>
      <c r="M120" s="219"/>
      <c r="N120" s="219"/>
      <c r="O120" s="219"/>
      <c r="P120" s="219"/>
      <c r="Q120" s="219"/>
      <c r="R120" s="219"/>
      <c r="S120" s="219"/>
      <c r="T120" s="219"/>
      <c r="U120" s="219"/>
      <c r="V120" s="219"/>
      <c r="W120" s="219"/>
      <c r="X120" s="219"/>
      <c r="Y120" s="219"/>
      <c r="Z120" s="219"/>
    </row>
    <row r="121">
      <c r="A121" s="214"/>
      <c r="B121" s="215">
        <v>104.76</v>
      </c>
      <c r="C121" s="215" t="s">
        <v>256</v>
      </c>
      <c r="D121" s="215">
        <v>2.0</v>
      </c>
      <c r="E121" s="216">
        <f t="shared" si="1"/>
        <v>0.0190912562</v>
      </c>
      <c r="F121" s="217">
        <f t="shared" si="2"/>
        <v>1.90912562</v>
      </c>
      <c r="G121" s="215">
        <v>1.91</v>
      </c>
      <c r="H121" s="218"/>
      <c r="I121" s="219"/>
      <c r="J121" s="219"/>
      <c r="K121" s="219"/>
      <c r="L121" s="219"/>
      <c r="M121" s="219"/>
      <c r="N121" s="219"/>
      <c r="O121" s="219"/>
      <c r="P121" s="219"/>
      <c r="Q121" s="219"/>
      <c r="R121" s="219"/>
      <c r="S121" s="219"/>
      <c r="T121" s="219"/>
      <c r="U121" s="219"/>
      <c r="V121" s="219"/>
      <c r="W121" s="219"/>
      <c r="X121" s="219"/>
      <c r="Y121" s="219"/>
      <c r="Z121" s="219"/>
    </row>
    <row r="122">
      <c r="A122" s="214"/>
      <c r="B122" s="215">
        <v>16.54</v>
      </c>
      <c r="C122" s="215" t="s">
        <v>256</v>
      </c>
      <c r="D122" s="215">
        <v>1.0</v>
      </c>
      <c r="E122" s="216">
        <f t="shared" si="1"/>
        <v>0.06045949214</v>
      </c>
      <c r="F122" s="217">
        <f t="shared" si="2"/>
        <v>6.045949214</v>
      </c>
      <c r="G122" s="215">
        <v>6.05</v>
      </c>
      <c r="H122" s="218"/>
      <c r="I122" s="219"/>
      <c r="J122" s="219"/>
      <c r="K122" s="219"/>
      <c r="L122" s="219"/>
      <c r="M122" s="219"/>
      <c r="N122" s="219"/>
      <c r="O122" s="219"/>
      <c r="P122" s="219"/>
      <c r="Q122" s="219"/>
      <c r="R122" s="219"/>
      <c r="S122" s="219"/>
      <c r="T122" s="219"/>
      <c r="U122" s="219"/>
      <c r="V122" s="219"/>
      <c r="W122" s="219"/>
      <c r="X122" s="219"/>
      <c r="Y122" s="219"/>
      <c r="Z122" s="219"/>
    </row>
    <row r="123">
      <c r="A123" s="214"/>
      <c r="B123" s="215">
        <v>24.7</v>
      </c>
      <c r="C123" s="215" t="s">
        <v>256</v>
      </c>
      <c r="D123" s="215">
        <v>1.0</v>
      </c>
      <c r="E123" s="216">
        <f t="shared" si="1"/>
        <v>0.04048582996</v>
      </c>
      <c r="F123" s="217">
        <f t="shared" si="2"/>
        <v>4.048582996</v>
      </c>
      <c r="G123" s="215">
        <v>4.05</v>
      </c>
      <c r="H123" s="218"/>
      <c r="I123" s="219"/>
      <c r="J123" s="219"/>
      <c r="K123" s="219"/>
      <c r="L123" s="219"/>
      <c r="M123" s="219"/>
      <c r="N123" s="219"/>
      <c r="O123" s="219"/>
      <c r="P123" s="219"/>
      <c r="Q123" s="219"/>
      <c r="R123" s="219"/>
      <c r="S123" s="219"/>
      <c r="T123" s="219"/>
      <c r="U123" s="219"/>
      <c r="V123" s="219"/>
      <c r="W123" s="219"/>
      <c r="X123" s="219"/>
      <c r="Y123" s="219"/>
      <c r="Z123" s="219"/>
    </row>
    <row r="124">
      <c r="A124" s="214"/>
      <c r="B124" s="215">
        <v>24.42</v>
      </c>
      <c r="C124" s="215" t="s">
        <v>256</v>
      </c>
      <c r="D124" s="215">
        <v>1.0</v>
      </c>
      <c r="E124" s="216">
        <f t="shared" si="1"/>
        <v>0.04095004095</v>
      </c>
      <c r="F124" s="217">
        <f t="shared" si="2"/>
        <v>4.095004095</v>
      </c>
      <c r="G124" s="215">
        <v>4.1</v>
      </c>
      <c r="H124" s="218"/>
      <c r="I124" s="219"/>
      <c r="J124" s="219"/>
      <c r="K124" s="219"/>
      <c r="L124" s="219"/>
      <c r="M124" s="219"/>
      <c r="N124" s="219"/>
      <c r="O124" s="219"/>
      <c r="P124" s="219"/>
      <c r="Q124" s="219"/>
      <c r="R124" s="219"/>
      <c r="S124" s="219"/>
      <c r="T124" s="219"/>
      <c r="U124" s="219"/>
      <c r="V124" s="219"/>
      <c r="W124" s="219"/>
      <c r="X124" s="219"/>
      <c r="Y124" s="219"/>
      <c r="Z124" s="219"/>
    </row>
    <row r="125">
      <c r="A125" s="214"/>
      <c r="B125" s="215">
        <v>30.58</v>
      </c>
      <c r="C125" s="215" t="s">
        <v>256</v>
      </c>
      <c r="D125" s="215">
        <v>1.0</v>
      </c>
      <c r="E125" s="216">
        <f t="shared" si="1"/>
        <v>0.03270111184</v>
      </c>
      <c r="F125" s="217">
        <f t="shared" si="2"/>
        <v>3.270111184</v>
      </c>
      <c r="G125" s="215">
        <v>3.27</v>
      </c>
      <c r="H125" s="218"/>
      <c r="I125" s="219"/>
      <c r="J125" s="219"/>
      <c r="K125" s="219"/>
      <c r="L125" s="219"/>
      <c r="M125" s="219"/>
      <c r="N125" s="219"/>
      <c r="O125" s="219"/>
      <c r="P125" s="219"/>
      <c r="Q125" s="219"/>
      <c r="R125" s="219"/>
      <c r="S125" s="219"/>
      <c r="T125" s="219"/>
      <c r="U125" s="219"/>
      <c r="V125" s="219"/>
      <c r="W125" s="219"/>
      <c r="X125" s="219"/>
      <c r="Y125" s="219"/>
      <c r="Z125" s="219"/>
    </row>
    <row r="126">
      <c r="A126" s="220"/>
      <c r="B126" s="215">
        <v>13.7</v>
      </c>
      <c r="C126" s="215" t="s">
        <v>256</v>
      </c>
      <c r="D126" s="215">
        <v>1.0</v>
      </c>
      <c r="E126" s="216">
        <f t="shared" si="1"/>
        <v>0.07299270073</v>
      </c>
      <c r="F126" s="217">
        <f t="shared" si="2"/>
        <v>7.299270073</v>
      </c>
      <c r="G126" s="215">
        <v>7.3</v>
      </c>
      <c r="H126" s="218"/>
      <c r="I126" s="219"/>
      <c r="J126" s="219"/>
      <c r="K126" s="219"/>
      <c r="L126" s="219"/>
      <c r="M126" s="219"/>
      <c r="N126" s="219"/>
      <c r="O126" s="219"/>
      <c r="P126" s="219"/>
      <c r="Q126" s="219"/>
      <c r="R126" s="219"/>
      <c r="S126" s="219"/>
      <c r="T126" s="219"/>
      <c r="U126" s="219"/>
      <c r="V126" s="219"/>
      <c r="W126" s="219"/>
      <c r="X126" s="219"/>
      <c r="Y126" s="219"/>
      <c r="Z126" s="219"/>
    </row>
    <row r="127">
      <c r="A127" s="214"/>
      <c r="B127" s="215">
        <v>21.82</v>
      </c>
      <c r="C127" s="215" t="s">
        <v>256</v>
      </c>
      <c r="D127" s="215">
        <v>1.0</v>
      </c>
      <c r="E127" s="216">
        <f t="shared" si="1"/>
        <v>0.04582951421</v>
      </c>
      <c r="F127" s="217">
        <f t="shared" si="2"/>
        <v>4.582951421</v>
      </c>
      <c r="G127" s="215">
        <v>4.58</v>
      </c>
      <c r="H127" s="218"/>
      <c r="I127" s="219"/>
      <c r="J127" s="219"/>
      <c r="K127" s="219"/>
      <c r="L127" s="219"/>
      <c r="M127" s="219"/>
      <c r="N127" s="219"/>
      <c r="O127" s="219"/>
      <c r="P127" s="219"/>
      <c r="Q127" s="219"/>
      <c r="R127" s="219"/>
      <c r="S127" s="219"/>
      <c r="T127" s="219"/>
      <c r="U127" s="219"/>
      <c r="V127" s="219"/>
      <c r="W127" s="219"/>
      <c r="X127" s="219"/>
      <c r="Y127" s="219"/>
      <c r="Z127" s="219"/>
    </row>
    <row r="128">
      <c r="A128" s="214"/>
      <c r="B128" s="215">
        <v>30.0</v>
      </c>
      <c r="C128" s="215" t="s">
        <v>256</v>
      </c>
      <c r="D128" s="215">
        <v>1.0</v>
      </c>
      <c r="E128" s="216">
        <f t="shared" si="1"/>
        <v>0.03333333333</v>
      </c>
      <c r="F128" s="217">
        <f t="shared" si="2"/>
        <v>3.333333333</v>
      </c>
      <c r="G128" s="215">
        <v>3.33</v>
      </c>
      <c r="H128" s="218"/>
      <c r="I128" s="219"/>
      <c r="J128" s="219"/>
      <c r="K128" s="219"/>
      <c r="L128" s="219"/>
      <c r="M128" s="219"/>
      <c r="N128" s="219"/>
      <c r="O128" s="219"/>
      <c r="P128" s="219"/>
      <c r="Q128" s="219"/>
      <c r="R128" s="219"/>
      <c r="S128" s="219"/>
      <c r="T128" s="219"/>
      <c r="U128" s="219"/>
      <c r="V128" s="219"/>
      <c r="W128" s="219"/>
      <c r="X128" s="219"/>
      <c r="Y128" s="219"/>
      <c r="Z128" s="219"/>
    </row>
    <row r="129">
      <c r="A129" s="220"/>
      <c r="B129" s="215">
        <v>53.99</v>
      </c>
      <c r="C129" s="215" t="s">
        <v>256</v>
      </c>
      <c r="D129" s="215">
        <v>1.0</v>
      </c>
      <c r="E129" s="216">
        <f t="shared" si="1"/>
        <v>0.01852194851</v>
      </c>
      <c r="F129" s="217">
        <f t="shared" si="2"/>
        <v>1.852194851</v>
      </c>
      <c r="G129" s="215">
        <v>1.85</v>
      </c>
      <c r="H129" s="218"/>
      <c r="I129" s="219"/>
      <c r="J129" s="219"/>
      <c r="K129" s="219"/>
      <c r="L129" s="219"/>
      <c r="M129" s="219"/>
      <c r="N129" s="219"/>
      <c r="O129" s="219"/>
      <c r="P129" s="219"/>
      <c r="Q129" s="219"/>
      <c r="R129" s="219"/>
      <c r="S129" s="219"/>
      <c r="T129" s="219"/>
      <c r="U129" s="219"/>
      <c r="V129" s="219"/>
      <c r="W129" s="219"/>
      <c r="X129" s="219"/>
      <c r="Y129" s="219"/>
      <c r="Z129" s="219"/>
    </row>
    <row r="130">
      <c r="A130" s="214"/>
      <c r="B130" s="215">
        <v>87.05</v>
      </c>
      <c r="C130" s="215" t="s">
        <v>256</v>
      </c>
      <c r="D130" s="215">
        <v>1.0</v>
      </c>
      <c r="E130" s="216">
        <f t="shared" si="1"/>
        <v>0.01148765078</v>
      </c>
      <c r="F130" s="217">
        <f t="shared" si="2"/>
        <v>1.148765078</v>
      </c>
      <c r="G130" s="215">
        <v>1.15</v>
      </c>
      <c r="H130" s="218"/>
      <c r="I130" s="219"/>
      <c r="J130" s="219"/>
      <c r="K130" s="219"/>
      <c r="L130" s="219"/>
      <c r="M130" s="219"/>
      <c r="N130" s="219"/>
      <c r="O130" s="219"/>
      <c r="P130" s="219"/>
      <c r="Q130" s="219"/>
      <c r="R130" s="219"/>
      <c r="S130" s="219"/>
      <c r="T130" s="219"/>
      <c r="U130" s="219"/>
      <c r="V130" s="219"/>
      <c r="W130" s="219"/>
      <c r="X130" s="219"/>
      <c r="Y130" s="219"/>
      <c r="Z130" s="219"/>
    </row>
    <row r="131">
      <c r="A131" s="214"/>
      <c r="B131" s="215">
        <v>74.93</v>
      </c>
      <c r="C131" s="215" t="s">
        <v>256</v>
      </c>
      <c r="D131" s="215">
        <v>1.0</v>
      </c>
      <c r="E131" s="216">
        <f t="shared" si="1"/>
        <v>0.0133457894</v>
      </c>
      <c r="F131" s="217">
        <f t="shared" si="2"/>
        <v>1.33457894</v>
      </c>
      <c r="G131" s="215">
        <v>1.33</v>
      </c>
      <c r="H131" s="218"/>
      <c r="I131" s="219"/>
      <c r="J131" s="219"/>
      <c r="K131" s="219"/>
      <c r="L131" s="219"/>
      <c r="M131" s="219"/>
      <c r="N131" s="219"/>
      <c r="O131" s="219"/>
      <c r="P131" s="219"/>
      <c r="Q131" s="219"/>
      <c r="R131" s="219"/>
      <c r="S131" s="219"/>
      <c r="T131" s="219"/>
      <c r="U131" s="219"/>
      <c r="V131" s="219"/>
      <c r="W131" s="219"/>
      <c r="X131" s="219"/>
      <c r="Y131" s="219"/>
      <c r="Z131" s="219"/>
    </row>
    <row r="132">
      <c r="A132" s="214"/>
      <c r="B132" s="215">
        <v>29.39</v>
      </c>
      <c r="C132" s="215" t="s">
        <v>256</v>
      </c>
      <c r="D132" s="215">
        <v>1.0</v>
      </c>
      <c r="E132" s="216">
        <f t="shared" si="1"/>
        <v>0.03402517863</v>
      </c>
      <c r="F132" s="217">
        <f t="shared" si="2"/>
        <v>3.402517863</v>
      </c>
      <c r="G132" s="215">
        <v>3.4</v>
      </c>
      <c r="H132" s="218"/>
      <c r="I132" s="219"/>
      <c r="J132" s="219"/>
      <c r="K132" s="219"/>
      <c r="L132" s="219"/>
      <c r="M132" s="219"/>
      <c r="N132" s="219"/>
      <c r="O132" s="219"/>
      <c r="P132" s="219"/>
      <c r="Q132" s="219"/>
      <c r="R132" s="219"/>
      <c r="S132" s="219"/>
      <c r="T132" s="219"/>
      <c r="U132" s="219"/>
      <c r="V132" s="219"/>
      <c r="W132" s="219"/>
      <c r="X132" s="219"/>
      <c r="Y132" s="219"/>
      <c r="Z132" s="219"/>
    </row>
    <row r="133">
      <c r="A133" s="214"/>
      <c r="B133" s="215">
        <v>16.16</v>
      </c>
      <c r="C133" s="215" t="s">
        <v>256</v>
      </c>
      <c r="D133" s="215">
        <v>1.0</v>
      </c>
      <c r="E133" s="216">
        <f t="shared" si="1"/>
        <v>0.06188118812</v>
      </c>
      <c r="F133" s="217">
        <f t="shared" si="2"/>
        <v>6.188118812</v>
      </c>
      <c r="G133" s="215">
        <v>6.19</v>
      </c>
      <c r="H133" s="218"/>
      <c r="I133" s="219"/>
      <c r="J133" s="219"/>
      <c r="K133" s="219"/>
      <c r="L133" s="219"/>
      <c r="M133" s="219"/>
      <c r="N133" s="219"/>
      <c r="O133" s="219"/>
      <c r="P133" s="219"/>
      <c r="Q133" s="219"/>
      <c r="R133" s="219"/>
      <c r="S133" s="219"/>
      <c r="T133" s="219"/>
      <c r="U133" s="219"/>
      <c r="V133" s="219"/>
      <c r="W133" s="219"/>
      <c r="X133" s="219"/>
      <c r="Y133" s="219"/>
      <c r="Z133" s="219"/>
    </row>
    <row r="134">
      <c r="A134" s="214"/>
      <c r="B134" s="215">
        <v>27.78</v>
      </c>
      <c r="C134" s="215" t="s">
        <v>256</v>
      </c>
      <c r="D134" s="215">
        <v>1.0</v>
      </c>
      <c r="E134" s="216">
        <f t="shared" si="1"/>
        <v>0.03599712023</v>
      </c>
      <c r="F134" s="217">
        <f t="shared" si="2"/>
        <v>3.599712023</v>
      </c>
      <c r="G134" s="215">
        <v>3.6</v>
      </c>
      <c r="H134" s="218"/>
      <c r="I134" s="219"/>
      <c r="J134" s="219"/>
      <c r="K134" s="219"/>
      <c r="L134" s="219"/>
      <c r="M134" s="219"/>
      <c r="N134" s="219"/>
      <c r="O134" s="219"/>
      <c r="P134" s="219"/>
      <c r="Q134" s="219"/>
      <c r="R134" s="219"/>
      <c r="S134" s="219"/>
      <c r="T134" s="219"/>
      <c r="U134" s="219"/>
      <c r="V134" s="219"/>
      <c r="W134" s="219"/>
      <c r="X134" s="219"/>
      <c r="Y134" s="219"/>
      <c r="Z134" s="219"/>
    </row>
    <row r="135">
      <c r="A135" s="220"/>
      <c r="B135" s="215">
        <v>32.35</v>
      </c>
      <c r="C135" s="215" t="s">
        <v>256</v>
      </c>
      <c r="D135" s="215">
        <v>1.0</v>
      </c>
      <c r="E135" s="216">
        <f t="shared" si="1"/>
        <v>0.03091190108</v>
      </c>
      <c r="F135" s="217">
        <f t="shared" si="2"/>
        <v>3.091190108</v>
      </c>
      <c r="G135" s="215">
        <v>3.09</v>
      </c>
      <c r="H135" s="218"/>
      <c r="I135" s="219"/>
      <c r="J135" s="219"/>
      <c r="K135" s="219"/>
      <c r="L135" s="219"/>
      <c r="M135" s="219"/>
      <c r="N135" s="219"/>
      <c r="O135" s="219"/>
      <c r="P135" s="219"/>
      <c r="Q135" s="219"/>
      <c r="R135" s="219"/>
      <c r="S135" s="219"/>
      <c r="T135" s="219"/>
      <c r="U135" s="219"/>
      <c r="V135" s="219"/>
      <c r="W135" s="219"/>
      <c r="X135" s="219"/>
      <c r="Y135" s="219"/>
      <c r="Z135" s="219"/>
    </row>
    <row r="136">
      <c r="A136" s="214"/>
      <c r="B136" s="215">
        <v>25.45</v>
      </c>
      <c r="C136" s="215" t="s">
        <v>256</v>
      </c>
      <c r="D136" s="215">
        <v>1.0</v>
      </c>
      <c r="E136" s="216">
        <f t="shared" si="1"/>
        <v>0.03929273084</v>
      </c>
      <c r="F136" s="217">
        <f t="shared" si="2"/>
        <v>3.929273084</v>
      </c>
      <c r="G136" s="215">
        <v>3.93</v>
      </c>
      <c r="H136" s="218"/>
      <c r="I136" s="219"/>
      <c r="J136" s="219"/>
      <c r="K136" s="219"/>
      <c r="L136" s="219"/>
      <c r="M136" s="219"/>
      <c r="N136" s="219"/>
      <c r="O136" s="219"/>
      <c r="P136" s="219"/>
      <c r="Q136" s="219"/>
      <c r="R136" s="219"/>
      <c r="S136" s="219"/>
      <c r="T136" s="219"/>
      <c r="U136" s="219"/>
      <c r="V136" s="219"/>
      <c r="W136" s="219"/>
      <c r="X136" s="219"/>
      <c r="Y136" s="219"/>
      <c r="Z136" s="219"/>
    </row>
    <row r="137">
      <c r="A137" s="214"/>
      <c r="B137" s="215">
        <v>40.43</v>
      </c>
      <c r="C137" s="215" t="s">
        <v>256</v>
      </c>
      <c r="D137" s="215">
        <v>1.0</v>
      </c>
      <c r="E137" s="216">
        <f t="shared" si="1"/>
        <v>0.02473410834</v>
      </c>
      <c r="F137" s="217">
        <f t="shared" si="2"/>
        <v>2.473410834</v>
      </c>
      <c r="G137" s="215">
        <v>2.47</v>
      </c>
      <c r="H137" s="218"/>
      <c r="I137" s="219"/>
      <c r="J137" s="219"/>
      <c r="K137" s="219"/>
      <c r="L137" s="219"/>
      <c r="M137" s="219"/>
      <c r="N137" s="219"/>
      <c r="O137" s="219"/>
      <c r="P137" s="219"/>
      <c r="Q137" s="219"/>
      <c r="R137" s="219"/>
      <c r="S137" s="219"/>
      <c r="T137" s="219"/>
      <c r="U137" s="219"/>
      <c r="V137" s="219"/>
      <c r="W137" s="219"/>
      <c r="X137" s="219"/>
      <c r="Y137" s="219"/>
      <c r="Z137" s="219"/>
    </row>
    <row r="138">
      <c r="A138" s="214"/>
      <c r="B138" s="215">
        <v>30.81</v>
      </c>
      <c r="C138" s="215" t="s">
        <v>256</v>
      </c>
      <c r="D138" s="215">
        <v>1.0</v>
      </c>
      <c r="E138" s="216">
        <f t="shared" si="1"/>
        <v>0.03245699448</v>
      </c>
      <c r="F138" s="217">
        <f t="shared" si="2"/>
        <v>3.245699448</v>
      </c>
      <c r="G138" s="215">
        <v>3.25</v>
      </c>
      <c r="H138" s="218"/>
      <c r="I138" s="219"/>
      <c r="J138" s="219"/>
      <c r="K138" s="219"/>
      <c r="L138" s="219"/>
      <c r="M138" s="219"/>
      <c r="N138" s="219"/>
      <c r="O138" s="219"/>
      <c r="P138" s="219"/>
      <c r="Q138" s="219"/>
      <c r="R138" s="219"/>
      <c r="S138" s="219"/>
      <c r="T138" s="219"/>
      <c r="U138" s="219"/>
      <c r="V138" s="219"/>
      <c r="W138" s="219"/>
      <c r="X138" s="219"/>
      <c r="Y138" s="219"/>
      <c r="Z138" s="219"/>
    </row>
    <row r="139">
      <c r="A139" s="214"/>
      <c r="B139" s="215">
        <v>12.02</v>
      </c>
      <c r="C139" s="215" t="s">
        <v>256</v>
      </c>
      <c r="D139" s="215">
        <v>1.0</v>
      </c>
      <c r="E139" s="216">
        <f t="shared" si="1"/>
        <v>0.08319467554</v>
      </c>
      <c r="F139" s="217">
        <f t="shared" si="2"/>
        <v>8.319467554</v>
      </c>
      <c r="G139" s="215">
        <v>8.32</v>
      </c>
      <c r="H139" s="218"/>
      <c r="I139" s="219"/>
      <c r="J139" s="219"/>
      <c r="K139" s="219"/>
      <c r="L139" s="219"/>
      <c r="M139" s="219"/>
      <c r="N139" s="219"/>
      <c r="O139" s="219"/>
      <c r="P139" s="219"/>
      <c r="Q139" s="219"/>
      <c r="R139" s="219"/>
      <c r="S139" s="219"/>
      <c r="T139" s="219"/>
      <c r="U139" s="219"/>
      <c r="V139" s="219"/>
      <c r="W139" s="219"/>
      <c r="X139" s="219"/>
      <c r="Y139" s="219"/>
      <c r="Z139" s="219"/>
    </row>
    <row r="140">
      <c r="A140" s="214"/>
      <c r="B140" s="215">
        <v>18.28</v>
      </c>
      <c r="C140" s="215" t="s">
        <v>256</v>
      </c>
      <c r="D140" s="215">
        <v>1.0</v>
      </c>
      <c r="E140" s="216">
        <f t="shared" si="1"/>
        <v>0.05470459519</v>
      </c>
      <c r="F140" s="217">
        <f t="shared" si="2"/>
        <v>5.470459519</v>
      </c>
      <c r="G140" s="215">
        <v>5.47</v>
      </c>
      <c r="H140" s="218"/>
      <c r="I140" s="219"/>
      <c r="J140" s="219"/>
      <c r="K140" s="219"/>
      <c r="L140" s="219"/>
      <c r="M140" s="219"/>
      <c r="N140" s="219"/>
      <c r="O140" s="219"/>
      <c r="P140" s="219"/>
      <c r="Q140" s="219"/>
      <c r="R140" s="219"/>
      <c r="S140" s="219"/>
      <c r="T140" s="219"/>
      <c r="U140" s="219"/>
      <c r="V140" s="219"/>
      <c r="W140" s="219"/>
      <c r="X140" s="219"/>
      <c r="Y140" s="219"/>
      <c r="Z140" s="219"/>
    </row>
    <row r="141">
      <c r="A141" s="214"/>
      <c r="B141" s="215">
        <v>2.67</v>
      </c>
      <c r="C141" s="215" t="s">
        <v>256</v>
      </c>
      <c r="D141" s="215">
        <v>1.0</v>
      </c>
      <c r="E141" s="216">
        <f t="shared" si="1"/>
        <v>0.3745318352</v>
      </c>
      <c r="F141" s="217">
        <f t="shared" si="2"/>
        <v>37.45318352</v>
      </c>
      <c r="G141" s="215">
        <v>20.0</v>
      </c>
      <c r="H141" s="218"/>
      <c r="I141" s="219"/>
      <c r="J141" s="219"/>
      <c r="K141" s="219"/>
      <c r="L141" s="219"/>
      <c r="M141" s="219"/>
      <c r="N141" s="219"/>
      <c r="O141" s="219"/>
      <c r="P141" s="219"/>
      <c r="Q141" s="219"/>
      <c r="R141" s="219"/>
      <c r="S141" s="219"/>
      <c r="T141" s="219"/>
      <c r="U141" s="219"/>
      <c r="V141" s="219"/>
      <c r="W141" s="219"/>
      <c r="X141" s="219"/>
      <c r="Y141" s="219"/>
      <c r="Z141" s="219"/>
    </row>
    <row r="142">
      <c r="A142" s="220"/>
      <c r="B142" s="215">
        <v>67.1</v>
      </c>
      <c r="C142" s="215" t="s">
        <v>256</v>
      </c>
      <c r="D142" s="215">
        <v>1.0</v>
      </c>
      <c r="E142" s="216">
        <f t="shared" si="1"/>
        <v>0.01490312966</v>
      </c>
      <c r="F142" s="217">
        <f t="shared" si="2"/>
        <v>1.490312966</v>
      </c>
      <c r="G142" s="215">
        <v>1.49</v>
      </c>
      <c r="H142" s="218"/>
      <c r="I142" s="219"/>
      <c r="J142" s="219"/>
      <c r="K142" s="219"/>
      <c r="L142" s="219"/>
      <c r="M142" s="219"/>
      <c r="N142" s="219"/>
      <c r="O142" s="219"/>
      <c r="P142" s="219"/>
      <c r="Q142" s="219"/>
      <c r="R142" s="219"/>
      <c r="S142" s="219"/>
      <c r="T142" s="219"/>
      <c r="U142" s="219"/>
      <c r="V142" s="219"/>
      <c r="W142" s="219"/>
      <c r="X142" s="219"/>
      <c r="Y142" s="219"/>
      <c r="Z142" s="219"/>
    </row>
    <row r="143">
      <c r="A143" s="220"/>
      <c r="B143" s="215">
        <v>18.99</v>
      </c>
      <c r="C143" s="215" t="s">
        <v>256</v>
      </c>
      <c r="D143" s="215">
        <v>1.0</v>
      </c>
      <c r="E143" s="216">
        <f t="shared" si="1"/>
        <v>0.05265929437</v>
      </c>
      <c r="F143" s="217">
        <f t="shared" si="2"/>
        <v>5.265929437</v>
      </c>
      <c r="G143" s="215">
        <v>5.27</v>
      </c>
      <c r="H143" s="218"/>
      <c r="I143" s="219"/>
      <c r="J143" s="219"/>
      <c r="K143" s="219"/>
      <c r="L143" s="219"/>
      <c r="M143" s="219"/>
      <c r="N143" s="219"/>
      <c r="O143" s="219"/>
      <c r="P143" s="219"/>
      <c r="Q143" s="219"/>
      <c r="R143" s="219"/>
      <c r="S143" s="219"/>
      <c r="T143" s="219"/>
      <c r="U143" s="219"/>
      <c r="V143" s="219"/>
      <c r="W143" s="219"/>
      <c r="X143" s="219"/>
      <c r="Y143" s="219"/>
      <c r="Z143" s="219"/>
    </row>
    <row r="144">
      <c r="A144" s="214"/>
      <c r="B144" s="215">
        <v>16.67</v>
      </c>
      <c r="C144" s="215" t="s">
        <v>256</v>
      </c>
      <c r="D144" s="215">
        <v>1.0</v>
      </c>
      <c r="E144" s="216">
        <f t="shared" si="1"/>
        <v>0.0599880024</v>
      </c>
      <c r="F144" s="217">
        <f t="shared" si="2"/>
        <v>5.99880024</v>
      </c>
      <c r="G144" s="215">
        <v>6.0</v>
      </c>
      <c r="H144" s="218"/>
      <c r="I144" s="219"/>
      <c r="J144" s="219"/>
      <c r="K144" s="219"/>
      <c r="L144" s="219"/>
      <c r="M144" s="219"/>
      <c r="N144" s="219"/>
      <c r="O144" s="219"/>
      <c r="P144" s="219"/>
      <c r="Q144" s="219"/>
      <c r="R144" s="219"/>
      <c r="S144" s="219"/>
      <c r="T144" s="219"/>
      <c r="U144" s="219"/>
      <c r="V144" s="219"/>
      <c r="W144" s="219"/>
      <c r="X144" s="219"/>
      <c r="Y144" s="219"/>
      <c r="Z144" s="219"/>
    </row>
    <row r="145">
      <c r="A145" s="214"/>
      <c r="B145" s="215">
        <v>5.39</v>
      </c>
      <c r="C145" s="215" t="s">
        <v>256</v>
      </c>
      <c r="D145" s="215">
        <v>1.0</v>
      </c>
      <c r="E145" s="216">
        <f t="shared" si="1"/>
        <v>0.185528757</v>
      </c>
      <c r="F145" s="217">
        <f t="shared" si="2"/>
        <v>18.5528757</v>
      </c>
      <c r="G145" s="215">
        <v>18.55</v>
      </c>
      <c r="H145" s="218"/>
      <c r="I145" s="219"/>
      <c r="J145" s="219"/>
      <c r="K145" s="219"/>
      <c r="L145" s="219"/>
      <c r="M145" s="219"/>
      <c r="N145" s="219"/>
      <c r="O145" s="219"/>
      <c r="P145" s="219"/>
      <c r="Q145" s="219"/>
      <c r="R145" s="219"/>
      <c r="S145" s="219"/>
      <c r="T145" s="219"/>
      <c r="U145" s="219"/>
      <c r="V145" s="219"/>
      <c r="W145" s="219"/>
      <c r="X145" s="219"/>
      <c r="Y145" s="219"/>
      <c r="Z145" s="219"/>
    </row>
    <row r="146">
      <c r="A146" s="220"/>
      <c r="B146" s="215">
        <v>3.84</v>
      </c>
      <c r="C146" s="215" t="s">
        <v>256</v>
      </c>
      <c r="D146" s="215">
        <v>1.0</v>
      </c>
      <c r="E146" s="216">
        <f t="shared" si="1"/>
        <v>0.2604166667</v>
      </c>
      <c r="F146" s="217">
        <f t="shared" si="2"/>
        <v>26.04166667</v>
      </c>
      <c r="G146" s="215">
        <v>20.0</v>
      </c>
      <c r="H146" s="218"/>
      <c r="I146" s="219"/>
      <c r="J146" s="219"/>
      <c r="K146" s="219"/>
      <c r="L146" s="219"/>
      <c r="M146" s="219"/>
      <c r="N146" s="219"/>
      <c r="O146" s="219"/>
      <c r="P146" s="219"/>
      <c r="Q146" s="219"/>
      <c r="R146" s="219"/>
      <c r="S146" s="219"/>
      <c r="T146" s="219"/>
      <c r="U146" s="219"/>
      <c r="V146" s="219"/>
      <c r="W146" s="219"/>
      <c r="X146" s="219"/>
      <c r="Y146" s="219"/>
      <c r="Z146" s="219"/>
    </row>
    <row r="147">
      <c r="A147" s="214"/>
      <c r="B147" s="215">
        <v>5.62</v>
      </c>
      <c r="C147" s="215" t="s">
        <v>256</v>
      </c>
      <c r="D147" s="215">
        <v>1.0</v>
      </c>
      <c r="E147" s="216">
        <f t="shared" si="1"/>
        <v>0.1779359431</v>
      </c>
      <c r="F147" s="217">
        <f t="shared" si="2"/>
        <v>17.79359431</v>
      </c>
      <c r="G147" s="215">
        <v>17.79</v>
      </c>
      <c r="H147" s="218"/>
      <c r="I147" s="219"/>
      <c r="J147" s="219"/>
      <c r="K147" s="219"/>
      <c r="L147" s="219"/>
      <c r="M147" s="219"/>
      <c r="N147" s="219"/>
      <c r="O147" s="219"/>
      <c r="P147" s="219"/>
      <c r="Q147" s="219"/>
      <c r="R147" s="219"/>
      <c r="S147" s="219"/>
      <c r="T147" s="219"/>
      <c r="U147" s="219"/>
      <c r="V147" s="219"/>
      <c r="W147" s="219"/>
      <c r="X147" s="219"/>
      <c r="Y147" s="219"/>
      <c r="Z147" s="219"/>
    </row>
    <row r="148">
      <c r="A148" s="214"/>
      <c r="B148" s="215">
        <v>6.23</v>
      </c>
      <c r="C148" s="215" t="s">
        <v>256</v>
      </c>
      <c r="D148" s="215">
        <v>1.0</v>
      </c>
      <c r="E148" s="216">
        <f t="shared" si="1"/>
        <v>0.1605136437</v>
      </c>
      <c r="F148" s="217">
        <f t="shared" si="2"/>
        <v>16.05136437</v>
      </c>
      <c r="G148" s="215">
        <v>16.05</v>
      </c>
      <c r="H148" s="218"/>
      <c r="I148" s="219"/>
      <c r="J148" s="219"/>
      <c r="K148" s="219"/>
      <c r="L148" s="219"/>
      <c r="M148" s="219"/>
      <c r="N148" s="219"/>
      <c r="O148" s="219"/>
      <c r="P148" s="219"/>
      <c r="Q148" s="219"/>
      <c r="R148" s="219"/>
      <c r="S148" s="219"/>
      <c r="T148" s="219"/>
      <c r="U148" s="219"/>
      <c r="V148" s="219"/>
      <c r="W148" s="219"/>
      <c r="X148" s="219"/>
      <c r="Y148" s="219"/>
      <c r="Z148" s="219"/>
    </row>
    <row r="149">
      <c r="A149" s="221"/>
      <c r="B149" s="215">
        <v>6.13</v>
      </c>
      <c r="C149" s="215" t="s">
        <v>256</v>
      </c>
      <c r="D149" s="215">
        <v>1.0</v>
      </c>
      <c r="E149" s="216">
        <f t="shared" si="1"/>
        <v>0.163132137</v>
      </c>
      <c r="F149" s="217">
        <f t="shared" si="2"/>
        <v>16.3132137</v>
      </c>
      <c r="G149" s="215">
        <v>16.31</v>
      </c>
      <c r="H149" s="218"/>
      <c r="I149" s="219"/>
      <c r="J149" s="219"/>
      <c r="K149" s="219"/>
      <c r="L149" s="219"/>
      <c r="M149" s="219"/>
      <c r="N149" s="219"/>
      <c r="O149" s="219"/>
      <c r="P149" s="219"/>
      <c r="Q149" s="219"/>
      <c r="R149" s="219"/>
      <c r="S149" s="219"/>
      <c r="T149" s="219"/>
      <c r="U149" s="219"/>
      <c r="V149" s="219"/>
      <c r="W149" s="219"/>
      <c r="X149" s="219"/>
      <c r="Y149" s="219"/>
      <c r="Z149" s="219"/>
    </row>
    <row r="150">
      <c r="A150" s="214"/>
      <c r="B150" s="215">
        <v>65.45</v>
      </c>
      <c r="C150" s="215" t="s">
        <v>256</v>
      </c>
      <c r="D150" s="215">
        <v>1.0</v>
      </c>
      <c r="E150" s="216">
        <f t="shared" si="1"/>
        <v>0.01527883881</v>
      </c>
      <c r="F150" s="217">
        <f t="shared" si="2"/>
        <v>1.527883881</v>
      </c>
      <c r="G150" s="215">
        <v>1.53</v>
      </c>
      <c r="H150" s="218"/>
      <c r="I150" s="219"/>
      <c r="J150" s="219"/>
      <c r="K150" s="219"/>
      <c r="L150" s="219"/>
      <c r="M150" s="219"/>
      <c r="N150" s="219"/>
      <c r="O150" s="219"/>
      <c r="P150" s="219"/>
      <c r="Q150" s="219"/>
      <c r="R150" s="219"/>
      <c r="S150" s="219"/>
      <c r="T150" s="219"/>
      <c r="U150" s="219"/>
      <c r="V150" s="219"/>
      <c r="W150" s="219"/>
      <c r="X150" s="219"/>
      <c r="Y150" s="219"/>
      <c r="Z150" s="219"/>
    </row>
    <row r="151">
      <c r="A151" s="214"/>
      <c r="B151" s="215">
        <v>46.83</v>
      </c>
      <c r="C151" s="215" t="s">
        <v>256</v>
      </c>
      <c r="D151" s="215">
        <v>1.0</v>
      </c>
      <c r="E151" s="216">
        <f t="shared" si="1"/>
        <v>0.02135383301</v>
      </c>
      <c r="F151" s="217">
        <f t="shared" si="2"/>
        <v>2.135383301</v>
      </c>
      <c r="G151" s="215">
        <v>2.14</v>
      </c>
      <c r="H151" s="218"/>
      <c r="I151" s="219"/>
      <c r="J151" s="219"/>
      <c r="K151" s="219"/>
      <c r="L151" s="219"/>
      <c r="M151" s="219"/>
      <c r="N151" s="219"/>
      <c r="O151" s="219"/>
      <c r="P151" s="219"/>
      <c r="Q151" s="219"/>
      <c r="R151" s="219"/>
      <c r="S151" s="219"/>
      <c r="T151" s="219"/>
      <c r="U151" s="219"/>
      <c r="V151" s="219"/>
      <c r="W151" s="219"/>
      <c r="X151" s="219"/>
      <c r="Y151" s="219"/>
      <c r="Z151" s="219"/>
    </row>
    <row r="152">
      <c r="A152" s="222"/>
      <c r="B152" s="215">
        <v>12.12</v>
      </c>
      <c r="C152" s="215" t="s">
        <v>256</v>
      </c>
      <c r="D152" s="215">
        <v>1.0</v>
      </c>
      <c r="E152" s="216">
        <f t="shared" si="1"/>
        <v>0.08250825083</v>
      </c>
      <c r="F152" s="217">
        <f t="shared" si="2"/>
        <v>8.250825083</v>
      </c>
      <c r="G152" s="215">
        <v>8.25</v>
      </c>
      <c r="H152" s="218"/>
      <c r="I152" s="219"/>
      <c r="J152" s="219"/>
      <c r="K152" s="219"/>
      <c r="L152" s="219"/>
      <c r="M152" s="219"/>
      <c r="N152" s="219"/>
      <c r="O152" s="219"/>
      <c r="P152" s="219"/>
      <c r="Q152" s="219"/>
      <c r="R152" s="219"/>
      <c r="S152" s="219"/>
      <c r="T152" s="219"/>
      <c r="U152" s="219"/>
      <c r="V152" s="219"/>
      <c r="W152" s="219"/>
      <c r="X152" s="219"/>
      <c r="Y152" s="219"/>
      <c r="Z152" s="219"/>
    </row>
    <row r="153">
      <c r="A153" s="214"/>
      <c r="B153" s="215">
        <v>46.59</v>
      </c>
      <c r="C153" s="215" t="s">
        <v>256</v>
      </c>
      <c r="D153" s="215">
        <v>1.0</v>
      </c>
      <c r="E153" s="216">
        <f t="shared" si="1"/>
        <v>0.02146383344</v>
      </c>
      <c r="F153" s="217">
        <f t="shared" si="2"/>
        <v>2.146383344</v>
      </c>
      <c r="G153" s="215">
        <v>2.15</v>
      </c>
      <c r="H153" s="218"/>
      <c r="I153" s="219"/>
      <c r="J153" s="219"/>
      <c r="K153" s="219"/>
      <c r="L153" s="219"/>
      <c r="M153" s="219"/>
      <c r="N153" s="219"/>
      <c r="O153" s="219"/>
      <c r="P153" s="219"/>
      <c r="Q153" s="219"/>
      <c r="R153" s="219"/>
      <c r="S153" s="219"/>
      <c r="T153" s="219"/>
      <c r="U153" s="219"/>
      <c r="V153" s="219"/>
      <c r="W153" s="219"/>
      <c r="X153" s="219"/>
      <c r="Y153" s="219"/>
      <c r="Z153" s="219"/>
    </row>
    <row r="154">
      <c r="A154" s="225"/>
      <c r="B154" s="226"/>
      <c r="C154" s="227" t="s">
        <v>282</v>
      </c>
      <c r="D154" s="228">
        <v>144.0</v>
      </c>
      <c r="E154" s="228" t="s">
        <v>283</v>
      </c>
      <c r="F154" s="229"/>
      <c r="G154" s="230">
        <f>sum(G2:G153)</f>
        <v>1197.18</v>
      </c>
      <c r="H154" s="218"/>
      <c r="I154" s="218"/>
      <c r="J154" s="219"/>
      <c r="K154" s="219"/>
      <c r="L154" s="219"/>
      <c r="M154" s="219"/>
      <c r="N154" s="219"/>
      <c r="O154" s="219"/>
      <c r="P154" s="219"/>
      <c r="Q154" s="219"/>
      <c r="R154" s="219"/>
      <c r="S154" s="219"/>
      <c r="T154" s="219"/>
      <c r="U154" s="219"/>
      <c r="V154" s="219"/>
      <c r="W154" s="219"/>
      <c r="X154" s="219"/>
      <c r="Y154" s="219"/>
      <c r="Z154" s="219"/>
    </row>
    <row r="155">
      <c r="A155" s="231"/>
      <c r="B155" s="232"/>
      <c r="C155" s="232"/>
      <c r="D155" s="232"/>
      <c r="E155" s="233" t="s">
        <v>286</v>
      </c>
      <c r="F155" s="234"/>
      <c r="G155" s="234"/>
      <c r="H155" s="218"/>
      <c r="I155" s="218"/>
      <c r="J155" s="219"/>
      <c r="K155" s="219"/>
      <c r="L155" s="219"/>
      <c r="M155" s="219"/>
      <c r="N155" s="219"/>
      <c r="O155" s="219"/>
      <c r="P155" s="219"/>
      <c r="Q155" s="219"/>
      <c r="R155" s="219"/>
      <c r="S155" s="219"/>
      <c r="T155" s="219"/>
      <c r="U155" s="219"/>
      <c r="V155" s="219"/>
      <c r="W155" s="219"/>
      <c r="X155" s="219"/>
      <c r="Y155" s="219"/>
      <c r="Z155" s="219"/>
    </row>
    <row r="156">
      <c r="A156" s="235"/>
      <c r="B156" s="236"/>
      <c r="C156" s="236"/>
      <c r="D156" s="236"/>
      <c r="E156" s="237" t="s">
        <v>288</v>
      </c>
      <c r="F156" s="238"/>
      <c r="G156" s="237">
        <v>1197.18</v>
      </c>
      <c r="H156" s="218"/>
      <c r="I156" s="218"/>
      <c r="J156" s="219"/>
      <c r="K156" s="219"/>
      <c r="L156" s="219"/>
      <c r="M156" s="219"/>
      <c r="N156" s="219"/>
      <c r="O156" s="219"/>
      <c r="P156" s="219"/>
      <c r="Q156" s="219"/>
      <c r="R156" s="219"/>
      <c r="S156" s="219"/>
      <c r="T156" s="219"/>
      <c r="U156" s="219"/>
      <c r="V156" s="219"/>
      <c r="W156" s="219"/>
      <c r="X156" s="219"/>
      <c r="Y156" s="219"/>
      <c r="Z156" s="219"/>
    </row>
    <row r="157">
      <c r="A157" s="239"/>
      <c r="B157" s="218"/>
      <c r="C157" s="218"/>
      <c r="D157" s="218"/>
      <c r="E157" s="218"/>
      <c r="F157" s="218"/>
      <c r="G157" s="218"/>
      <c r="H157" s="218"/>
      <c r="I157" s="218"/>
      <c r="J157" s="219"/>
      <c r="K157" s="219"/>
      <c r="L157" s="219"/>
      <c r="M157" s="219"/>
      <c r="N157" s="219"/>
      <c r="O157" s="219"/>
      <c r="P157" s="219"/>
      <c r="Q157" s="219"/>
      <c r="R157" s="219"/>
      <c r="S157" s="219"/>
      <c r="T157" s="219"/>
      <c r="U157" s="219"/>
      <c r="V157" s="219"/>
      <c r="W157" s="219"/>
      <c r="X157" s="219"/>
      <c r="Y157" s="219"/>
      <c r="Z157" s="219"/>
    </row>
    <row r="158">
      <c r="A158" s="240" t="s">
        <v>394</v>
      </c>
      <c r="B158" s="241"/>
      <c r="C158" s="241"/>
      <c r="D158" s="241"/>
      <c r="E158" s="218"/>
      <c r="F158" s="218"/>
      <c r="G158" s="218"/>
      <c r="H158" s="218"/>
      <c r="I158" s="219"/>
      <c r="J158" s="219"/>
      <c r="K158" s="219"/>
      <c r="L158" s="219"/>
      <c r="M158" s="219"/>
      <c r="N158" s="219"/>
      <c r="O158" s="219"/>
      <c r="P158" s="219"/>
      <c r="Q158" s="219"/>
      <c r="R158" s="219"/>
      <c r="S158" s="219"/>
      <c r="T158" s="219"/>
      <c r="U158" s="219"/>
      <c r="V158" s="219"/>
      <c r="W158" s="219"/>
      <c r="X158" s="219"/>
      <c r="Y158" s="219"/>
      <c r="Z158" s="219"/>
    </row>
    <row r="159">
      <c r="A159" s="242"/>
      <c r="B159" s="241"/>
      <c r="C159" s="243"/>
      <c r="D159" s="241"/>
      <c r="E159" s="218"/>
      <c r="F159" s="218"/>
      <c r="G159" s="218"/>
      <c r="H159" s="218"/>
      <c r="I159" s="219"/>
      <c r="J159" s="219"/>
      <c r="K159" s="219"/>
      <c r="L159" s="219"/>
      <c r="M159" s="219"/>
      <c r="N159" s="219"/>
      <c r="O159" s="219"/>
      <c r="P159" s="219"/>
      <c r="Q159" s="219"/>
      <c r="R159" s="219"/>
      <c r="S159" s="219"/>
      <c r="T159" s="219"/>
      <c r="U159" s="219"/>
      <c r="V159" s="219"/>
      <c r="W159" s="219"/>
      <c r="X159" s="219"/>
      <c r="Y159" s="219"/>
      <c r="Z159" s="219"/>
    </row>
    <row r="160">
      <c r="A160" s="242"/>
      <c r="B160" s="241"/>
      <c r="C160" s="241"/>
      <c r="D160" s="241"/>
      <c r="E160" s="218"/>
      <c r="F160" s="218"/>
      <c r="G160" s="218"/>
      <c r="H160" s="218"/>
      <c r="I160" s="219"/>
      <c r="J160" s="219"/>
      <c r="K160" s="219"/>
      <c r="L160" s="219"/>
      <c r="M160" s="219"/>
      <c r="N160" s="219"/>
      <c r="O160" s="219"/>
      <c r="P160" s="219"/>
      <c r="Q160" s="219"/>
      <c r="R160" s="219"/>
      <c r="S160" s="219"/>
      <c r="T160" s="219"/>
      <c r="U160" s="219"/>
      <c r="V160" s="219"/>
      <c r="W160" s="219"/>
      <c r="X160" s="219"/>
      <c r="Y160" s="219"/>
      <c r="Z160" s="219"/>
    </row>
    <row r="161">
      <c r="A161" s="240" t="s">
        <v>302</v>
      </c>
      <c r="D161" s="241"/>
      <c r="E161" s="218"/>
      <c r="F161" s="218"/>
      <c r="G161" s="218"/>
      <c r="H161" s="218"/>
      <c r="I161" s="219"/>
      <c r="J161" s="219"/>
      <c r="K161" s="219"/>
      <c r="L161" s="219"/>
      <c r="M161" s="219"/>
      <c r="N161" s="219"/>
      <c r="O161" s="219"/>
      <c r="P161" s="219"/>
      <c r="Q161" s="219"/>
      <c r="R161" s="219"/>
      <c r="S161" s="219"/>
      <c r="T161" s="219"/>
      <c r="U161" s="219"/>
      <c r="V161" s="219"/>
      <c r="W161" s="219"/>
      <c r="X161" s="219"/>
      <c r="Y161" s="219"/>
      <c r="Z161" s="219"/>
    </row>
    <row r="162">
      <c r="A162" s="240" t="s">
        <v>304</v>
      </c>
      <c r="D162" s="241"/>
      <c r="E162" s="218"/>
      <c r="F162" s="218"/>
      <c r="G162" s="218"/>
      <c r="H162" s="218"/>
      <c r="I162" s="219"/>
      <c r="J162" s="219"/>
      <c r="K162" s="219"/>
      <c r="L162" s="219"/>
      <c r="M162" s="219"/>
      <c r="N162" s="219"/>
      <c r="O162" s="219"/>
      <c r="P162" s="219"/>
      <c r="Q162" s="219"/>
      <c r="R162" s="219"/>
      <c r="S162" s="219"/>
      <c r="T162" s="219"/>
      <c r="U162" s="219"/>
      <c r="V162" s="219"/>
      <c r="W162" s="219"/>
      <c r="X162" s="219"/>
      <c r="Y162" s="219"/>
      <c r="Z162" s="219"/>
    </row>
    <row r="163">
      <c r="A163" s="240" t="s">
        <v>307</v>
      </c>
      <c r="D163" s="241"/>
      <c r="E163" s="218"/>
      <c r="F163" s="218"/>
      <c r="G163" s="218"/>
      <c r="H163" s="218"/>
      <c r="I163" s="219"/>
      <c r="J163" s="219"/>
      <c r="K163" s="219"/>
      <c r="L163" s="219"/>
      <c r="M163" s="219"/>
      <c r="N163" s="219"/>
      <c r="O163" s="219"/>
      <c r="P163" s="219"/>
      <c r="Q163" s="219"/>
      <c r="R163" s="219"/>
      <c r="S163" s="219"/>
      <c r="T163" s="219"/>
      <c r="U163" s="219"/>
      <c r="V163" s="219"/>
      <c r="W163" s="219"/>
      <c r="X163" s="219"/>
      <c r="Y163" s="219"/>
      <c r="Z163" s="219"/>
    </row>
    <row r="164">
      <c r="A164" s="240" t="s">
        <v>309</v>
      </c>
      <c r="E164" s="218"/>
      <c r="F164" s="218"/>
      <c r="G164" s="218"/>
      <c r="H164" s="218"/>
      <c r="I164" s="219"/>
      <c r="J164" s="219"/>
      <c r="K164" s="219"/>
      <c r="L164" s="219"/>
      <c r="M164" s="219"/>
      <c r="N164" s="219"/>
      <c r="O164" s="219"/>
      <c r="P164" s="219"/>
      <c r="Q164" s="219"/>
      <c r="R164" s="219"/>
      <c r="S164" s="219"/>
      <c r="T164" s="219"/>
      <c r="U164" s="219"/>
      <c r="V164" s="219"/>
      <c r="W164" s="219"/>
      <c r="X164" s="219"/>
      <c r="Y164" s="219"/>
      <c r="Z164" s="219"/>
    </row>
    <row r="165">
      <c r="A165" s="240" t="s">
        <v>313</v>
      </c>
      <c r="D165" s="241"/>
      <c r="E165" s="218"/>
      <c r="F165" s="218"/>
      <c r="G165" s="218"/>
      <c r="H165" s="218"/>
      <c r="I165" s="219"/>
      <c r="J165" s="219"/>
      <c r="K165" s="219"/>
      <c r="L165" s="219"/>
      <c r="M165" s="219"/>
      <c r="N165" s="219"/>
      <c r="O165" s="219"/>
      <c r="P165" s="219"/>
      <c r="Q165" s="219"/>
      <c r="R165" s="219"/>
      <c r="S165" s="219"/>
      <c r="T165" s="219"/>
      <c r="U165" s="219"/>
      <c r="V165" s="219"/>
      <c r="W165" s="219"/>
      <c r="X165" s="219"/>
      <c r="Y165" s="219"/>
      <c r="Z165" s="219"/>
    </row>
    <row r="166">
      <c r="A166" s="242"/>
      <c r="B166" s="241"/>
      <c r="C166" s="241"/>
      <c r="D166" s="241"/>
      <c r="E166" s="218"/>
      <c r="F166" s="218"/>
      <c r="G166" s="218"/>
      <c r="H166" s="218"/>
      <c r="I166" s="219"/>
      <c r="J166" s="219"/>
      <c r="K166" s="219"/>
      <c r="L166" s="219"/>
      <c r="M166" s="219"/>
      <c r="N166" s="219"/>
      <c r="O166" s="219"/>
      <c r="P166" s="219"/>
      <c r="Q166" s="219"/>
      <c r="R166" s="219"/>
      <c r="S166" s="219"/>
      <c r="T166" s="219"/>
      <c r="U166" s="219"/>
      <c r="V166" s="219"/>
      <c r="W166" s="219"/>
      <c r="X166" s="219"/>
      <c r="Y166" s="219"/>
      <c r="Z166" s="219"/>
    </row>
    <row r="167">
      <c r="A167" s="242"/>
      <c r="B167" s="241"/>
      <c r="C167" s="241"/>
      <c r="D167" s="241"/>
      <c r="E167" s="218"/>
      <c r="F167" s="218"/>
      <c r="G167" s="218"/>
      <c r="H167" s="218"/>
      <c r="I167" s="219"/>
      <c r="J167" s="219"/>
      <c r="K167" s="219"/>
      <c r="L167" s="219"/>
      <c r="M167" s="219"/>
      <c r="N167" s="219"/>
      <c r="O167" s="219"/>
      <c r="P167" s="219"/>
      <c r="Q167" s="219"/>
      <c r="R167" s="219"/>
      <c r="S167" s="219"/>
      <c r="T167" s="219"/>
      <c r="U167" s="219"/>
      <c r="V167" s="219"/>
      <c r="W167" s="219"/>
      <c r="X167" s="219"/>
      <c r="Y167" s="219"/>
      <c r="Z167" s="219"/>
    </row>
    <row r="168">
      <c r="A168" s="242"/>
      <c r="B168" s="241"/>
      <c r="C168" s="241"/>
      <c r="D168" s="241"/>
      <c r="E168" s="218"/>
      <c r="F168" s="218"/>
      <c r="G168" s="218"/>
      <c r="H168" s="218"/>
      <c r="I168" s="219"/>
      <c r="J168" s="219"/>
      <c r="K168" s="219"/>
      <c r="L168" s="219"/>
      <c r="M168" s="219"/>
      <c r="N168" s="219"/>
      <c r="O168" s="219"/>
      <c r="P168" s="219"/>
      <c r="Q168" s="219"/>
      <c r="R168" s="219"/>
      <c r="S168" s="219"/>
      <c r="T168" s="219"/>
      <c r="U168" s="219"/>
      <c r="V168" s="219"/>
      <c r="W168" s="219"/>
      <c r="X168" s="219"/>
      <c r="Y168" s="219"/>
      <c r="Z168" s="219"/>
    </row>
    <row r="169">
      <c r="A169" s="242"/>
      <c r="B169" s="241"/>
      <c r="C169" s="241"/>
      <c r="D169" s="241"/>
      <c r="E169" s="218"/>
      <c r="F169" s="218"/>
      <c r="G169" s="218"/>
      <c r="H169" s="218"/>
      <c r="I169" s="219"/>
      <c r="J169" s="219"/>
      <c r="K169" s="219"/>
      <c r="L169" s="219"/>
      <c r="M169" s="219"/>
      <c r="N169" s="219"/>
      <c r="O169" s="219"/>
      <c r="P169" s="219"/>
      <c r="Q169" s="219"/>
      <c r="R169" s="219"/>
      <c r="S169" s="219"/>
      <c r="T169" s="219"/>
      <c r="U169" s="219"/>
      <c r="V169" s="219"/>
      <c r="W169" s="219"/>
      <c r="X169" s="219"/>
      <c r="Y169" s="219"/>
      <c r="Z169" s="219"/>
    </row>
    <row r="170">
      <c r="A170" s="242"/>
      <c r="B170" s="241"/>
      <c r="C170" s="241"/>
      <c r="D170" s="241"/>
      <c r="E170" s="218"/>
      <c r="F170" s="218"/>
      <c r="G170" s="218"/>
      <c r="H170" s="218"/>
      <c r="I170" s="219"/>
      <c r="J170" s="219"/>
      <c r="K170" s="219"/>
      <c r="L170" s="219"/>
      <c r="M170" s="219"/>
      <c r="N170" s="219"/>
      <c r="O170" s="219"/>
      <c r="P170" s="219"/>
      <c r="Q170" s="219"/>
      <c r="R170" s="219"/>
      <c r="S170" s="219"/>
      <c r="T170" s="219"/>
      <c r="U170" s="219"/>
      <c r="V170" s="219"/>
      <c r="W170" s="219"/>
      <c r="X170" s="219"/>
      <c r="Y170" s="219"/>
      <c r="Z170" s="219"/>
    </row>
    <row r="171">
      <c r="A171" s="242"/>
      <c r="B171" s="241"/>
      <c r="C171" s="241"/>
      <c r="D171" s="241"/>
      <c r="E171" s="218"/>
      <c r="F171" s="218"/>
      <c r="G171" s="218"/>
      <c r="H171" s="218"/>
      <c r="I171" s="219"/>
      <c r="J171" s="219"/>
      <c r="K171" s="219"/>
      <c r="L171" s="219"/>
      <c r="M171" s="219"/>
      <c r="N171" s="219"/>
      <c r="O171" s="219"/>
      <c r="P171" s="219"/>
      <c r="Q171" s="219"/>
      <c r="R171" s="219"/>
      <c r="S171" s="219"/>
      <c r="T171" s="219"/>
      <c r="U171" s="219"/>
      <c r="V171" s="219"/>
      <c r="W171" s="219"/>
      <c r="X171" s="219"/>
      <c r="Y171" s="219"/>
      <c r="Z171" s="219"/>
    </row>
    <row r="172">
      <c r="A172" s="242"/>
      <c r="B172" s="241"/>
      <c r="C172" s="241"/>
      <c r="D172" s="241"/>
      <c r="E172" s="218"/>
      <c r="F172" s="218"/>
      <c r="G172" s="218"/>
      <c r="H172" s="218"/>
      <c r="I172" s="219"/>
      <c r="J172" s="219"/>
      <c r="K172" s="219"/>
      <c r="L172" s="219"/>
      <c r="M172" s="219"/>
      <c r="N172" s="219"/>
      <c r="O172" s="219"/>
      <c r="P172" s="219"/>
      <c r="Q172" s="219"/>
      <c r="R172" s="219"/>
      <c r="S172" s="219"/>
      <c r="T172" s="219"/>
      <c r="U172" s="219"/>
      <c r="V172" s="219"/>
      <c r="W172" s="219"/>
      <c r="X172" s="219"/>
      <c r="Y172" s="219"/>
      <c r="Z172" s="219"/>
    </row>
    <row r="173">
      <c r="A173" s="242"/>
      <c r="B173" s="241"/>
      <c r="C173" s="241"/>
      <c r="D173" s="241"/>
      <c r="E173" s="218"/>
      <c r="F173" s="218"/>
      <c r="G173" s="218"/>
      <c r="H173" s="218"/>
      <c r="I173" s="219"/>
      <c r="J173" s="219"/>
      <c r="K173" s="219"/>
      <c r="L173" s="219"/>
      <c r="M173" s="219"/>
      <c r="N173" s="219"/>
      <c r="O173" s="219"/>
      <c r="P173" s="219"/>
      <c r="Q173" s="219"/>
      <c r="R173" s="219"/>
      <c r="S173" s="219"/>
      <c r="T173" s="219"/>
      <c r="U173" s="219"/>
      <c r="V173" s="219"/>
      <c r="W173" s="219"/>
      <c r="X173" s="219"/>
      <c r="Y173" s="219"/>
      <c r="Z173" s="219"/>
    </row>
    <row r="174">
      <c r="A174" s="242"/>
      <c r="B174" s="241"/>
      <c r="C174" s="241"/>
      <c r="D174" s="241"/>
      <c r="E174" s="218"/>
      <c r="F174" s="218"/>
      <c r="G174" s="218"/>
      <c r="H174" s="218"/>
      <c r="I174" s="219"/>
      <c r="J174" s="219"/>
      <c r="K174" s="219"/>
      <c r="L174" s="219"/>
      <c r="M174" s="219"/>
      <c r="N174" s="219"/>
      <c r="O174" s="219"/>
      <c r="P174" s="219"/>
      <c r="Q174" s="219"/>
      <c r="R174" s="219"/>
      <c r="S174" s="219"/>
      <c r="T174" s="219"/>
      <c r="U174" s="219"/>
      <c r="V174" s="219"/>
      <c r="W174" s="219"/>
      <c r="X174" s="219"/>
      <c r="Y174" s="219"/>
      <c r="Z174" s="219"/>
    </row>
    <row r="175">
      <c r="A175" s="242"/>
      <c r="B175" s="241"/>
      <c r="C175" s="241"/>
      <c r="D175" s="241"/>
      <c r="E175" s="218"/>
      <c r="F175" s="218"/>
      <c r="G175" s="218"/>
      <c r="H175" s="218"/>
      <c r="I175" s="219"/>
      <c r="J175" s="219"/>
      <c r="K175" s="219"/>
      <c r="L175" s="219"/>
      <c r="M175" s="219"/>
      <c r="N175" s="219"/>
      <c r="O175" s="219"/>
      <c r="P175" s="219"/>
      <c r="Q175" s="219"/>
      <c r="R175" s="219"/>
      <c r="S175" s="219"/>
      <c r="T175" s="219"/>
      <c r="U175" s="219"/>
      <c r="V175" s="219"/>
      <c r="W175" s="219"/>
      <c r="X175" s="219"/>
      <c r="Y175" s="219"/>
      <c r="Z175" s="219"/>
    </row>
    <row r="176">
      <c r="A176" s="242"/>
      <c r="B176" s="241"/>
      <c r="C176" s="241"/>
      <c r="D176" s="241"/>
      <c r="E176" s="218"/>
      <c r="F176" s="218"/>
      <c r="G176" s="218"/>
      <c r="H176" s="218"/>
      <c r="I176" s="219"/>
      <c r="J176" s="219"/>
      <c r="K176" s="219"/>
      <c r="L176" s="219"/>
      <c r="M176" s="219"/>
      <c r="N176" s="219"/>
      <c r="O176" s="219"/>
      <c r="P176" s="219"/>
      <c r="Q176" s="219"/>
      <c r="R176" s="219"/>
      <c r="S176" s="219"/>
      <c r="T176" s="219"/>
      <c r="U176" s="219"/>
      <c r="V176" s="219"/>
      <c r="W176" s="219"/>
      <c r="X176" s="219"/>
      <c r="Y176" s="219"/>
      <c r="Z176" s="219"/>
    </row>
    <row r="177">
      <c r="A177" s="242"/>
      <c r="B177" s="241"/>
      <c r="C177" s="241"/>
      <c r="D177" s="241"/>
      <c r="E177" s="218"/>
      <c r="F177" s="218"/>
      <c r="G177" s="218"/>
      <c r="H177" s="218"/>
      <c r="I177" s="219"/>
      <c r="J177" s="219"/>
      <c r="K177" s="219"/>
      <c r="L177" s="219"/>
      <c r="M177" s="219"/>
      <c r="N177" s="219"/>
      <c r="O177" s="219"/>
      <c r="P177" s="219"/>
      <c r="Q177" s="219"/>
      <c r="R177" s="219"/>
      <c r="S177" s="219"/>
      <c r="T177" s="219"/>
      <c r="U177" s="219"/>
      <c r="V177" s="219"/>
      <c r="W177" s="219"/>
      <c r="X177" s="219"/>
      <c r="Y177" s="219"/>
      <c r="Z177" s="219"/>
    </row>
    <row r="178">
      <c r="A178" s="242"/>
      <c r="B178" s="241"/>
      <c r="C178" s="241"/>
      <c r="D178" s="241"/>
      <c r="E178" s="218"/>
      <c r="F178" s="218"/>
      <c r="G178" s="218"/>
      <c r="H178" s="218"/>
      <c r="I178" s="219"/>
      <c r="J178" s="219"/>
      <c r="K178" s="219"/>
      <c r="L178" s="219"/>
      <c r="M178" s="219"/>
      <c r="N178" s="219"/>
      <c r="O178" s="219"/>
      <c r="P178" s="219"/>
      <c r="Q178" s="219"/>
      <c r="R178" s="219"/>
      <c r="S178" s="219"/>
      <c r="T178" s="219"/>
      <c r="U178" s="219"/>
      <c r="V178" s="219"/>
      <c r="W178" s="219"/>
      <c r="X178" s="219"/>
      <c r="Y178" s="219"/>
      <c r="Z178" s="219"/>
    </row>
    <row r="179">
      <c r="A179" s="244"/>
      <c r="B179" s="219"/>
      <c r="C179" s="219"/>
      <c r="D179" s="219"/>
      <c r="E179" s="213"/>
      <c r="F179" s="245"/>
      <c r="G179" s="213"/>
      <c r="H179" s="213"/>
      <c r="I179" s="219"/>
      <c r="J179" s="219"/>
      <c r="K179" s="219"/>
      <c r="L179" s="219"/>
      <c r="M179" s="219"/>
      <c r="N179" s="219"/>
      <c r="O179" s="219"/>
      <c r="P179" s="219"/>
      <c r="Q179" s="219"/>
      <c r="R179" s="219"/>
      <c r="S179" s="219"/>
      <c r="T179" s="219"/>
      <c r="U179" s="219"/>
      <c r="V179" s="219"/>
      <c r="W179" s="219"/>
      <c r="X179" s="219"/>
      <c r="Y179" s="219"/>
      <c r="Z179" s="219"/>
    </row>
    <row r="180">
      <c r="A180" s="244"/>
      <c r="B180" s="219"/>
      <c r="C180" s="219"/>
      <c r="D180" s="219"/>
      <c r="E180" s="213"/>
      <c r="F180" s="218"/>
      <c r="G180" s="213"/>
      <c r="H180" s="213"/>
      <c r="I180" s="219"/>
      <c r="J180" s="219"/>
      <c r="K180" s="219"/>
      <c r="L180" s="219"/>
      <c r="M180" s="219"/>
      <c r="N180" s="219"/>
      <c r="O180" s="219"/>
      <c r="P180" s="219"/>
      <c r="Q180" s="219"/>
      <c r="R180" s="219"/>
      <c r="S180" s="219"/>
      <c r="T180" s="219"/>
      <c r="U180" s="219"/>
      <c r="V180" s="219"/>
      <c r="W180" s="219"/>
      <c r="X180" s="219"/>
      <c r="Y180" s="219"/>
      <c r="Z180" s="219"/>
    </row>
    <row r="181">
      <c r="A181" s="244"/>
      <c r="B181" s="219"/>
      <c r="C181" s="219"/>
      <c r="D181" s="219"/>
      <c r="E181" s="213"/>
      <c r="F181" s="218"/>
      <c r="G181" s="213"/>
      <c r="H181" s="213"/>
      <c r="I181" s="219"/>
      <c r="J181" s="219"/>
      <c r="K181" s="219"/>
      <c r="L181" s="219"/>
      <c r="M181" s="219"/>
      <c r="N181" s="219"/>
      <c r="O181" s="219"/>
      <c r="P181" s="219"/>
      <c r="Q181" s="219"/>
      <c r="R181" s="219"/>
      <c r="S181" s="219"/>
      <c r="T181" s="219"/>
      <c r="U181" s="219"/>
      <c r="V181" s="219"/>
      <c r="W181" s="219"/>
      <c r="X181" s="219"/>
      <c r="Y181" s="219"/>
      <c r="Z181" s="219"/>
    </row>
    <row r="182">
      <c r="A182" s="244"/>
      <c r="B182" s="219"/>
      <c r="C182" s="219"/>
      <c r="D182" s="219"/>
      <c r="E182" s="213"/>
      <c r="F182" s="218"/>
      <c r="G182" s="213"/>
      <c r="H182" s="213"/>
      <c r="I182" s="219"/>
      <c r="J182" s="219"/>
      <c r="K182" s="219"/>
      <c r="L182" s="219"/>
      <c r="M182" s="219"/>
      <c r="N182" s="219"/>
      <c r="O182" s="219"/>
      <c r="P182" s="219"/>
      <c r="Q182" s="219"/>
      <c r="R182" s="219"/>
      <c r="S182" s="219"/>
      <c r="T182" s="219"/>
      <c r="U182" s="219"/>
      <c r="V182" s="219"/>
      <c r="W182" s="219"/>
      <c r="X182" s="219"/>
      <c r="Y182" s="219"/>
      <c r="Z182" s="219"/>
    </row>
    <row r="183">
      <c r="A183" s="244"/>
      <c r="B183" s="219"/>
      <c r="C183" s="219"/>
      <c r="D183" s="219"/>
      <c r="E183" s="213"/>
      <c r="F183" s="218"/>
      <c r="G183" s="213"/>
      <c r="H183" s="213"/>
      <c r="I183" s="219"/>
      <c r="J183" s="219"/>
      <c r="K183" s="219"/>
      <c r="L183" s="219"/>
      <c r="M183" s="219"/>
      <c r="N183" s="219"/>
      <c r="O183" s="219"/>
      <c r="P183" s="219"/>
      <c r="Q183" s="219"/>
      <c r="R183" s="219"/>
      <c r="S183" s="219"/>
      <c r="T183" s="219"/>
      <c r="U183" s="219"/>
      <c r="V183" s="219"/>
      <c r="W183" s="219"/>
      <c r="X183" s="219"/>
      <c r="Y183" s="219"/>
      <c r="Z183" s="219"/>
    </row>
    <row r="184">
      <c r="A184" s="244"/>
      <c r="B184" s="219"/>
      <c r="C184" s="219"/>
      <c r="D184" s="219"/>
      <c r="E184" s="213"/>
      <c r="F184" s="218"/>
      <c r="G184" s="213"/>
      <c r="H184" s="213"/>
      <c r="I184" s="219"/>
      <c r="J184" s="219"/>
      <c r="K184" s="219"/>
      <c r="L184" s="219"/>
      <c r="M184" s="219"/>
      <c r="N184" s="219"/>
      <c r="O184" s="219"/>
      <c r="P184" s="219"/>
      <c r="Q184" s="219"/>
      <c r="R184" s="219"/>
      <c r="S184" s="219"/>
      <c r="T184" s="219"/>
      <c r="U184" s="219"/>
      <c r="V184" s="219"/>
      <c r="W184" s="219"/>
      <c r="X184" s="219"/>
      <c r="Y184" s="219"/>
      <c r="Z184" s="219"/>
    </row>
    <row r="185">
      <c r="A185" s="244"/>
      <c r="B185" s="219"/>
      <c r="C185" s="219"/>
      <c r="D185" s="219"/>
      <c r="E185" s="213"/>
      <c r="F185" s="218"/>
      <c r="G185" s="213"/>
      <c r="H185" s="213"/>
      <c r="I185" s="219"/>
      <c r="J185" s="219"/>
      <c r="K185" s="219"/>
      <c r="L185" s="219"/>
      <c r="M185" s="219"/>
      <c r="N185" s="219"/>
      <c r="O185" s="219"/>
      <c r="P185" s="219"/>
      <c r="Q185" s="219"/>
      <c r="R185" s="219"/>
      <c r="S185" s="219"/>
      <c r="T185" s="219"/>
      <c r="U185" s="219"/>
      <c r="V185" s="219"/>
      <c r="W185" s="219"/>
      <c r="X185" s="219"/>
      <c r="Y185" s="219"/>
      <c r="Z185" s="219"/>
    </row>
    <row r="186">
      <c r="A186" s="244"/>
      <c r="B186" s="219"/>
      <c r="C186" s="219"/>
      <c r="D186" s="219"/>
      <c r="E186" s="213"/>
      <c r="F186" s="218"/>
      <c r="G186" s="213"/>
      <c r="H186" s="213"/>
      <c r="I186" s="219"/>
      <c r="J186" s="219"/>
      <c r="K186" s="219"/>
      <c r="L186" s="219"/>
      <c r="M186" s="219"/>
      <c r="N186" s="219"/>
      <c r="O186" s="219"/>
      <c r="P186" s="219"/>
      <c r="Q186" s="219"/>
      <c r="R186" s="219"/>
      <c r="S186" s="219"/>
      <c r="T186" s="219"/>
      <c r="U186" s="219"/>
      <c r="V186" s="219"/>
      <c r="W186" s="219"/>
      <c r="X186" s="219"/>
      <c r="Y186" s="219"/>
      <c r="Z186" s="219"/>
    </row>
    <row r="187">
      <c r="A187" s="244"/>
      <c r="B187" s="219"/>
      <c r="C187" s="219"/>
      <c r="D187" s="219"/>
      <c r="E187" s="213"/>
      <c r="F187" s="213"/>
      <c r="G187" s="213"/>
      <c r="H187" s="213"/>
      <c r="I187" s="219"/>
      <c r="J187" s="219"/>
      <c r="K187" s="219"/>
      <c r="L187" s="219"/>
      <c r="M187" s="219"/>
      <c r="N187" s="219"/>
      <c r="O187" s="219"/>
      <c r="P187" s="219"/>
      <c r="Q187" s="219"/>
      <c r="R187" s="219"/>
      <c r="S187" s="219"/>
      <c r="T187" s="219"/>
      <c r="U187" s="219"/>
      <c r="V187" s="219"/>
      <c r="W187" s="219"/>
      <c r="X187" s="219"/>
      <c r="Y187" s="219"/>
      <c r="Z187" s="219"/>
    </row>
    <row r="188">
      <c r="A188" s="244"/>
      <c r="B188" s="219"/>
      <c r="C188" s="219"/>
      <c r="D188" s="219"/>
      <c r="E188" s="213"/>
      <c r="F188" s="213"/>
      <c r="G188" s="213"/>
      <c r="H188" s="213"/>
      <c r="I188" s="219"/>
      <c r="J188" s="219"/>
      <c r="K188" s="219"/>
      <c r="L188" s="219"/>
      <c r="M188" s="219"/>
      <c r="N188" s="219"/>
      <c r="O188" s="219"/>
      <c r="P188" s="219"/>
      <c r="Q188" s="219"/>
      <c r="R188" s="219"/>
      <c r="S188" s="219"/>
      <c r="T188" s="219"/>
      <c r="U188" s="219"/>
      <c r="V188" s="219"/>
      <c r="W188" s="219"/>
      <c r="X188" s="219"/>
      <c r="Y188" s="219"/>
      <c r="Z188" s="219"/>
    </row>
    <row r="189">
      <c r="A189" s="244"/>
      <c r="B189" s="219"/>
      <c r="C189" s="219"/>
      <c r="D189" s="219"/>
      <c r="E189" s="213"/>
      <c r="F189" s="213"/>
      <c r="G189" s="213"/>
      <c r="H189" s="213"/>
      <c r="I189" s="219"/>
      <c r="J189" s="219"/>
      <c r="K189" s="219"/>
      <c r="L189" s="219"/>
      <c r="M189" s="219"/>
      <c r="N189" s="219"/>
      <c r="O189" s="219"/>
      <c r="P189" s="219"/>
      <c r="Q189" s="219"/>
      <c r="R189" s="219"/>
      <c r="S189" s="219"/>
      <c r="T189" s="219"/>
      <c r="U189" s="219"/>
      <c r="V189" s="219"/>
      <c r="W189" s="219"/>
      <c r="X189" s="219"/>
      <c r="Y189" s="219"/>
      <c r="Z189" s="219"/>
    </row>
    <row r="190">
      <c r="A190" s="244"/>
      <c r="B190" s="219"/>
      <c r="C190" s="219"/>
      <c r="D190" s="219"/>
      <c r="E190" s="213"/>
      <c r="F190" s="213"/>
      <c r="G190" s="213"/>
      <c r="H190" s="213"/>
      <c r="I190" s="219"/>
      <c r="J190" s="219"/>
      <c r="K190" s="219"/>
      <c r="L190" s="219"/>
      <c r="M190" s="219"/>
      <c r="N190" s="219"/>
      <c r="O190" s="219"/>
      <c r="P190" s="219"/>
      <c r="Q190" s="219"/>
      <c r="R190" s="219"/>
      <c r="S190" s="219"/>
      <c r="T190" s="219"/>
      <c r="U190" s="219"/>
      <c r="V190" s="219"/>
      <c r="W190" s="219"/>
      <c r="X190" s="219"/>
      <c r="Y190" s="219"/>
      <c r="Z190" s="219"/>
    </row>
    <row r="191">
      <c r="A191" s="244"/>
      <c r="B191" s="219"/>
      <c r="C191" s="219"/>
      <c r="D191" s="219"/>
      <c r="E191" s="213"/>
      <c r="F191" s="213"/>
      <c r="G191" s="213"/>
      <c r="H191" s="213"/>
      <c r="I191" s="219"/>
      <c r="J191" s="219"/>
      <c r="K191" s="219"/>
      <c r="L191" s="219"/>
      <c r="M191" s="219"/>
      <c r="N191" s="219"/>
      <c r="O191" s="219"/>
      <c r="P191" s="219"/>
      <c r="Q191" s="219"/>
      <c r="R191" s="219"/>
      <c r="S191" s="219"/>
      <c r="T191" s="219"/>
      <c r="U191" s="219"/>
      <c r="V191" s="219"/>
      <c r="W191" s="219"/>
      <c r="X191" s="219"/>
      <c r="Y191" s="219"/>
      <c r="Z191" s="219"/>
    </row>
    <row r="192">
      <c r="A192" s="244"/>
      <c r="B192" s="219"/>
      <c r="C192" s="219"/>
      <c r="D192" s="219"/>
      <c r="E192" s="213"/>
      <c r="F192" s="213"/>
      <c r="G192" s="213"/>
      <c r="H192" s="213"/>
      <c r="I192" s="219"/>
      <c r="J192" s="219"/>
      <c r="K192" s="219"/>
      <c r="L192" s="219"/>
      <c r="M192" s="219"/>
      <c r="N192" s="219"/>
      <c r="O192" s="219"/>
      <c r="P192" s="219"/>
      <c r="Q192" s="219"/>
      <c r="R192" s="219"/>
      <c r="S192" s="219"/>
      <c r="T192" s="219"/>
      <c r="U192" s="219"/>
      <c r="V192" s="219"/>
      <c r="W192" s="219"/>
      <c r="X192" s="219"/>
      <c r="Y192" s="219"/>
      <c r="Z192" s="219"/>
    </row>
    <row r="193">
      <c r="A193" s="244"/>
      <c r="B193" s="219"/>
      <c r="C193" s="219"/>
      <c r="D193" s="219"/>
      <c r="E193" s="213"/>
      <c r="F193" s="213"/>
      <c r="G193" s="213"/>
      <c r="H193" s="213"/>
      <c r="I193" s="219"/>
      <c r="J193" s="219"/>
      <c r="K193" s="219"/>
      <c r="L193" s="219"/>
      <c r="M193" s="219"/>
      <c r="N193" s="219"/>
      <c r="O193" s="219"/>
      <c r="P193" s="219"/>
      <c r="Q193" s="219"/>
      <c r="R193" s="219"/>
      <c r="S193" s="219"/>
      <c r="T193" s="219"/>
      <c r="U193" s="219"/>
      <c r="V193" s="219"/>
      <c r="W193" s="219"/>
      <c r="X193" s="219"/>
      <c r="Y193" s="219"/>
      <c r="Z193" s="219"/>
    </row>
    <row r="194">
      <c r="A194" s="244"/>
      <c r="B194" s="219"/>
      <c r="C194" s="219"/>
      <c r="D194" s="219"/>
      <c r="E194" s="213"/>
      <c r="F194" s="213"/>
      <c r="G194" s="213"/>
      <c r="H194" s="213"/>
      <c r="I194" s="219"/>
      <c r="J194" s="219"/>
      <c r="K194" s="219"/>
      <c r="L194" s="219"/>
      <c r="M194" s="219"/>
      <c r="N194" s="219"/>
      <c r="O194" s="219"/>
      <c r="P194" s="219"/>
      <c r="Q194" s="219"/>
      <c r="R194" s="219"/>
      <c r="S194" s="219"/>
      <c r="T194" s="219"/>
      <c r="U194" s="219"/>
      <c r="V194" s="219"/>
      <c r="W194" s="219"/>
      <c r="X194" s="219"/>
      <c r="Y194" s="219"/>
      <c r="Z194" s="219"/>
    </row>
    <row r="195">
      <c r="A195" s="244"/>
      <c r="B195" s="219"/>
      <c r="C195" s="219"/>
      <c r="D195" s="219"/>
      <c r="E195" s="213"/>
      <c r="F195" s="213"/>
      <c r="G195" s="213"/>
      <c r="H195" s="213"/>
      <c r="I195" s="219"/>
      <c r="J195" s="219"/>
      <c r="K195" s="219"/>
      <c r="L195" s="219"/>
      <c r="M195" s="219"/>
      <c r="N195" s="219"/>
      <c r="O195" s="219"/>
      <c r="P195" s="219"/>
      <c r="Q195" s="219"/>
      <c r="R195" s="219"/>
      <c r="S195" s="219"/>
      <c r="T195" s="219"/>
      <c r="U195" s="219"/>
      <c r="V195" s="219"/>
      <c r="W195" s="219"/>
      <c r="X195" s="219"/>
      <c r="Y195" s="219"/>
      <c r="Z195" s="219"/>
    </row>
    <row r="196">
      <c r="A196" s="244"/>
      <c r="B196" s="219"/>
      <c r="C196" s="219"/>
      <c r="D196" s="219"/>
      <c r="E196" s="213"/>
      <c r="F196" s="213"/>
      <c r="G196" s="213"/>
      <c r="H196" s="213"/>
      <c r="I196" s="219"/>
      <c r="J196" s="219"/>
      <c r="K196" s="219"/>
      <c r="L196" s="219"/>
      <c r="M196" s="219"/>
      <c r="N196" s="219"/>
      <c r="O196" s="219"/>
      <c r="P196" s="219"/>
      <c r="Q196" s="219"/>
      <c r="R196" s="219"/>
      <c r="S196" s="219"/>
      <c r="T196" s="219"/>
      <c r="U196" s="219"/>
      <c r="V196" s="219"/>
      <c r="W196" s="219"/>
      <c r="X196" s="219"/>
      <c r="Y196" s="219"/>
      <c r="Z196" s="219"/>
    </row>
    <row r="197">
      <c r="A197" s="244"/>
      <c r="B197" s="219"/>
      <c r="C197" s="219"/>
      <c r="D197" s="219"/>
      <c r="E197" s="213"/>
      <c r="F197" s="213"/>
      <c r="G197" s="213"/>
      <c r="H197" s="213"/>
      <c r="I197" s="219"/>
      <c r="J197" s="219"/>
      <c r="K197" s="219"/>
      <c r="L197" s="219"/>
      <c r="M197" s="219"/>
      <c r="N197" s="219"/>
      <c r="O197" s="219"/>
      <c r="P197" s="219"/>
      <c r="Q197" s="219"/>
      <c r="R197" s="219"/>
      <c r="S197" s="219"/>
      <c r="T197" s="219"/>
      <c r="U197" s="219"/>
      <c r="V197" s="219"/>
      <c r="W197" s="219"/>
      <c r="X197" s="219"/>
      <c r="Y197" s="219"/>
      <c r="Z197" s="219"/>
    </row>
    <row r="198">
      <c r="A198" s="244"/>
      <c r="B198" s="219"/>
      <c r="C198" s="219"/>
      <c r="D198" s="219"/>
      <c r="E198" s="213"/>
      <c r="F198" s="213"/>
      <c r="G198" s="213"/>
      <c r="H198" s="213"/>
      <c r="I198" s="219"/>
      <c r="J198" s="219"/>
      <c r="K198" s="219"/>
      <c r="L198" s="219"/>
      <c r="M198" s="219"/>
      <c r="N198" s="219"/>
      <c r="O198" s="219"/>
      <c r="P198" s="219"/>
      <c r="Q198" s="219"/>
      <c r="R198" s="219"/>
      <c r="S198" s="219"/>
      <c r="T198" s="219"/>
      <c r="U198" s="219"/>
      <c r="V198" s="219"/>
      <c r="W198" s="219"/>
      <c r="X198" s="219"/>
      <c r="Y198" s="219"/>
      <c r="Z198" s="219"/>
    </row>
    <row r="199">
      <c r="A199" s="244"/>
      <c r="B199" s="219"/>
      <c r="C199" s="219"/>
      <c r="D199" s="219"/>
      <c r="E199" s="213"/>
      <c r="F199" s="213"/>
      <c r="G199" s="213"/>
      <c r="H199" s="213"/>
      <c r="I199" s="219"/>
      <c r="J199" s="219"/>
      <c r="K199" s="219"/>
      <c r="L199" s="219"/>
      <c r="M199" s="219"/>
      <c r="N199" s="219"/>
      <c r="O199" s="219"/>
      <c r="P199" s="219"/>
      <c r="Q199" s="219"/>
      <c r="R199" s="219"/>
      <c r="S199" s="219"/>
      <c r="T199" s="219"/>
      <c r="U199" s="219"/>
      <c r="V199" s="219"/>
      <c r="W199" s="219"/>
      <c r="X199" s="219"/>
      <c r="Y199" s="219"/>
      <c r="Z199" s="219"/>
    </row>
    <row r="200">
      <c r="A200" s="244"/>
      <c r="B200" s="219"/>
      <c r="C200" s="219"/>
      <c r="D200" s="219"/>
      <c r="E200" s="213"/>
      <c r="F200" s="213"/>
      <c r="G200" s="213"/>
      <c r="H200" s="213"/>
      <c r="I200" s="219"/>
      <c r="J200" s="219"/>
      <c r="K200" s="219"/>
      <c r="L200" s="219"/>
      <c r="M200" s="219"/>
      <c r="N200" s="219"/>
      <c r="O200" s="219"/>
      <c r="P200" s="219"/>
      <c r="Q200" s="219"/>
      <c r="R200" s="219"/>
      <c r="S200" s="219"/>
      <c r="T200" s="219"/>
      <c r="U200" s="219"/>
      <c r="V200" s="219"/>
      <c r="W200" s="219"/>
      <c r="X200" s="219"/>
      <c r="Y200" s="219"/>
      <c r="Z200" s="219"/>
    </row>
    <row r="201">
      <c r="A201" s="244"/>
      <c r="B201" s="219"/>
      <c r="C201" s="219"/>
      <c r="D201" s="219"/>
      <c r="E201" s="213"/>
      <c r="F201" s="213"/>
      <c r="G201" s="213"/>
      <c r="H201" s="213"/>
      <c r="I201" s="219"/>
      <c r="J201" s="219"/>
      <c r="K201" s="219"/>
      <c r="L201" s="219"/>
      <c r="M201" s="219"/>
      <c r="N201" s="219"/>
      <c r="O201" s="219"/>
      <c r="P201" s="219"/>
      <c r="Q201" s="219"/>
      <c r="R201" s="219"/>
      <c r="S201" s="219"/>
      <c r="T201" s="219"/>
      <c r="U201" s="219"/>
      <c r="V201" s="219"/>
      <c r="W201" s="219"/>
      <c r="X201" s="219"/>
      <c r="Y201" s="219"/>
      <c r="Z201" s="219"/>
    </row>
    <row r="202">
      <c r="A202" s="244"/>
      <c r="B202" s="219"/>
      <c r="C202" s="219"/>
      <c r="D202" s="219"/>
      <c r="E202" s="213"/>
      <c r="F202" s="213"/>
      <c r="G202" s="213"/>
      <c r="H202" s="213"/>
      <c r="I202" s="219"/>
      <c r="J202" s="219"/>
      <c r="K202" s="219"/>
      <c r="L202" s="219"/>
      <c r="M202" s="219"/>
      <c r="N202" s="219"/>
      <c r="O202" s="219"/>
      <c r="P202" s="219"/>
      <c r="Q202" s="219"/>
      <c r="R202" s="219"/>
      <c r="S202" s="219"/>
      <c r="T202" s="219"/>
      <c r="U202" s="219"/>
      <c r="V202" s="219"/>
      <c r="W202" s="219"/>
      <c r="X202" s="219"/>
      <c r="Y202" s="219"/>
      <c r="Z202" s="219"/>
    </row>
    <row r="203">
      <c r="A203" s="244"/>
      <c r="B203" s="219"/>
      <c r="C203" s="219"/>
      <c r="D203" s="219"/>
      <c r="E203" s="213"/>
      <c r="F203" s="213"/>
      <c r="G203" s="213"/>
      <c r="H203" s="213"/>
      <c r="I203" s="219"/>
      <c r="J203" s="219"/>
      <c r="K203" s="219"/>
      <c r="L203" s="219"/>
      <c r="M203" s="219"/>
      <c r="N203" s="219"/>
      <c r="O203" s="219"/>
      <c r="P203" s="219"/>
      <c r="Q203" s="219"/>
      <c r="R203" s="219"/>
      <c r="S203" s="219"/>
      <c r="T203" s="219"/>
      <c r="U203" s="219"/>
      <c r="V203" s="219"/>
      <c r="W203" s="219"/>
      <c r="X203" s="219"/>
      <c r="Y203" s="219"/>
      <c r="Z203" s="219"/>
    </row>
    <row r="204">
      <c r="A204" s="244"/>
      <c r="B204" s="219"/>
      <c r="C204" s="219"/>
      <c r="D204" s="219"/>
      <c r="E204" s="213"/>
      <c r="F204" s="213"/>
      <c r="G204" s="213"/>
      <c r="H204" s="213"/>
      <c r="I204" s="219"/>
      <c r="J204" s="219"/>
      <c r="K204" s="219"/>
      <c r="L204" s="219"/>
      <c r="M204" s="219"/>
      <c r="N204" s="219"/>
      <c r="O204" s="219"/>
      <c r="P204" s="219"/>
      <c r="Q204" s="219"/>
      <c r="R204" s="219"/>
      <c r="S204" s="219"/>
      <c r="T204" s="219"/>
      <c r="U204" s="219"/>
      <c r="V204" s="219"/>
      <c r="W204" s="219"/>
      <c r="X204" s="219"/>
      <c r="Y204" s="219"/>
      <c r="Z204" s="219"/>
    </row>
    <row r="205">
      <c r="A205" s="244"/>
      <c r="B205" s="219"/>
      <c r="C205" s="219"/>
      <c r="D205" s="219"/>
      <c r="E205" s="213"/>
      <c r="F205" s="213"/>
      <c r="G205" s="213"/>
      <c r="H205" s="213"/>
      <c r="I205" s="219"/>
      <c r="J205" s="219"/>
      <c r="K205" s="219"/>
      <c r="L205" s="219"/>
      <c r="M205" s="219"/>
      <c r="N205" s="219"/>
      <c r="O205" s="219"/>
      <c r="P205" s="219"/>
      <c r="Q205" s="219"/>
      <c r="R205" s="219"/>
      <c r="S205" s="219"/>
      <c r="T205" s="219"/>
      <c r="U205" s="219"/>
      <c r="V205" s="219"/>
      <c r="W205" s="219"/>
      <c r="X205" s="219"/>
      <c r="Y205" s="219"/>
      <c r="Z205" s="219"/>
    </row>
    <row r="206">
      <c r="A206" s="244"/>
      <c r="B206" s="219"/>
      <c r="C206" s="219"/>
      <c r="D206" s="219"/>
      <c r="E206" s="213"/>
      <c r="F206" s="213"/>
      <c r="G206" s="213"/>
      <c r="H206" s="213"/>
      <c r="I206" s="219"/>
      <c r="J206" s="219"/>
      <c r="K206" s="219"/>
      <c r="L206" s="219"/>
      <c r="M206" s="219"/>
      <c r="N206" s="219"/>
      <c r="O206" s="219"/>
      <c r="P206" s="219"/>
      <c r="Q206" s="219"/>
      <c r="R206" s="219"/>
      <c r="S206" s="219"/>
      <c r="T206" s="219"/>
      <c r="U206" s="219"/>
      <c r="V206" s="219"/>
      <c r="W206" s="219"/>
      <c r="X206" s="219"/>
      <c r="Y206" s="219"/>
      <c r="Z206" s="219"/>
    </row>
    <row r="207">
      <c r="A207" s="244"/>
      <c r="B207" s="219"/>
      <c r="C207" s="219"/>
      <c r="D207" s="219"/>
      <c r="E207" s="213"/>
      <c r="F207" s="213"/>
      <c r="G207" s="213"/>
      <c r="H207" s="213"/>
      <c r="I207" s="219"/>
      <c r="J207" s="219"/>
      <c r="K207" s="219"/>
      <c r="L207" s="219"/>
      <c r="M207" s="219"/>
      <c r="N207" s="219"/>
      <c r="O207" s="219"/>
      <c r="P207" s="219"/>
      <c r="Q207" s="219"/>
      <c r="R207" s="219"/>
      <c r="S207" s="219"/>
      <c r="T207" s="219"/>
      <c r="U207" s="219"/>
      <c r="V207" s="219"/>
      <c r="W207" s="219"/>
      <c r="X207" s="219"/>
      <c r="Y207" s="219"/>
      <c r="Z207" s="219"/>
    </row>
    <row r="208">
      <c r="A208" s="244"/>
      <c r="B208" s="219"/>
      <c r="C208" s="219"/>
      <c r="D208" s="219"/>
      <c r="E208" s="213"/>
      <c r="F208" s="213"/>
      <c r="G208" s="213"/>
      <c r="H208" s="213"/>
      <c r="I208" s="219"/>
      <c r="J208" s="219"/>
      <c r="K208" s="219"/>
      <c r="L208" s="219"/>
      <c r="M208" s="219"/>
      <c r="N208" s="219"/>
      <c r="O208" s="219"/>
      <c r="P208" s="219"/>
      <c r="Q208" s="219"/>
      <c r="R208" s="219"/>
      <c r="S208" s="219"/>
      <c r="T208" s="219"/>
      <c r="U208" s="219"/>
      <c r="V208" s="219"/>
      <c r="W208" s="219"/>
      <c r="X208" s="219"/>
      <c r="Y208" s="219"/>
      <c r="Z208" s="219"/>
    </row>
    <row r="209">
      <c r="A209" s="244"/>
      <c r="B209" s="219"/>
      <c r="C209" s="219"/>
      <c r="D209" s="219"/>
      <c r="E209" s="213"/>
      <c r="F209" s="213"/>
      <c r="G209" s="213"/>
      <c r="H209" s="213"/>
      <c r="I209" s="219"/>
      <c r="J209" s="219"/>
      <c r="K209" s="219"/>
      <c r="L209" s="219"/>
      <c r="M209" s="219"/>
      <c r="N209" s="219"/>
      <c r="O209" s="219"/>
      <c r="P209" s="219"/>
      <c r="Q209" s="219"/>
      <c r="R209" s="219"/>
      <c r="S209" s="219"/>
      <c r="T209" s="219"/>
      <c r="U209" s="219"/>
      <c r="V209" s="219"/>
      <c r="W209" s="219"/>
      <c r="X209" s="219"/>
      <c r="Y209" s="219"/>
      <c r="Z209" s="219"/>
    </row>
    <row r="210">
      <c r="A210" s="244"/>
      <c r="B210" s="219"/>
      <c r="C210" s="219"/>
      <c r="D210" s="219"/>
      <c r="E210" s="213"/>
      <c r="F210" s="213"/>
      <c r="G210" s="213"/>
      <c r="H210" s="213"/>
      <c r="I210" s="219"/>
      <c r="J210" s="219"/>
      <c r="K210" s="219"/>
      <c r="L210" s="219"/>
      <c r="M210" s="219"/>
      <c r="N210" s="219"/>
      <c r="O210" s="219"/>
      <c r="P210" s="219"/>
      <c r="Q210" s="219"/>
      <c r="R210" s="219"/>
      <c r="S210" s="219"/>
      <c r="T210" s="219"/>
      <c r="U210" s="219"/>
      <c r="V210" s="219"/>
      <c r="W210" s="219"/>
      <c r="X210" s="219"/>
      <c r="Y210" s="219"/>
      <c r="Z210" s="219"/>
    </row>
    <row r="211">
      <c r="A211" s="244"/>
      <c r="B211" s="219"/>
      <c r="C211" s="219"/>
      <c r="D211" s="219"/>
      <c r="E211" s="213"/>
      <c r="F211" s="213"/>
      <c r="G211" s="213"/>
      <c r="H211" s="213"/>
      <c r="I211" s="219"/>
      <c r="J211" s="219"/>
      <c r="K211" s="219"/>
      <c r="L211" s="219"/>
      <c r="M211" s="219"/>
      <c r="N211" s="219"/>
      <c r="O211" s="219"/>
      <c r="P211" s="219"/>
      <c r="Q211" s="219"/>
      <c r="R211" s="219"/>
      <c r="S211" s="219"/>
      <c r="T211" s="219"/>
      <c r="U211" s="219"/>
      <c r="V211" s="219"/>
      <c r="W211" s="219"/>
      <c r="X211" s="219"/>
      <c r="Y211" s="219"/>
      <c r="Z211" s="219"/>
    </row>
    <row r="212">
      <c r="A212" s="244"/>
      <c r="B212" s="219"/>
      <c r="C212" s="219"/>
      <c r="D212" s="219"/>
      <c r="E212" s="213"/>
      <c r="F212" s="213"/>
      <c r="G212" s="213"/>
      <c r="H212" s="213"/>
      <c r="I212" s="219"/>
      <c r="J212" s="219"/>
      <c r="K212" s="219"/>
      <c r="L212" s="219"/>
      <c r="M212" s="219"/>
      <c r="N212" s="219"/>
      <c r="O212" s="219"/>
      <c r="P212" s="219"/>
      <c r="Q212" s="219"/>
      <c r="R212" s="219"/>
      <c r="S212" s="219"/>
      <c r="T212" s="219"/>
      <c r="U212" s="219"/>
      <c r="V212" s="219"/>
      <c r="W212" s="219"/>
      <c r="X212" s="219"/>
      <c r="Y212" s="219"/>
      <c r="Z212" s="219"/>
    </row>
    <row r="213">
      <c r="A213" s="244"/>
      <c r="B213" s="219"/>
      <c r="C213" s="219"/>
      <c r="D213" s="219"/>
      <c r="E213" s="213"/>
      <c r="F213" s="213"/>
      <c r="G213" s="213"/>
      <c r="H213" s="213"/>
      <c r="I213" s="219"/>
      <c r="J213" s="219"/>
      <c r="K213" s="219"/>
      <c r="L213" s="219"/>
      <c r="M213" s="219"/>
      <c r="N213" s="219"/>
      <c r="O213" s="219"/>
      <c r="P213" s="219"/>
      <c r="Q213" s="219"/>
      <c r="R213" s="219"/>
      <c r="S213" s="219"/>
      <c r="T213" s="219"/>
      <c r="U213" s="219"/>
      <c r="V213" s="219"/>
      <c r="W213" s="219"/>
      <c r="X213" s="219"/>
      <c r="Y213" s="219"/>
      <c r="Z213" s="219"/>
    </row>
    <row r="214">
      <c r="A214" s="244"/>
      <c r="B214" s="219"/>
      <c r="C214" s="219"/>
      <c r="D214" s="219"/>
      <c r="E214" s="213"/>
      <c r="F214" s="213"/>
      <c r="G214" s="213"/>
      <c r="H214" s="213"/>
      <c r="I214" s="219"/>
      <c r="J214" s="219"/>
      <c r="K214" s="219"/>
      <c r="L214" s="219"/>
      <c r="M214" s="219"/>
      <c r="N214" s="219"/>
      <c r="O214" s="219"/>
      <c r="P214" s="219"/>
      <c r="Q214" s="219"/>
      <c r="R214" s="219"/>
      <c r="S214" s="219"/>
      <c r="T214" s="219"/>
      <c r="U214" s="219"/>
      <c r="V214" s="219"/>
      <c r="W214" s="219"/>
      <c r="X214" s="219"/>
      <c r="Y214" s="219"/>
      <c r="Z214" s="219"/>
    </row>
    <row r="215">
      <c r="A215" s="244"/>
      <c r="B215" s="219"/>
      <c r="C215" s="219"/>
      <c r="D215" s="219"/>
      <c r="E215" s="213"/>
      <c r="F215" s="213"/>
      <c r="G215" s="213"/>
      <c r="H215" s="213"/>
      <c r="I215" s="219"/>
      <c r="J215" s="219"/>
      <c r="K215" s="219"/>
      <c r="L215" s="219"/>
      <c r="M215" s="219"/>
      <c r="N215" s="219"/>
      <c r="O215" s="219"/>
      <c r="P215" s="219"/>
      <c r="Q215" s="219"/>
      <c r="R215" s="219"/>
      <c r="S215" s="219"/>
      <c r="T215" s="219"/>
      <c r="U215" s="219"/>
      <c r="V215" s="219"/>
      <c r="W215" s="219"/>
      <c r="X215" s="219"/>
      <c r="Y215" s="219"/>
      <c r="Z215" s="219"/>
    </row>
    <row r="216">
      <c r="A216" s="244"/>
      <c r="B216" s="219"/>
      <c r="C216" s="219"/>
      <c r="D216" s="219"/>
      <c r="E216" s="213"/>
      <c r="F216" s="213"/>
      <c r="G216" s="213"/>
      <c r="H216" s="213"/>
      <c r="I216" s="219"/>
      <c r="J216" s="219"/>
      <c r="K216" s="219"/>
      <c r="L216" s="219"/>
      <c r="M216" s="219"/>
      <c r="N216" s="219"/>
      <c r="O216" s="219"/>
      <c r="P216" s="219"/>
      <c r="Q216" s="219"/>
      <c r="R216" s="219"/>
      <c r="S216" s="219"/>
      <c r="T216" s="219"/>
      <c r="U216" s="219"/>
      <c r="V216" s="219"/>
      <c r="W216" s="219"/>
      <c r="X216" s="219"/>
      <c r="Y216" s="219"/>
      <c r="Z216" s="219"/>
    </row>
    <row r="217">
      <c r="A217" s="244"/>
      <c r="B217" s="219"/>
      <c r="C217" s="219"/>
      <c r="D217" s="219"/>
      <c r="E217" s="213"/>
      <c r="F217" s="213"/>
      <c r="G217" s="213"/>
      <c r="H217" s="213"/>
      <c r="I217" s="219"/>
      <c r="J217" s="219"/>
      <c r="K217" s="219"/>
      <c r="L217" s="219"/>
      <c r="M217" s="219"/>
      <c r="N217" s="219"/>
      <c r="O217" s="219"/>
      <c r="P217" s="219"/>
      <c r="Q217" s="219"/>
      <c r="R217" s="219"/>
      <c r="S217" s="219"/>
      <c r="T217" s="219"/>
      <c r="U217" s="219"/>
      <c r="V217" s="219"/>
      <c r="W217" s="219"/>
      <c r="X217" s="219"/>
      <c r="Y217" s="219"/>
      <c r="Z217" s="219"/>
    </row>
    <row r="218">
      <c r="A218" s="244"/>
      <c r="B218" s="219"/>
      <c r="C218" s="219"/>
      <c r="D218" s="219"/>
      <c r="E218" s="213"/>
      <c r="F218" s="213"/>
      <c r="G218" s="213"/>
      <c r="H218" s="213"/>
      <c r="I218" s="219"/>
      <c r="J218" s="219"/>
      <c r="K218" s="219"/>
      <c r="L218" s="219"/>
      <c r="M218" s="219"/>
      <c r="N218" s="219"/>
      <c r="O218" s="219"/>
      <c r="P218" s="219"/>
      <c r="Q218" s="219"/>
      <c r="R218" s="219"/>
      <c r="S218" s="219"/>
      <c r="T218" s="219"/>
      <c r="U218" s="219"/>
      <c r="V218" s="219"/>
      <c r="W218" s="219"/>
      <c r="X218" s="219"/>
      <c r="Y218" s="219"/>
      <c r="Z218" s="219"/>
    </row>
    <row r="219">
      <c r="A219" s="244"/>
      <c r="B219" s="219"/>
      <c r="C219" s="219"/>
      <c r="D219" s="219"/>
      <c r="E219" s="213"/>
      <c r="F219" s="213"/>
      <c r="G219" s="213"/>
      <c r="H219" s="213"/>
      <c r="I219" s="219"/>
      <c r="J219" s="219"/>
      <c r="K219" s="219"/>
      <c r="L219" s="219"/>
      <c r="M219" s="219"/>
      <c r="N219" s="219"/>
      <c r="O219" s="219"/>
      <c r="P219" s="219"/>
      <c r="Q219" s="219"/>
      <c r="R219" s="219"/>
      <c r="S219" s="219"/>
      <c r="T219" s="219"/>
      <c r="U219" s="219"/>
      <c r="V219" s="219"/>
      <c r="W219" s="219"/>
      <c r="X219" s="219"/>
      <c r="Y219" s="219"/>
      <c r="Z219" s="219"/>
    </row>
    <row r="220">
      <c r="A220" s="244"/>
      <c r="B220" s="219"/>
      <c r="C220" s="219"/>
      <c r="D220" s="219"/>
      <c r="E220" s="213"/>
      <c r="F220" s="213"/>
      <c r="G220" s="213"/>
      <c r="H220" s="213"/>
      <c r="I220" s="219"/>
      <c r="J220" s="219"/>
      <c r="K220" s="219"/>
      <c r="L220" s="219"/>
      <c r="M220" s="219"/>
      <c r="N220" s="219"/>
      <c r="O220" s="219"/>
      <c r="P220" s="219"/>
      <c r="Q220" s="219"/>
      <c r="R220" s="219"/>
      <c r="S220" s="219"/>
      <c r="T220" s="219"/>
      <c r="U220" s="219"/>
      <c r="V220" s="219"/>
      <c r="W220" s="219"/>
      <c r="X220" s="219"/>
      <c r="Y220" s="219"/>
      <c r="Z220" s="219"/>
    </row>
    <row r="221">
      <c r="A221" s="244"/>
      <c r="B221" s="219"/>
      <c r="C221" s="219"/>
      <c r="D221" s="219"/>
      <c r="E221" s="213"/>
      <c r="F221" s="213"/>
      <c r="G221" s="213"/>
      <c r="H221" s="213"/>
      <c r="I221" s="219"/>
      <c r="J221" s="219"/>
      <c r="K221" s="219"/>
      <c r="L221" s="219"/>
      <c r="M221" s="219"/>
      <c r="N221" s="219"/>
      <c r="O221" s="219"/>
      <c r="P221" s="219"/>
      <c r="Q221" s="219"/>
      <c r="R221" s="219"/>
      <c r="S221" s="219"/>
      <c r="T221" s="219"/>
      <c r="U221" s="219"/>
      <c r="V221" s="219"/>
      <c r="W221" s="219"/>
      <c r="X221" s="219"/>
      <c r="Y221" s="219"/>
      <c r="Z221" s="219"/>
    </row>
    <row r="222">
      <c r="A222" s="244"/>
      <c r="B222" s="219"/>
      <c r="C222" s="219"/>
      <c r="D222" s="219"/>
      <c r="E222" s="213"/>
      <c r="F222" s="213"/>
      <c r="G222" s="213"/>
      <c r="H222" s="213"/>
      <c r="I222" s="219"/>
      <c r="J222" s="219"/>
      <c r="K222" s="219"/>
      <c r="L222" s="219"/>
      <c r="M222" s="219"/>
      <c r="N222" s="219"/>
      <c r="O222" s="219"/>
      <c r="P222" s="219"/>
      <c r="Q222" s="219"/>
      <c r="R222" s="219"/>
      <c r="S222" s="219"/>
      <c r="T222" s="219"/>
      <c r="U222" s="219"/>
      <c r="V222" s="219"/>
      <c r="W222" s="219"/>
      <c r="X222" s="219"/>
      <c r="Y222" s="219"/>
      <c r="Z222" s="219"/>
    </row>
    <row r="223">
      <c r="A223" s="244"/>
      <c r="B223" s="219"/>
      <c r="C223" s="219"/>
      <c r="D223" s="219"/>
      <c r="E223" s="213"/>
      <c r="F223" s="213"/>
      <c r="G223" s="213"/>
      <c r="H223" s="213"/>
      <c r="I223" s="219"/>
      <c r="J223" s="219"/>
      <c r="K223" s="219"/>
      <c r="L223" s="219"/>
      <c r="M223" s="219"/>
      <c r="N223" s="219"/>
      <c r="O223" s="219"/>
      <c r="P223" s="219"/>
      <c r="Q223" s="219"/>
      <c r="R223" s="219"/>
      <c r="S223" s="219"/>
      <c r="T223" s="219"/>
      <c r="U223" s="219"/>
      <c r="V223" s="219"/>
      <c r="W223" s="219"/>
      <c r="X223" s="219"/>
      <c r="Y223" s="219"/>
      <c r="Z223" s="219"/>
    </row>
    <row r="224">
      <c r="A224" s="244"/>
      <c r="B224" s="219"/>
      <c r="C224" s="219"/>
      <c r="D224" s="219"/>
      <c r="E224" s="213"/>
      <c r="F224" s="213"/>
      <c r="G224" s="213"/>
      <c r="H224" s="213"/>
      <c r="I224" s="219"/>
      <c r="J224" s="219"/>
      <c r="K224" s="219"/>
      <c r="L224" s="219"/>
      <c r="M224" s="219"/>
      <c r="N224" s="219"/>
      <c r="O224" s="219"/>
      <c r="P224" s="219"/>
      <c r="Q224" s="219"/>
      <c r="R224" s="219"/>
      <c r="S224" s="219"/>
      <c r="T224" s="219"/>
      <c r="U224" s="219"/>
      <c r="V224" s="219"/>
      <c r="W224" s="219"/>
      <c r="X224" s="219"/>
      <c r="Y224" s="219"/>
      <c r="Z224" s="219"/>
    </row>
    <row r="225">
      <c r="A225" s="244"/>
      <c r="B225" s="219"/>
      <c r="C225" s="219"/>
      <c r="D225" s="219"/>
      <c r="E225" s="213"/>
      <c r="F225" s="213"/>
      <c r="G225" s="213"/>
      <c r="H225" s="213"/>
      <c r="I225" s="219"/>
      <c r="J225" s="219"/>
      <c r="K225" s="219"/>
      <c r="L225" s="219"/>
      <c r="M225" s="219"/>
      <c r="N225" s="219"/>
      <c r="O225" s="219"/>
      <c r="P225" s="219"/>
      <c r="Q225" s="219"/>
      <c r="R225" s="219"/>
      <c r="S225" s="219"/>
      <c r="T225" s="219"/>
      <c r="U225" s="219"/>
      <c r="V225" s="219"/>
      <c r="W225" s="219"/>
      <c r="X225" s="219"/>
      <c r="Y225" s="219"/>
      <c r="Z225" s="219"/>
    </row>
    <row r="226">
      <c r="A226" s="244"/>
      <c r="B226" s="219"/>
      <c r="C226" s="219"/>
      <c r="D226" s="219"/>
      <c r="E226" s="213"/>
      <c r="F226" s="213"/>
      <c r="G226" s="213"/>
      <c r="H226" s="213"/>
      <c r="I226" s="219"/>
      <c r="J226" s="219"/>
      <c r="K226" s="219"/>
      <c r="L226" s="219"/>
      <c r="M226" s="219"/>
      <c r="N226" s="219"/>
      <c r="O226" s="219"/>
      <c r="P226" s="219"/>
      <c r="Q226" s="219"/>
      <c r="R226" s="219"/>
      <c r="S226" s="219"/>
      <c r="T226" s="219"/>
      <c r="U226" s="219"/>
      <c r="V226" s="219"/>
      <c r="W226" s="219"/>
      <c r="X226" s="219"/>
      <c r="Y226" s="219"/>
      <c r="Z226" s="219"/>
    </row>
    <row r="227">
      <c r="A227" s="244"/>
      <c r="B227" s="219"/>
      <c r="C227" s="219"/>
      <c r="D227" s="219"/>
      <c r="E227" s="213"/>
      <c r="F227" s="213"/>
      <c r="G227" s="213"/>
      <c r="H227" s="213"/>
      <c r="I227" s="219"/>
      <c r="J227" s="219"/>
      <c r="K227" s="219"/>
      <c r="L227" s="219"/>
      <c r="M227" s="219"/>
      <c r="N227" s="219"/>
      <c r="O227" s="219"/>
      <c r="P227" s="219"/>
      <c r="Q227" s="219"/>
      <c r="R227" s="219"/>
      <c r="S227" s="219"/>
      <c r="T227" s="219"/>
      <c r="U227" s="219"/>
      <c r="V227" s="219"/>
      <c r="W227" s="219"/>
      <c r="X227" s="219"/>
      <c r="Y227" s="219"/>
      <c r="Z227" s="219"/>
    </row>
    <row r="228">
      <c r="A228" s="244"/>
      <c r="B228" s="219"/>
      <c r="C228" s="219"/>
      <c r="D228" s="219"/>
      <c r="E228" s="213"/>
      <c r="F228" s="213"/>
      <c r="G228" s="213"/>
      <c r="H228" s="213"/>
      <c r="I228" s="219"/>
      <c r="J228" s="219"/>
      <c r="K228" s="219"/>
      <c r="L228" s="219"/>
      <c r="M228" s="219"/>
      <c r="N228" s="219"/>
      <c r="O228" s="219"/>
      <c r="P228" s="219"/>
      <c r="Q228" s="219"/>
      <c r="R228" s="219"/>
      <c r="S228" s="219"/>
      <c r="T228" s="219"/>
      <c r="U228" s="219"/>
      <c r="V228" s="219"/>
      <c r="W228" s="219"/>
      <c r="X228" s="219"/>
      <c r="Y228" s="219"/>
      <c r="Z228" s="219"/>
    </row>
    <row r="229">
      <c r="A229" s="244"/>
      <c r="B229" s="219"/>
      <c r="C229" s="219"/>
      <c r="D229" s="219"/>
      <c r="E229" s="213"/>
      <c r="F229" s="213"/>
      <c r="G229" s="213"/>
      <c r="H229" s="213"/>
      <c r="I229" s="219"/>
      <c r="J229" s="219"/>
      <c r="K229" s="219"/>
      <c r="L229" s="219"/>
      <c r="M229" s="219"/>
      <c r="N229" s="219"/>
      <c r="O229" s="219"/>
      <c r="P229" s="219"/>
      <c r="Q229" s="219"/>
      <c r="R229" s="219"/>
      <c r="S229" s="219"/>
      <c r="T229" s="219"/>
      <c r="U229" s="219"/>
      <c r="V229" s="219"/>
      <c r="W229" s="219"/>
      <c r="X229" s="219"/>
      <c r="Y229" s="219"/>
      <c r="Z229" s="219"/>
    </row>
    <row r="230">
      <c r="A230" s="244"/>
      <c r="B230" s="219"/>
      <c r="C230" s="219"/>
      <c r="D230" s="219"/>
      <c r="E230" s="213"/>
      <c r="F230" s="213"/>
      <c r="G230" s="213"/>
      <c r="H230" s="213"/>
      <c r="I230" s="219"/>
      <c r="J230" s="219"/>
      <c r="K230" s="219"/>
      <c r="L230" s="219"/>
      <c r="M230" s="219"/>
      <c r="N230" s="219"/>
      <c r="O230" s="219"/>
      <c r="P230" s="219"/>
      <c r="Q230" s="219"/>
      <c r="R230" s="219"/>
      <c r="S230" s="219"/>
      <c r="T230" s="219"/>
      <c r="U230" s="219"/>
      <c r="V230" s="219"/>
      <c r="W230" s="219"/>
      <c r="X230" s="219"/>
      <c r="Y230" s="219"/>
      <c r="Z230" s="219"/>
    </row>
    <row r="231">
      <c r="A231" s="244"/>
      <c r="B231" s="219"/>
      <c r="C231" s="219"/>
      <c r="D231" s="219"/>
      <c r="E231" s="213"/>
      <c r="F231" s="213"/>
      <c r="G231" s="213"/>
      <c r="H231" s="213"/>
      <c r="I231" s="219"/>
      <c r="J231" s="219"/>
      <c r="K231" s="219"/>
      <c r="L231" s="219"/>
      <c r="M231" s="219"/>
      <c r="N231" s="219"/>
      <c r="O231" s="219"/>
      <c r="P231" s="219"/>
      <c r="Q231" s="219"/>
      <c r="R231" s="219"/>
      <c r="S231" s="219"/>
      <c r="T231" s="219"/>
      <c r="U231" s="219"/>
      <c r="V231" s="219"/>
      <c r="W231" s="219"/>
      <c r="X231" s="219"/>
      <c r="Y231" s="219"/>
      <c r="Z231" s="219"/>
    </row>
    <row r="232">
      <c r="A232" s="244"/>
      <c r="B232" s="219"/>
      <c r="C232" s="219"/>
      <c r="D232" s="219"/>
      <c r="E232" s="213"/>
      <c r="F232" s="213"/>
      <c r="G232" s="213"/>
      <c r="H232" s="213"/>
      <c r="I232" s="219"/>
      <c r="J232" s="219"/>
      <c r="K232" s="219"/>
      <c r="L232" s="219"/>
      <c r="M232" s="219"/>
      <c r="N232" s="219"/>
      <c r="O232" s="219"/>
      <c r="P232" s="219"/>
      <c r="Q232" s="219"/>
      <c r="R232" s="219"/>
      <c r="S232" s="219"/>
      <c r="T232" s="219"/>
      <c r="U232" s="219"/>
      <c r="V232" s="219"/>
      <c r="W232" s="219"/>
      <c r="X232" s="219"/>
      <c r="Y232" s="219"/>
      <c r="Z232" s="219"/>
    </row>
    <row r="233">
      <c r="A233" s="244"/>
      <c r="B233" s="219"/>
      <c r="C233" s="219"/>
      <c r="D233" s="219"/>
      <c r="E233" s="213"/>
      <c r="F233" s="213"/>
      <c r="G233" s="213"/>
      <c r="H233" s="213"/>
      <c r="I233" s="219"/>
      <c r="J233" s="219"/>
      <c r="K233" s="219"/>
      <c r="L233" s="219"/>
      <c r="M233" s="219"/>
      <c r="N233" s="219"/>
      <c r="O233" s="219"/>
      <c r="P233" s="219"/>
      <c r="Q233" s="219"/>
      <c r="R233" s="219"/>
      <c r="S233" s="219"/>
      <c r="T233" s="219"/>
      <c r="U233" s="219"/>
      <c r="V233" s="219"/>
      <c r="W233" s="219"/>
      <c r="X233" s="219"/>
      <c r="Y233" s="219"/>
      <c r="Z233" s="219"/>
    </row>
    <row r="234">
      <c r="A234" s="244"/>
      <c r="B234" s="219"/>
      <c r="C234" s="219"/>
      <c r="D234" s="219"/>
      <c r="E234" s="213"/>
      <c r="F234" s="213"/>
      <c r="G234" s="213"/>
      <c r="H234" s="213"/>
      <c r="I234" s="219"/>
      <c r="J234" s="219"/>
      <c r="K234" s="219"/>
      <c r="L234" s="219"/>
      <c r="M234" s="219"/>
      <c r="N234" s="219"/>
      <c r="O234" s="219"/>
      <c r="P234" s="219"/>
      <c r="Q234" s="219"/>
      <c r="R234" s="219"/>
      <c r="S234" s="219"/>
      <c r="T234" s="219"/>
      <c r="U234" s="219"/>
      <c r="V234" s="219"/>
      <c r="W234" s="219"/>
      <c r="X234" s="219"/>
      <c r="Y234" s="219"/>
      <c r="Z234" s="219"/>
    </row>
    <row r="235">
      <c r="A235" s="244"/>
      <c r="B235" s="219"/>
      <c r="C235" s="219"/>
      <c r="D235" s="219"/>
      <c r="E235" s="213"/>
      <c r="F235" s="213"/>
      <c r="G235" s="213"/>
      <c r="H235" s="213"/>
      <c r="I235" s="219"/>
      <c r="J235" s="219"/>
      <c r="K235" s="219"/>
      <c r="L235" s="219"/>
      <c r="M235" s="219"/>
      <c r="N235" s="219"/>
      <c r="O235" s="219"/>
      <c r="P235" s="219"/>
      <c r="Q235" s="219"/>
      <c r="R235" s="219"/>
      <c r="S235" s="219"/>
      <c r="T235" s="219"/>
      <c r="U235" s="219"/>
      <c r="V235" s="219"/>
      <c r="W235" s="219"/>
      <c r="X235" s="219"/>
      <c r="Y235" s="219"/>
      <c r="Z235" s="219"/>
    </row>
    <row r="236">
      <c r="A236" s="244"/>
      <c r="B236" s="219"/>
      <c r="C236" s="219"/>
      <c r="D236" s="219"/>
      <c r="E236" s="213"/>
      <c r="F236" s="213"/>
      <c r="G236" s="213"/>
      <c r="H236" s="213"/>
      <c r="I236" s="219"/>
      <c r="J236" s="219"/>
      <c r="K236" s="219"/>
      <c r="L236" s="219"/>
      <c r="M236" s="219"/>
      <c r="N236" s="219"/>
      <c r="O236" s="219"/>
      <c r="P236" s="219"/>
      <c r="Q236" s="219"/>
      <c r="R236" s="219"/>
      <c r="S236" s="219"/>
      <c r="T236" s="219"/>
      <c r="U236" s="219"/>
      <c r="V236" s="219"/>
      <c r="W236" s="219"/>
      <c r="X236" s="219"/>
      <c r="Y236" s="219"/>
      <c r="Z236" s="219"/>
    </row>
    <row r="237">
      <c r="A237" s="244"/>
      <c r="B237" s="219"/>
      <c r="C237" s="219"/>
      <c r="D237" s="219"/>
      <c r="E237" s="213"/>
      <c r="F237" s="213"/>
      <c r="G237" s="213"/>
      <c r="H237" s="213"/>
      <c r="I237" s="219"/>
      <c r="J237" s="219"/>
      <c r="K237" s="219"/>
      <c r="L237" s="219"/>
      <c r="M237" s="219"/>
      <c r="N237" s="219"/>
      <c r="O237" s="219"/>
      <c r="P237" s="219"/>
      <c r="Q237" s="219"/>
      <c r="R237" s="219"/>
      <c r="S237" s="219"/>
      <c r="T237" s="219"/>
      <c r="U237" s="219"/>
      <c r="V237" s="219"/>
      <c r="W237" s="219"/>
      <c r="X237" s="219"/>
      <c r="Y237" s="219"/>
      <c r="Z237" s="219"/>
    </row>
    <row r="238">
      <c r="A238" s="244"/>
      <c r="B238" s="219"/>
      <c r="C238" s="219"/>
      <c r="D238" s="219"/>
      <c r="E238" s="213"/>
      <c r="F238" s="213"/>
      <c r="G238" s="213"/>
      <c r="H238" s="213"/>
      <c r="I238" s="219"/>
      <c r="J238" s="219"/>
      <c r="K238" s="219"/>
      <c r="L238" s="219"/>
      <c r="M238" s="219"/>
      <c r="N238" s="219"/>
      <c r="O238" s="219"/>
      <c r="P238" s="219"/>
      <c r="Q238" s="219"/>
      <c r="R238" s="219"/>
      <c r="S238" s="219"/>
      <c r="T238" s="219"/>
      <c r="U238" s="219"/>
      <c r="V238" s="219"/>
      <c r="W238" s="219"/>
      <c r="X238" s="219"/>
      <c r="Y238" s="219"/>
      <c r="Z238" s="219"/>
    </row>
    <row r="239">
      <c r="A239" s="244"/>
      <c r="B239" s="219"/>
      <c r="C239" s="219"/>
      <c r="D239" s="219"/>
      <c r="E239" s="213"/>
      <c r="F239" s="213"/>
      <c r="G239" s="213"/>
      <c r="H239" s="213"/>
      <c r="I239" s="219"/>
      <c r="J239" s="219"/>
      <c r="K239" s="219"/>
      <c r="L239" s="219"/>
      <c r="M239" s="219"/>
      <c r="N239" s="219"/>
      <c r="O239" s="219"/>
      <c r="P239" s="219"/>
      <c r="Q239" s="219"/>
      <c r="R239" s="219"/>
      <c r="S239" s="219"/>
      <c r="T239" s="219"/>
      <c r="U239" s="219"/>
      <c r="V239" s="219"/>
      <c r="W239" s="219"/>
      <c r="X239" s="219"/>
      <c r="Y239" s="219"/>
      <c r="Z239" s="219"/>
    </row>
    <row r="240">
      <c r="A240" s="244"/>
      <c r="B240" s="219"/>
      <c r="C240" s="219"/>
      <c r="D240" s="219"/>
      <c r="E240" s="213"/>
      <c r="F240" s="213"/>
      <c r="G240" s="213"/>
      <c r="H240" s="213"/>
      <c r="I240" s="219"/>
      <c r="J240" s="219"/>
      <c r="K240" s="219"/>
      <c r="L240" s="219"/>
      <c r="M240" s="219"/>
      <c r="N240" s="219"/>
      <c r="O240" s="219"/>
      <c r="P240" s="219"/>
      <c r="Q240" s="219"/>
      <c r="R240" s="219"/>
      <c r="S240" s="219"/>
      <c r="T240" s="219"/>
      <c r="U240" s="219"/>
      <c r="V240" s="219"/>
      <c r="W240" s="219"/>
      <c r="X240" s="219"/>
      <c r="Y240" s="219"/>
      <c r="Z240" s="219"/>
    </row>
    <row r="241">
      <c r="A241" s="244"/>
      <c r="B241" s="219"/>
      <c r="C241" s="219"/>
      <c r="D241" s="219"/>
      <c r="E241" s="213"/>
      <c r="F241" s="213"/>
      <c r="G241" s="213"/>
      <c r="H241" s="213"/>
      <c r="I241" s="219"/>
      <c r="J241" s="219"/>
      <c r="K241" s="219"/>
      <c r="L241" s="219"/>
      <c r="M241" s="219"/>
      <c r="N241" s="219"/>
      <c r="O241" s="219"/>
      <c r="P241" s="219"/>
      <c r="Q241" s="219"/>
      <c r="R241" s="219"/>
      <c r="S241" s="219"/>
      <c r="T241" s="219"/>
      <c r="U241" s="219"/>
      <c r="V241" s="219"/>
      <c r="W241" s="219"/>
      <c r="X241" s="219"/>
      <c r="Y241" s="219"/>
      <c r="Z241" s="219"/>
    </row>
    <row r="242">
      <c r="A242" s="244"/>
      <c r="B242" s="219"/>
      <c r="C242" s="219"/>
      <c r="D242" s="219"/>
      <c r="E242" s="213"/>
      <c r="F242" s="213"/>
      <c r="G242" s="213"/>
      <c r="H242" s="213"/>
      <c r="I242" s="219"/>
      <c r="J242" s="219"/>
      <c r="K242" s="219"/>
      <c r="L242" s="219"/>
      <c r="M242" s="219"/>
      <c r="N242" s="219"/>
      <c r="O242" s="219"/>
      <c r="P242" s="219"/>
      <c r="Q242" s="219"/>
      <c r="R242" s="219"/>
      <c r="S242" s="219"/>
      <c r="T242" s="219"/>
      <c r="U242" s="219"/>
      <c r="V242" s="219"/>
      <c r="W242" s="219"/>
      <c r="X242" s="219"/>
      <c r="Y242" s="219"/>
      <c r="Z242" s="219"/>
    </row>
    <row r="243">
      <c r="A243" s="244"/>
      <c r="B243" s="219"/>
      <c r="C243" s="219"/>
      <c r="D243" s="219"/>
      <c r="E243" s="213"/>
      <c r="F243" s="213"/>
      <c r="G243" s="213"/>
      <c r="H243" s="213"/>
      <c r="I243" s="219"/>
      <c r="J243" s="219"/>
      <c r="K243" s="219"/>
      <c r="L243" s="219"/>
      <c r="M243" s="219"/>
      <c r="N243" s="219"/>
      <c r="O243" s="219"/>
      <c r="P243" s="219"/>
      <c r="Q243" s="219"/>
      <c r="R243" s="219"/>
      <c r="S243" s="219"/>
      <c r="T243" s="219"/>
      <c r="U243" s="219"/>
      <c r="V243" s="219"/>
      <c r="W243" s="219"/>
      <c r="X243" s="219"/>
      <c r="Y243" s="219"/>
      <c r="Z243" s="219"/>
    </row>
    <row r="244">
      <c r="A244" s="244"/>
      <c r="B244" s="219"/>
      <c r="C244" s="219"/>
      <c r="D244" s="219"/>
      <c r="E244" s="213"/>
      <c r="F244" s="213"/>
      <c r="G244" s="213"/>
      <c r="H244" s="213"/>
      <c r="I244" s="219"/>
      <c r="J244" s="219"/>
      <c r="K244" s="219"/>
      <c r="L244" s="219"/>
      <c r="M244" s="219"/>
      <c r="N244" s="219"/>
      <c r="O244" s="219"/>
      <c r="P244" s="219"/>
      <c r="Q244" s="219"/>
      <c r="R244" s="219"/>
      <c r="S244" s="219"/>
      <c r="T244" s="219"/>
      <c r="U244" s="219"/>
      <c r="V244" s="219"/>
      <c r="W244" s="219"/>
      <c r="X244" s="219"/>
      <c r="Y244" s="219"/>
      <c r="Z244" s="219"/>
    </row>
    <row r="245">
      <c r="A245" s="244"/>
      <c r="B245" s="219"/>
      <c r="C245" s="219"/>
      <c r="D245" s="219"/>
      <c r="E245" s="213"/>
      <c r="F245" s="213"/>
      <c r="G245" s="213"/>
      <c r="H245" s="213"/>
      <c r="I245" s="219"/>
      <c r="J245" s="219"/>
      <c r="K245" s="219"/>
      <c r="L245" s="219"/>
      <c r="M245" s="219"/>
      <c r="N245" s="219"/>
      <c r="O245" s="219"/>
      <c r="P245" s="219"/>
      <c r="Q245" s="219"/>
      <c r="R245" s="219"/>
      <c r="S245" s="219"/>
      <c r="T245" s="219"/>
      <c r="U245" s="219"/>
      <c r="V245" s="219"/>
      <c r="W245" s="219"/>
      <c r="X245" s="219"/>
      <c r="Y245" s="219"/>
      <c r="Z245" s="219"/>
    </row>
    <row r="246">
      <c r="A246" s="244"/>
      <c r="B246" s="219"/>
      <c r="C246" s="219"/>
      <c r="D246" s="219"/>
      <c r="E246" s="213"/>
      <c r="F246" s="213"/>
      <c r="G246" s="213"/>
      <c r="H246" s="213"/>
      <c r="I246" s="219"/>
      <c r="J246" s="219"/>
      <c r="K246" s="219"/>
      <c r="L246" s="219"/>
      <c r="M246" s="219"/>
      <c r="N246" s="219"/>
      <c r="O246" s="219"/>
      <c r="P246" s="219"/>
      <c r="Q246" s="219"/>
      <c r="R246" s="219"/>
      <c r="S246" s="219"/>
      <c r="T246" s="219"/>
      <c r="U246" s="219"/>
      <c r="V246" s="219"/>
      <c r="W246" s="219"/>
      <c r="X246" s="219"/>
      <c r="Y246" s="219"/>
      <c r="Z246" s="219"/>
    </row>
    <row r="247">
      <c r="A247" s="244"/>
      <c r="B247" s="219"/>
      <c r="C247" s="219"/>
      <c r="D247" s="219"/>
      <c r="E247" s="213"/>
      <c r="F247" s="213"/>
      <c r="G247" s="213"/>
      <c r="H247" s="213"/>
      <c r="I247" s="219"/>
      <c r="J247" s="219"/>
      <c r="K247" s="219"/>
      <c r="L247" s="219"/>
      <c r="M247" s="219"/>
      <c r="N247" s="219"/>
      <c r="O247" s="219"/>
      <c r="P247" s="219"/>
      <c r="Q247" s="219"/>
      <c r="R247" s="219"/>
      <c r="S247" s="219"/>
      <c r="T247" s="219"/>
      <c r="U247" s="219"/>
      <c r="V247" s="219"/>
      <c r="W247" s="219"/>
      <c r="X247" s="219"/>
      <c r="Y247" s="219"/>
      <c r="Z247" s="219"/>
    </row>
    <row r="248">
      <c r="A248" s="244"/>
      <c r="B248" s="219"/>
      <c r="C248" s="219"/>
      <c r="D248" s="219"/>
      <c r="E248" s="213"/>
      <c r="F248" s="213"/>
      <c r="G248" s="213"/>
      <c r="H248" s="213"/>
      <c r="I248" s="219"/>
      <c r="J248" s="219"/>
      <c r="K248" s="219"/>
      <c r="L248" s="219"/>
      <c r="M248" s="219"/>
      <c r="N248" s="219"/>
      <c r="O248" s="219"/>
      <c r="P248" s="219"/>
      <c r="Q248" s="219"/>
      <c r="R248" s="219"/>
      <c r="S248" s="219"/>
      <c r="T248" s="219"/>
      <c r="U248" s="219"/>
      <c r="V248" s="219"/>
      <c r="W248" s="219"/>
      <c r="X248" s="219"/>
      <c r="Y248" s="219"/>
      <c r="Z248" s="219"/>
    </row>
    <row r="249">
      <c r="A249" s="244"/>
      <c r="B249" s="219"/>
      <c r="C249" s="219"/>
      <c r="D249" s="219"/>
      <c r="E249" s="213"/>
      <c r="F249" s="213"/>
      <c r="G249" s="213"/>
      <c r="H249" s="213"/>
      <c r="I249" s="219"/>
      <c r="J249" s="219"/>
      <c r="K249" s="219"/>
      <c r="L249" s="219"/>
      <c r="M249" s="219"/>
      <c r="N249" s="219"/>
      <c r="O249" s="219"/>
      <c r="P249" s="219"/>
      <c r="Q249" s="219"/>
      <c r="R249" s="219"/>
      <c r="S249" s="219"/>
      <c r="T249" s="219"/>
      <c r="U249" s="219"/>
      <c r="V249" s="219"/>
      <c r="W249" s="219"/>
      <c r="X249" s="219"/>
      <c r="Y249" s="219"/>
      <c r="Z249" s="219"/>
    </row>
    <row r="250">
      <c r="A250" s="244"/>
      <c r="B250" s="219"/>
      <c r="C250" s="219"/>
      <c r="D250" s="219"/>
      <c r="E250" s="213"/>
      <c r="F250" s="213"/>
      <c r="G250" s="213"/>
      <c r="H250" s="213"/>
      <c r="I250" s="219"/>
      <c r="J250" s="219"/>
      <c r="K250" s="219"/>
      <c r="L250" s="219"/>
      <c r="M250" s="219"/>
      <c r="N250" s="219"/>
      <c r="O250" s="219"/>
      <c r="P250" s="219"/>
      <c r="Q250" s="219"/>
      <c r="R250" s="219"/>
      <c r="S250" s="219"/>
      <c r="T250" s="219"/>
      <c r="U250" s="219"/>
      <c r="V250" s="219"/>
      <c r="W250" s="219"/>
      <c r="X250" s="219"/>
      <c r="Y250" s="219"/>
      <c r="Z250" s="219"/>
    </row>
    <row r="251">
      <c r="A251" s="244"/>
      <c r="B251" s="219"/>
      <c r="C251" s="219"/>
      <c r="D251" s="219"/>
      <c r="E251" s="213"/>
      <c r="F251" s="213"/>
      <c r="G251" s="213"/>
      <c r="H251" s="213"/>
      <c r="I251" s="219"/>
      <c r="J251" s="219"/>
      <c r="K251" s="219"/>
      <c r="L251" s="219"/>
      <c r="M251" s="219"/>
      <c r="N251" s="219"/>
      <c r="O251" s="219"/>
      <c r="P251" s="219"/>
      <c r="Q251" s="219"/>
      <c r="R251" s="219"/>
      <c r="S251" s="219"/>
      <c r="T251" s="219"/>
      <c r="U251" s="219"/>
      <c r="V251" s="219"/>
      <c r="W251" s="219"/>
      <c r="X251" s="219"/>
      <c r="Y251" s="219"/>
      <c r="Z251" s="219"/>
    </row>
    <row r="252">
      <c r="A252" s="244"/>
      <c r="B252" s="219"/>
      <c r="C252" s="219"/>
      <c r="D252" s="219"/>
      <c r="E252" s="213"/>
      <c r="F252" s="213"/>
      <c r="G252" s="213"/>
      <c r="H252" s="213"/>
      <c r="I252" s="219"/>
      <c r="J252" s="219"/>
      <c r="K252" s="219"/>
      <c r="L252" s="219"/>
      <c r="M252" s="219"/>
      <c r="N252" s="219"/>
      <c r="O252" s="219"/>
      <c r="P252" s="219"/>
      <c r="Q252" s="219"/>
      <c r="R252" s="219"/>
      <c r="S252" s="219"/>
      <c r="T252" s="219"/>
      <c r="U252" s="219"/>
      <c r="V252" s="219"/>
      <c r="W252" s="219"/>
      <c r="X252" s="219"/>
      <c r="Y252" s="219"/>
      <c r="Z252" s="219"/>
    </row>
    <row r="253">
      <c r="A253" s="244"/>
      <c r="B253" s="219"/>
      <c r="C253" s="219"/>
      <c r="D253" s="219"/>
      <c r="E253" s="213"/>
      <c r="F253" s="213"/>
      <c r="G253" s="213"/>
      <c r="H253" s="213"/>
      <c r="I253" s="219"/>
      <c r="J253" s="219"/>
      <c r="K253" s="219"/>
      <c r="L253" s="219"/>
      <c r="M253" s="219"/>
      <c r="N253" s="219"/>
      <c r="O253" s="219"/>
      <c r="P253" s="219"/>
      <c r="Q253" s="219"/>
      <c r="R253" s="219"/>
      <c r="S253" s="219"/>
      <c r="T253" s="219"/>
      <c r="U253" s="219"/>
      <c r="V253" s="219"/>
      <c r="W253" s="219"/>
      <c r="X253" s="219"/>
      <c r="Y253" s="219"/>
      <c r="Z253" s="219"/>
    </row>
    <row r="254">
      <c r="A254" s="244"/>
      <c r="B254" s="219"/>
      <c r="C254" s="219"/>
      <c r="D254" s="219"/>
      <c r="E254" s="213"/>
      <c r="F254" s="213"/>
      <c r="G254" s="213"/>
      <c r="H254" s="213"/>
      <c r="I254" s="219"/>
      <c r="J254" s="219"/>
      <c r="K254" s="219"/>
      <c r="L254" s="219"/>
      <c r="M254" s="219"/>
      <c r="N254" s="219"/>
      <c r="O254" s="219"/>
      <c r="P254" s="219"/>
      <c r="Q254" s="219"/>
      <c r="R254" s="219"/>
      <c r="S254" s="219"/>
      <c r="T254" s="219"/>
      <c r="U254" s="219"/>
      <c r="V254" s="219"/>
      <c r="W254" s="219"/>
      <c r="X254" s="219"/>
      <c r="Y254" s="219"/>
      <c r="Z254" s="219"/>
    </row>
    <row r="255">
      <c r="A255" s="244"/>
      <c r="B255" s="219"/>
      <c r="C255" s="219"/>
      <c r="D255" s="219"/>
      <c r="E255" s="213"/>
      <c r="F255" s="213"/>
      <c r="G255" s="213"/>
      <c r="H255" s="213"/>
      <c r="I255" s="219"/>
      <c r="J255" s="219"/>
      <c r="K255" s="219"/>
      <c r="L255" s="219"/>
      <c r="M255" s="219"/>
      <c r="N255" s="219"/>
      <c r="O255" s="219"/>
      <c r="P255" s="219"/>
      <c r="Q255" s="219"/>
      <c r="R255" s="219"/>
      <c r="S255" s="219"/>
      <c r="T255" s="219"/>
      <c r="U255" s="219"/>
      <c r="V255" s="219"/>
      <c r="W255" s="219"/>
      <c r="X255" s="219"/>
      <c r="Y255" s="219"/>
      <c r="Z255" s="219"/>
    </row>
    <row r="256">
      <c r="A256" s="244"/>
      <c r="B256" s="219"/>
      <c r="C256" s="219"/>
      <c r="D256" s="219"/>
      <c r="E256" s="213"/>
      <c r="F256" s="213"/>
      <c r="G256" s="213"/>
      <c r="H256" s="213"/>
      <c r="I256" s="219"/>
      <c r="J256" s="219"/>
      <c r="K256" s="219"/>
      <c r="L256" s="219"/>
      <c r="M256" s="219"/>
      <c r="N256" s="219"/>
      <c r="O256" s="219"/>
      <c r="P256" s="219"/>
      <c r="Q256" s="219"/>
      <c r="R256" s="219"/>
      <c r="S256" s="219"/>
      <c r="T256" s="219"/>
      <c r="U256" s="219"/>
      <c r="V256" s="219"/>
      <c r="W256" s="219"/>
      <c r="X256" s="219"/>
      <c r="Y256" s="219"/>
      <c r="Z256" s="219"/>
    </row>
    <row r="257">
      <c r="A257" s="244"/>
      <c r="B257" s="219"/>
      <c r="C257" s="219"/>
      <c r="D257" s="219"/>
      <c r="E257" s="213"/>
      <c r="F257" s="213"/>
      <c r="G257" s="213"/>
      <c r="H257" s="213"/>
      <c r="I257" s="219"/>
      <c r="J257" s="219"/>
      <c r="K257" s="219"/>
      <c r="L257" s="219"/>
      <c r="M257" s="219"/>
      <c r="N257" s="219"/>
      <c r="O257" s="219"/>
      <c r="P257" s="219"/>
      <c r="Q257" s="219"/>
      <c r="R257" s="219"/>
      <c r="S257" s="219"/>
      <c r="T257" s="219"/>
      <c r="U257" s="219"/>
      <c r="V257" s="219"/>
      <c r="W257" s="219"/>
      <c r="X257" s="219"/>
      <c r="Y257" s="219"/>
      <c r="Z257" s="219"/>
    </row>
    <row r="258">
      <c r="A258" s="244"/>
      <c r="B258" s="219"/>
      <c r="C258" s="219"/>
      <c r="D258" s="219"/>
      <c r="E258" s="213"/>
      <c r="F258" s="213"/>
      <c r="G258" s="213"/>
      <c r="H258" s="213"/>
      <c r="I258" s="219"/>
      <c r="J258" s="219"/>
      <c r="K258" s="219"/>
      <c r="L258" s="219"/>
      <c r="M258" s="219"/>
      <c r="N258" s="219"/>
      <c r="O258" s="219"/>
      <c r="P258" s="219"/>
      <c r="Q258" s="219"/>
      <c r="R258" s="219"/>
      <c r="S258" s="219"/>
      <c r="T258" s="219"/>
      <c r="U258" s="219"/>
      <c r="V258" s="219"/>
      <c r="W258" s="219"/>
      <c r="X258" s="219"/>
      <c r="Y258" s="219"/>
      <c r="Z258" s="219"/>
    </row>
    <row r="259">
      <c r="A259" s="244"/>
      <c r="B259" s="219"/>
      <c r="C259" s="219"/>
      <c r="D259" s="219"/>
      <c r="E259" s="213"/>
      <c r="F259" s="213"/>
      <c r="G259" s="213"/>
      <c r="H259" s="213"/>
      <c r="I259" s="219"/>
      <c r="J259" s="219"/>
      <c r="K259" s="219"/>
      <c r="L259" s="219"/>
      <c r="M259" s="219"/>
      <c r="N259" s="219"/>
      <c r="O259" s="219"/>
      <c r="P259" s="219"/>
      <c r="Q259" s="219"/>
      <c r="R259" s="219"/>
      <c r="S259" s="219"/>
      <c r="T259" s="219"/>
      <c r="U259" s="219"/>
      <c r="V259" s="219"/>
      <c r="W259" s="219"/>
      <c r="X259" s="219"/>
      <c r="Y259" s="219"/>
      <c r="Z259" s="219"/>
    </row>
    <row r="260">
      <c r="A260" s="244"/>
      <c r="B260" s="219"/>
      <c r="C260" s="219"/>
      <c r="D260" s="219"/>
      <c r="E260" s="213"/>
      <c r="F260" s="213"/>
      <c r="G260" s="213"/>
      <c r="H260" s="213"/>
      <c r="I260" s="219"/>
      <c r="J260" s="219"/>
      <c r="K260" s="219"/>
      <c r="L260" s="219"/>
      <c r="M260" s="219"/>
      <c r="N260" s="219"/>
      <c r="O260" s="219"/>
      <c r="P260" s="219"/>
      <c r="Q260" s="219"/>
      <c r="R260" s="219"/>
      <c r="S260" s="219"/>
      <c r="T260" s="219"/>
      <c r="U260" s="219"/>
      <c r="V260" s="219"/>
      <c r="W260" s="219"/>
      <c r="X260" s="219"/>
      <c r="Y260" s="219"/>
      <c r="Z260" s="219"/>
    </row>
    <row r="261">
      <c r="A261" s="244"/>
      <c r="B261" s="219"/>
      <c r="C261" s="219"/>
      <c r="D261" s="219"/>
      <c r="E261" s="213"/>
      <c r="F261" s="213"/>
      <c r="G261" s="213"/>
      <c r="H261" s="213"/>
      <c r="I261" s="219"/>
      <c r="J261" s="219"/>
      <c r="K261" s="219"/>
      <c r="L261" s="219"/>
      <c r="M261" s="219"/>
      <c r="N261" s="219"/>
      <c r="O261" s="219"/>
      <c r="P261" s="219"/>
      <c r="Q261" s="219"/>
      <c r="R261" s="219"/>
      <c r="S261" s="219"/>
      <c r="T261" s="219"/>
      <c r="U261" s="219"/>
      <c r="V261" s="219"/>
      <c r="W261" s="219"/>
      <c r="X261" s="219"/>
      <c r="Y261" s="219"/>
      <c r="Z261" s="219"/>
    </row>
    <row r="262">
      <c r="A262" s="244"/>
      <c r="B262" s="219"/>
      <c r="C262" s="219"/>
      <c r="D262" s="219"/>
      <c r="E262" s="213"/>
      <c r="F262" s="213"/>
      <c r="G262" s="213"/>
      <c r="H262" s="213"/>
      <c r="I262" s="219"/>
      <c r="J262" s="219"/>
      <c r="K262" s="219"/>
      <c r="L262" s="219"/>
      <c r="M262" s="219"/>
      <c r="N262" s="219"/>
      <c r="O262" s="219"/>
      <c r="P262" s="219"/>
      <c r="Q262" s="219"/>
      <c r="R262" s="219"/>
      <c r="S262" s="219"/>
      <c r="T262" s="219"/>
      <c r="U262" s="219"/>
      <c r="V262" s="219"/>
      <c r="W262" s="219"/>
      <c r="X262" s="219"/>
      <c r="Y262" s="219"/>
      <c r="Z262" s="219"/>
    </row>
    <row r="263">
      <c r="A263" s="244"/>
      <c r="B263" s="219"/>
      <c r="C263" s="219"/>
      <c r="D263" s="219"/>
      <c r="E263" s="213"/>
      <c r="F263" s="213"/>
      <c r="G263" s="213"/>
      <c r="H263" s="213"/>
      <c r="I263" s="219"/>
      <c r="J263" s="219"/>
      <c r="K263" s="219"/>
      <c r="L263" s="219"/>
      <c r="M263" s="219"/>
      <c r="N263" s="219"/>
      <c r="O263" s="219"/>
      <c r="P263" s="219"/>
      <c r="Q263" s="219"/>
      <c r="R263" s="219"/>
      <c r="S263" s="219"/>
      <c r="T263" s="219"/>
      <c r="U263" s="219"/>
      <c r="V263" s="219"/>
      <c r="W263" s="219"/>
      <c r="X263" s="219"/>
      <c r="Y263" s="219"/>
      <c r="Z263" s="219"/>
    </row>
    <row r="264">
      <c r="A264" s="244"/>
      <c r="B264" s="219"/>
      <c r="C264" s="219"/>
      <c r="D264" s="219"/>
      <c r="E264" s="213"/>
      <c r="F264" s="213"/>
      <c r="G264" s="213"/>
      <c r="H264" s="213"/>
      <c r="I264" s="219"/>
      <c r="J264" s="219"/>
      <c r="K264" s="219"/>
      <c r="L264" s="219"/>
      <c r="M264" s="219"/>
      <c r="N264" s="219"/>
      <c r="O264" s="219"/>
      <c r="P264" s="219"/>
      <c r="Q264" s="219"/>
      <c r="R264" s="219"/>
      <c r="S264" s="219"/>
      <c r="T264" s="219"/>
      <c r="U264" s="219"/>
      <c r="V264" s="219"/>
      <c r="W264" s="219"/>
      <c r="X264" s="219"/>
      <c r="Y264" s="219"/>
      <c r="Z264" s="219"/>
    </row>
    <row r="265">
      <c r="A265" s="244"/>
      <c r="B265" s="219"/>
      <c r="C265" s="219"/>
      <c r="D265" s="219"/>
      <c r="E265" s="213"/>
      <c r="F265" s="213"/>
      <c r="G265" s="213"/>
      <c r="H265" s="213"/>
      <c r="I265" s="219"/>
      <c r="J265" s="219"/>
      <c r="K265" s="219"/>
      <c r="L265" s="219"/>
      <c r="M265" s="219"/>
      <c r="N265" s="219"/>
      <c r="O265" s="219"/>
      <c r="P265" s="219"/>
      <c r="Q265" s="219"/>
      <c r="R265" s="219"/>
      <c r="S265" s="219"/>
      <c r="T265" s="219"/>
      <c r="U265" s="219"/>
      <c r="V265" s="219"/>
      <c r="W265" s="219"/>
      <c r="X265" s="219"/>
      <c r="Y265" s="219"/>
      <c r="Z265" s="219"/>
    </row>
    <row r="266">
      <c r="A266" s="244"/>
      <c r="B266" s="219"/>
      <c r="C266" s="219"/>
      <c r="D266" s="219"/>
      <c r="E266" s="213"/>
      <c r="F266" s="213"/>
      <c r="G266" s="213"/>
      <c r="H266" s="213"/>
      <c r="I266" s="219"/>
      <c r="J266" s="219"/>
      <c r="K266" s="219"/>
      <c r="L266" s="219"/>
      <c r="M266" s="219"/>
      <c r="N266" s="219"/>
      <c r="O266" s="219"/>
      <c r="P266" s="219"/>
      <c r="Q266" s="219"/>
      <c r="R266" s="219"/>
      <c r="S266" s="219"/>
      <c r="T266" s="219"/>
      <c r="U266" s="219"/>
      <c r="V266" s="219"/>
      <c r="W266" s="219"/>
      <c r="X266" s="219"/>
      <c r="Y266" s="219"/>
      <c r="Z266" s="219"/>
    </row>
    <row r="267">
      <c r="A267" s="244"/>
      <c r="B267" s="219"/>
      <c r="C267" s="219"/>
      <c r="D267" s="219"/>
      <c r="E267" s="213"/>
      <c r="F267" s="213"/>
      <c r="G267" s="213"/>
      <c r="H267" s="213"/>
      <c r="I267" s="219"/>
      <c r="J267" s="219"/>
      <c r="K267" s="219"/>
      <c r="L267" s="219"/>
      <c r="M267" s="219"/>
      <c r="N267" s="219"/>
      <c r="O267" s="219"/>
      <c r="P267" s="219"/>
      <c r="Q267" s="219"/>
      <c r="R267" s="219"/>
      <c r="S267" s="219"/>
      <c r="T267" s="219"/>
      <c r="U267" s="219"/>
      <c r="V267" s="219"/>
      <c r="W267" s="219"/>
      <c r="X267" s="219"/>
      <c r="Y267" s="219"/>
      <c r="Z267" s="219"/>
    </row>
    <row r="268">
      <c r="A268" s="244"/>
      <c r="B268" s="219"/>
      <c r="C268" s="219"/>
      <c r="D268" s="219"/>
      <c r="E268" s="213"/>
      <c r="F268" s="213"/>
      <c r="G268" s="213"/>
      <c r="H268" s="213"/>
      <c r="I268" s="219"/>
      <c r="J268" s="219"/>
      <c r="K268" s="219"/>
      <c r="L268" s="219"/>
      <c r="M268" s="219"/>
      <c r="N268" s="219"/>
      <c r="O268" s="219"/>
      <c r="P268" s="219"/>
      <c r="Q268" s="219"/>
      <c r="R268" s="219"/>
      <c r="S268" s="219"/>
      <c r="T268" s="219"/>
      <c r="U268" s="219"/>
      <c r="V268" s="219"/>
      <c r="W268" s="219"/>
      <c r="X268" s="219"/>
      <c r="Y268" s="219"/>
      <c r="Z268" s="219"/>
    </row>
    <row r="269">
      <c r="A269" s="244"/>
      <c r="B269" s="219"/>
      <c r="C269" s="219"/>
      <c r="D269" s="219"/>
      <c r="E269" s="213"/>
      <c r="F269" s="213"/>
      <c r="G269" s="213"/>
      <c r="H269" s="213"/>
      <c r="I269" s="219"/>
      <c r="J269" s="219"/>
      <c r="K269" s="219"/>
      <c r="L269" s="219"/>
      <c r="M269" s="219"/>
      <c r="N269" s="219"/>
      <c r="O269" s="219"/>
      <c r="P269" s="219"/>
      <c r="Q269" s="219"/>
      <c r="R269" s="219"/>
      <c r="S269" s="219"/>
      <c r="T269" s="219"/>
      <c r="U269" s="219"/>
      <c r="V269" s="219"/>
      <c r="W269" s="219"/>
      <c r="X269" s="219"/>
      <c r="Y269" s="219"/>
      <c r="Z269" s="219"/>
    </row>
    <row r="270">
      <c r="A270" s="244"/>
      <c r="B270" s="219"/>
      <c r="C270" s="219"/>
      <c r="D270" s="219"/>
      <c r="E270" s="213"/>
      <c r="F270" s="213"/>
      <c r="G270" s="213"/>
      <c r="H270" s="213"/>
      <c r="I270" s="219"/>
      <c r="J270" s="219"/>
      <c r="K270" s="219"/>
      <c r="L270" s="219"/>
      <c r="M270" s="219"/>
      <c r="N270" s="219"/>
      <c r="O270" s="219"/>
      <c r="P270" s="219"/>
      <c r="Q270" s="219"/>
      <c r="R270" s="219"/>
      <c r="S270" s="219"/>
      <c r="T270" s="219"/>
      <c r="U270" s="219"/>
      <c r="V270" s="219"/>
      <c r="W270" s="219"/>
      <c r="X270" s="219"/>
      <c r="Y270" s="219"/>
      <c r="Z270" s="219"/>
    </row>
    <row r="271">
      <c r="A271" s="244"/>
      <c r="B271" s="219"/>
      <c r="C271" s="219"/>
      <c r="D271" s="219"/>
      <c r="E271" s="213"/>
      <c r="F271" s="213"/>
      <c r="G271" s="213"/>
      <c r="H271" s="213"/>
      <c r="I271" s="219"/>
      <c r="J271" s="219"/>
      <c r="K271" s="219"/>
      <c r="L271" s="219"/>
      <c r="M271" s="219"/>
      <c r="N271" s="219"/>
      <c r="O271" s="219"/>
      <c r="P271" s="219"/>
      <c r="Q271" s="219"/>
      <c r="R271" s="219"/>
      <c r="S271" s="219"/>
      <c r="T271" s="219"/>
      <c r="U271" s="219"/>
      <c r="V271" s="219"/>
      <c r="W271" s="219"/>
      <c r="X271" s="219"/>
      <c r="Y271" s="219"/>
      <c r="Z271" s="219"/>
    </row>
    <row r="272">
      <c r="A272" s="244"/>
      <c r="B272" s="219"/>
      <c r="C272" s="219"/>
      <c r="D272" s="219"/>
      <c r="E272" s="213"/>
      <c r="F272" s="213"/>
      <c r="G272" s="213"/>
      <c r="H272" s="213"/>
      <c r="I272" s="219"/>
      <c r="J272" s="219"/>
      <c r="K272" s="219"/>
      <c r="L272" s="219"/>
      <c r="M272" s="219"/>
      <c r="N272" s="219"/>
      <c r="O272" s="219"/>
      <c r="P272" s="219"/>
      <c r="Q272" s="219"/>
      <c r="R272" s="219"/>
      <c r="S272" s="219"/>
      <c r="T272" s="219"/>
      <c r="U272" s="219"/>
      <c r="V272" s="219"/>
      <c r="W272" s="219"/>
      <c r="X272" s="219"/>
      <c r="Y272" s="219"/>
      <c r="Z272" s="219"/>
    </row>
    <row r="273">
      <c r="A273" s="244"/>
      <c r="B273" s="219"/>
      <c r="C273" s="219"/>
      <c r="D273" s="219"/>
      <c r="E273" s="213"/>
      <c r="F273" s="213"/>
      <c r="G273" s="213"/>
      <c r="H273" s="213"/>
      <c r="I273" s="219"/>
      <c r="J273" s="219"/>
      <c r="K273" s="219"/>
      <c r="L273" s="219"/>
      <c r="M273" s="219"/>
      <c r="N273" s="219"/>
      <c r="O273" s="219"/>
      <c r="P273" s="219"/>
      <c r="Q273" s="219"/>
      <c r="R273" s="219"/>
      <c r="S273" s="219"/>
      <c r="T273" s="219"/>
      <c r="U273" s="219"/>
      <c r="V273" s="219"/>
      <c r="W273" s="219"/>
      <c r="X273" s="219"/>
      <c r="Y273" s="219"/>
      <c r="Z273" s="219"/>
    </row>
    <row r="274">
      <c r="A274" s="244"/>
      <c r="B274" s="219"/>
      <c r="C274" s="219"/>
      <c r="D274" s="219"/>
      <c r="E274" s="213"/>
      <c r="F274" s="213"/>
      <c r="G274" s="213"/>
      <c r="H274" s="213"/>
      <c r="I274" s="219"/>
      <c r="J274" s="219"/>
      <c r="K274" s="219"/>
      <c r="L274" s="219"/>
      <c r="M274" s="219"/>
      <c r="N274" s="219"/>
      <c r="O274" s="219"/>
      <c r="P274" s="219"/>
      <c r="Q274" s="219"/>
      <c r="R274" s="219"/>
      <c r="S274" s="219"/>
      <c r="T274" s="219"/>
      <c r="U274" s="219"/>
      <c r="V274" s="219"/>
      <c r="W274" s="219"/>
      <c r="X274" s="219"/>
      <c r="Y274" s="219"/>
      <c r="Z274" s="219"/>
    </row>
    <row r="275">
      <c r="A275" s="244"/>
      <c r="B275" s="219"/>
      <c r="C275" s="219"/>
      <c r="D275" s="219"/>
      <c r="E275" s="213"/>
      <c r="F275" s="213"/>
      <c r="G275" s="213"/>
      <c r="H275" s="213"/>
      <c r="I275" s="219"/>
      <c r="J275" s="219"/>
      <c r="K275" s="219"/>
      <c r="L275" s="219"/>
      <c r="M275" s="219"/>
      <c r="N275" s="219"/>
      <c r="O275" s="219"/>
      <c r="P275" s="219"/>
      <c r="Q275" s="219"/>
      <c r="R275" s="219"/>
      <c r="S275" s="219"/>
      <c r="T275" s="219"/>
      <c r="U275" s="219"/>
      <c r="V275" s="219"/>
      <c r="W275" s="219"/>
      <c r="X275" s="219"/>
      <c r="Y275" s="219"/>
      <c r="Z275" s="219"/>
    </row>
    <row r="276">
      <c r="A276" s="244"/>
      <c r="B276" s="219"/>
      <c r="C276" s="219"/>
      <c r="D276" s="219"/>
      <c r="E276" s="213"/>
      <c r="F276" s="213"/>
      <c r="G276" s="213"/>
      <c r="H276" s="213"/>
      <c r="I276" s="219"/>
      <c r="J276" s="219"/>
      <c r="K276" s="219"/>
      <c r="L276" s="219"/>
      <c r="M276" s="219"/>
      <c r="N276" s="219"/>
      <c r="O276" s="219"/>
      <c r="P276" s="219"/>
      <c r="Q276" s="219"/>
      <c r="R276" s="219"/>
      <c r="S276" s="219"/>
      <c r="T276" s="219"/>
      <c r="U276" s="219"/>
      <c r="V276" s="219"/>
      <c r="W276" s="219"/>
      <c r="X276" s="219"/>
      <c r="Y276" s="219"/>
      <c r="Z276" s="219"/>
    </row>
    <row r="277">
      <c r="A277" s="244"/>
      <c r="B277" s="219"/>
      <c r="C277" s="219"/>
      <c r="D277" s="219"/>
      <c r="E277" s="213"/>
      <c r="F277" s="213"/>
      <c r="G277" s="213"/>
      <c r="H277" s="213"/>
      <c r="I277" s="219"/>
      <c r="J277" s="219"/>
      <c r="K277" s="219"/>
      <c r="L277" s="219"/>
      <c r="M277" s="219"/>
      <c r="N277" s="219"/>
      <c r="O277" s="219"/>
      <c r="P277" s="219"/>
      <c r="Q277" s="219"/>
      <c r="R277" s="219"/>
      <c r="S277" s="219"/>
      <c r="T277" s="219"/>
      <c r="U277" s="219"/>
      <c r="V277" s="219"/>
      <c r="W277" s="219"/>
      <c r="X277" s="219"/>
      <c r="Y277" s="219"/>
      <c r="Z277" s="219"/>
    </row>
    <row r="278">
      <c r="A278" s="244"/>
      <c r="B278" s="219"/>
      <c r="C278" s="219"/>
      <c r="D278" s="219"/>
      <c r="E278" s="213"/>
      <c r="F278" s="213"/>
      <c r="G278" s="213"/>
      <c r="H278" s="213"/>
      <c r="I278" s="219"/>
      <c r="J278" s="219"/>
      <c r="K278" s="219"/>
      <c r="L278" s="219"/>
      <c r="M278" s="219"/>
      <c r="N278" s="219"/>
      <c r="O278" s="219"/>
      <c r="P278" s="219"/>
      <c r="Q278" s="219"/>
      <c r="R278" s="219"/>
      <c r="S278" s="219"/>
      <c r="T278" s="219"/>
      <c r="U278" s="219"/>
      <c r="V278" s="219"/>
      <c r="W278" s="219"/>
      <c r="X278" s="219"/>
      <c r="Y278" s="219"/>
      <c r="Z278" s="219"/>
    </row>
    <row r="279">
      <c r="A279" s="244"/>
      <c r="B279" s="219"/>
      <c r="C279" s="219"/>
      <c r="D279" s="219"/>
      <c r="E279" s="213"/>
      <c r="F279" s="213"/>
      <c r="G279" s="213"/>
      <c r="H279" s="213"/>
      <c r="I279" s="219"/>
      <c r="J279" s="219"/>
      <c r="K279" s="219"/>
      <c r="L279" s="219"/>
      <c r="M279" s="219"/>
      <c r="N279" s="219"/>
      <c r="O279" s="219"/>
      <c r="P279" s="219"/>
      <c r="Q279" s="219"/>
      <c r="R279" s="219"/>
      <c r="S279" s="219"/>
      <c r="T279" s="219"/>
      <c r="U279" s="219"/>
      <c r="V279" s="219"/>
      <c r="W279" s="219"/>
      <c r="X279" s="219"/>
      <c r="Y279" s="219"/>
      <c r="Z279" s="219"/>
    </row>
    <row r="280">
      <c r="A280" s="244"/>
      <c r="B280" s="219"/>
      <c r="C280" s="219"/>
      <c r="D280" s="219"/>
      <c r="E280" s="213"/>
      <c r="F280" s="213"/>
      <c r="G280" s="213"/>
      <c r="H280" s="213"/>
      <c r="I280" s="219"/>
      <c r="J280" s="219"/>
      <c r="K280" s="219"/>
      <c r="L280" s="219"/>
      <c r="M280" s="219"/>
      <c r="N280" s="219"/>
      <c r="O280" s="219"/>
      <c r="P280" s="219"/>
      <c r="Q280" s="219"/>
      <c r="R280" s="219"/>
      <c r="S280" s="219"/>
      <c r="T280" s="219"/>
      <c r="U280" s="219"/>
      <c r="V280" s="219"/>
      <c r="W280" s="219"/>
      <c r="X280" s="219"/>
      <c r="Y280" s="219"/>
      <c r="Z280" s="219"/>
    </row>
    <row r="281">
      <c r="A281" s="244"/>
      <c r="B281" s="219"/>
      <c r="C281" s="219"/>
      <c r="D281" s="219"/>
      <c r="E281" s="213"/>
      <c r="F281" s="213"/>
      <c r="G281" s="213"/>
      <c r="H281" s="213"/>
      <c r="I281" s="219"/>
      <c r="J281" s="219"/>
      <c r="K281" s="219"/>
      <c r="L281" s="219"/>
      <c r="M281" s="219"/>
      <c r="N281" s="219"/>
      <c r="O281" s="219"/>
      <c r="P281" s="219"/>
      <c r="Q281" s="219"/>
      <c r="R281" s="219"/>
      <c r="S281" s="219"/>
      <c r="T281" s="219"/>
      <c r="U281" s="219"/>
      <c r="V281" s="219"/>
      <c r="W281" s="219"/>
      <c r="X281" s="219"/>
      <c r="Y281" s="219"/>
      <c r="Z281" s="219"/>
    </row>
    <row r="282">
      <c r="A282" s="244"/>
      <c r="B282" s="219"/>
      <c r="C282" s="219"/>
      <c r="D282" s="219"/>
      <c r="E282" s="213"/>
      <c r="F282" s="213"/>
      <c r="G282" s="213"/>
      <c r="H282" s="213"/>
      <c r="I282" s="219"/>
      <c r="J282" s="219"/>
      <c r="K282" s="219"/>
      <c r="L282" s="219"/>
      <c r="M282" s="219"/>
      <c r="N282" s="219"/>
      <c r="O282" s="219"/>
      <c r="P282" s="219"/>
      <c r="Q282" s="219"/>
      <c r="R282" s="219"/>
      <c r="S282" s="219"/>
      <c r="T282" s="219"/>
      <c r="U282" s="219"/>
      <c r="V282" s="219"/>
      <c r="W282" s="219"/>
      <c r="X282" s="219"/>
      <c r="Y282" s="219"/>
      <c r="Z282" s="219"/>
    </row>
    <row r="283">
      <c r="A283" s="244"/>
      <c r="B283" s="219"/>
      <c r="C283" s="219"/>
      <c r="D283" s="219"/>
      <c r="E283" s="213"/>
      <c r="F283" s="213"/>
      <c r="G283" s="213"/>
      <c r="H283" s="213"/>
      <c r="I283" s="219"/>
      <c r="J283" s="219"/>
      <c r="K283" s="219"/>
      <c r="L283" s="219"/>
      <c r="M283" s="219"/>
      <c r="N283" s="219"/>
      <c r="O283" s="219"/>
      <c r="P283" s="219"/>
      <c r="Q283" s="219"/>
      <c r="R283" s="219"/>
      <c r="S283" s="219"/>
      <c r="T283" s="219"/>
      <c r="U283" s="219"/>
      <c r="V283" s="219"/>
      <c r="W283" s="219"/>
      <c r="X283" s="219"/>
      <c r="Y283" s="219"/>
      <c r="Z283" s="219"/>
    </row>
    <row r="284">
      <c r="A284" s="244"/>
      <c r="B284" s="219"/>
      <c r="C284" s="219"/>
      <c r="D284" s="219"/>
      <c r="E284" s="213"/>
      <c r="F284" s="213"/>
      <c r="G284" s="213"/>
      <c r="H284" s="213"/>
      <c r="I284" s="219"/>
      <c r="J284" s="219"/>
      <c r="K284" s="219"/>
      <c r="L284" s="219"/>
      <c r="M284" s="219"/>
      <c r="N284" s="219"/>
      <c r="O284" s="219"/>
      <c r="P284" s="219"/>
      <c r="Q284" s="219"/>
      <c r="R284" s="219"/>
      <c r="S284" s="219"/>
      <c r="T284" s="219"/>
      <c r="U284" s="219"/>
      <c r="V284" s="219"/>
      <c r="W284" s="219"/>
      <c r="X284" s="219"/>
      <c r="Y284" s="219"/>
      <c r="Z284" s="219"/>
    </row>
    <row r="285">
      <c r="A285" s="244"/>
      <c r="B285" s="219"/>
      <c r="C285" s="219"/>
      <c r="D285" s="219"/>
      <c r="E285" s="213"/>
      <c r="F285" s="213"/>
      <c r="G285" s="213"/>
      <c r="H285" s="213"/>
      <c r="I285" s="219"/>
      <c r="J285" s="219"/>
      <c r="K285" s="219"/>
      <c r="L285" s="219"/>
      <c r="M285" s="219"/>
      <c r="N285" s="219"/>
      <c r="O285" s="219"/>
      <c r="P285" s="219"/>
      <c r="Q285" s="219"/>
      <c r="R285" s="219"/>
      <c r="S285" s="219"/>
      <c r="T285" s="219"/>
      <c r="U285" s="219"/>
      <c r="V285" s="219"/>
      <c r="W285" s="219"/>
      <c r="X285" s="219"/>
      <c r="Y285" s="219"/>
      <c r="Z285" s="219"/>
    </row>
    <row r="286">
      <c r="A286" s="244"/>
      <c r="B286" s="219"/>
      <c r="C286" s="219"/>
      <c r="D286" s="219"/>
      <c r="E286" s="213"/>
      <c r="F286" s="213"/>
      <c r="G286" s="213"/>
      <c r="H286" s="213"/>
      <c r="I286" s="219"/>
      <c r="J286" s="219"/>
      <c r="K286" s="219"/>
      <c r="L286" s="219"/>
      <c r="M286" s="219"/>
      <c r="N286" s="219"/>
      <c r="O286" s="219"/>
      <c r="P286" s="219"/>
      <c r="Q286" s="219"/>
      <c r="R286" s="219"/>
      <c r="S286" s="219"/>
      <c r="T286" s="219"/>
      <c r="U286" s="219"/>
      <c r="V286" s="219"/>
      <c r="W286" s="219"/>
      <c r="X286" s="219"/>
      <c r="Y286" s="219"/>
      <c r="Z286" s="219"/>
    </row>
    <row r="287">
      <c r="A287" s="244"/>
      <c r="B287" s="219"/>
      <c r="C287" s="219"/>
      <c r="D287" s="219"/>
      <c r="E287" s="213"/>
      <c r="F287" s="213"/>
      <c r="G287" s="213"/>
      <c r="H287" s="213"/>
      <c r="I287" s="219"/>
      <c r="J287" s="219"/>
      <c r="K287" s="219"/>
      <c r="L287" s="219"/>
      <c r="M287" s="219"/>
      <c r="N287" s="219"/>
      <c r="O287" s="219"/>
      <c r="P287" s="219"/>
      <c r="Q287" s="219"/>
      <c r="R287" s="219"/>
      <c r="S287" s="219"/>
      <c r="T287" s="219"/>
      <c r="U287" s="219"/>
      <c r="V287" s="219"/>
      <c r="W287" s="219"/>
      <c r="X287" s="219"/>
      <c r="Y287" s="219"/>
      <c r="Z287" s="219"/>
    </row>
    <row r="288">
      <c r="A288" s="244"/>
      <c r="B288" s="219"/>
      <c r="C288" s="219"/>
      <c r="D288" s="219"/>
      <c r="E288" s="213"/>
      <c r="F288" s="213"/>
      <c r="G288" s="213"/>
      <c r="H288" s="213"/>
      <c r="I288" s="219"/>
      <c r="J288" s="219"/>
      <c r="K288" s="219"/>
      <c r="L288" s="219"/>
      <c r="M288" s="219"/>
      <c r="N288" s="219"/>
      <c r="O288" s="219"/>
      <c r="P288" s="219"/>
      <c r="Q288" s="219"/>
      <c r="R288" s="219"/>
      <c r="S288" s="219"/>
      <c r="T288" s="219"/>
      <c r="U288" s="219"/>
      <c r="V288" s="219"/>
      <c r="W288" s="219"/>
      <c r="X288" s="219"/>
      <c r="Y288" s="219"/>
      <c r="Z288" s="219"/>
    </row>
    <row r="289">
      <c r="A289" s="244"/>
      <c r="B289" s="219"/>
      <c r="C289" s="219"/>
      <c r="D289" s="219"/>
      <c r="E289" s="213"/>
      <c r="F289" s="213"/>
      <c r="G289" s="213"/>
      <c r="H289" s="213"/>
      <c r="I289" s="219"/>
      <c r="J289" s="219"/>
      <c r="K289" s="219"/>
      <c r="L289" s="219"/>
      <c r="M289" s="219"/>
      <c r="N289" s="219"/>
      <c r="O289" s="219"/>
      <c r="P289" s="219"/>
      <c r="Q289" s="219"/>
      <c r="R289" s="219"/>
      <c r="S289" s="219"/>
      <c r="T289" s="219"/>
      <c r="U289" s="219"/>
      <c r="V289" s="219"/>
      <c r="W289" s="219"/>
      <c r="X289" s="219"/>
      <c r="Y289" s="219"/>
      <c r="Z289" s="219"/>
    </row>
    <row r="290">
      <c r="A290" s="244"/>
      <c r="B290" s="219"/>
      <c r="C290" s="219"/>
      <c r="D290" s="219"/>
      <c r="E290" s="213"/>
      <c r="F290" s="213"/>
      <c r="G290" s="213"/>
      <c r="H290" s="213"/>
      <c r="I290" s="219"/>
      <c r="J290" s="219"/>
      <c r="K290" s="219"/>
      <c r="L290" s="219"/>
      <c r="M290" s="219"/>
      <c r="N290" s="219"/>
      <c r="O290" s="219"/>
      <c r="P290" s="219"/>
      <c r="Q290" s="219"/>
      <c r="R290" s="219"/>
      <c r="S290" s="219"/>
      <c r="T290" s="219"/>
      <c r="U290" s="219"/>
      <c r="V290" s="219"/>
      <c r="W290" s="219"/>
      <c r="X290" s="219"/>
      <c r="Y290" s="219"/>
      <c r="Z290" s="219"/>
    </row>
    <row r="291">
      <c r="A291" s="244"/>
      <c r="B291" s="219"/>
      <c r="C291" s="219"/>
      <c r="D291" s="219"/>
      <c r="E291" s="213"/>
      <c r="F291" s="213"/>
      <c r="G291" s="213"/>
      <c r="H291" s="213"/>
      <c r="I291" s="219"/>
      <c r="J291" s="219"/>
      <c r="K291" s="219"/>
      <c r="L291" s="219"/>
      <c r="M291" s="219"/>
      <c r="N291" s="219"/>
      <c r="O291" s="219"/>
      <c r="P291" s="219"/>
      <c r="Q291" s="219"/>
      <c r="R291" s="219"/>
      <c r="S291" s="219"/>
      <c r="T291" s="219"/>
      <c r="U291" s="219"/>
      <c r="V291" s="219"/>
      <c r="W291" s="219"/>
      <c r="X291" s="219"/>
      <c r="Y291" s="219"/>
      <c r="Z291" s="219"/>
    </row>
    <row r="292">
      <c r="A292" s="244"/>
      <c r="B292" s="219"/>
      <c r="C292" s="219"/>
      <c r="D292" s="219"/>
      <c r="E292" s="213"/>
      <c r="F292" s="213"/>
      <c r="G292" s="213"/>
      <c r="H292" s="213"/>
      <c r="I292" s="219"/>
      <c r="J292" s="219"/>
      <c r="K292" s="219"/>
      <c r="L292" s="219"/>
      <c r="M292" s="219"/>
      <c r="N292" s="219"/>
      <c r="O292" s="219"/>
      <c r="P292" s="219"/>
      <c r="Q292" s="219"/>
      <c r="R292" s="219"/>
      <c r="S292" s="219"/>
      <c r="T292" s="219"/>
      <c r="U292" s="219"/>
      <c r="V292" s="219"/>
      <c r="W292" s="219"/>
      <c r="X292" s="219"/>
      <c r="Y292" s="219"/>
      <c r="Z292" s="219"/>
    </row>
    <row r="293">
      <c r="A293" s="244"/>
      <c r="B293" s="219"/>
      <c r="C293" s="219"/>
      <c r="D293" s="219"/>
      <c r="E293" s="213"/>
      <c r="F293" s="213"/>
      <c r="G293" s="213"/>
      <c r="H293" s="213"/>
      <c r="I293" s="219"/>
      <c r="J293" s="219"/>
      <c r="K293" s="219"/>
      <c r="L293" s="219"/>
      <c r="M293" s="219"/>
      <c r="N293" s="219"/>
      <c r="O293" s="219"/>
      <c r="P293" s="219"/>
      <c r="Q293" s="219"/>
      <c r="R293" s="219"/>
      <c r="S293" s="219"/>
      <c r="T293" s="219"/>
      <c r="U293" s="219"/>
      <c r="V293" s="219"/>
      <c r="W293" s="219"/>
      <c r="X293" s="219"/>
      <c r="Y293" s="219"/>
      <c r="Z293" s="219"/>
    </row>
    <row r="294">
      <c r="A294" s="244"/>
      <c r="B294" s="219"/>
      <c r="C294" s="219"/>
      <c r="D294" s="219"/>
      <c r="E294" s="213"/>
      <c r="F294" s="213"/>
      <c r="G294" s="213"/>
      <c r="H294" s="213"/>
      <c r="I294" s="219"/>
      <c r="J294" s="219"/>
      <c r="K294" s="219"/>
      <c r="L294" s="219"/>
      <c r="M294" s="219"/>
      <c r="N294" s="219"/>
      <c r="O294" s="219"/>
      <c r="P294" s="219"/>
      <c r="Q294" s="219"/>
      <c r="R294" s="219"/>
      <c r="S294" s="219"/>
      <c r="T294" s="219"/>
      <c r="U294" s="219"/>
      <c r="V294" s="219"/>
      <c r="W294" s="219"/>
      <c r="X294" s="219"/>
      <c r="Y294" s="219"/>
      <c r="Z294" s="219"/>
    </row>
    <row r="295">
      <c r="A295" s="244"/>
      <c r="B295" s="219"/>
      <c r="C295" s="219"/>
      <c r="D295" s="219"/>
      <c r="E295" s="213"/>
      <c r="F295" s="213"/>
      <c r="G295" s="213"/>
      <c r="H295" s="213"/>
      <c r="I295" s="219"/>
      <c r="J295" s="219"/>
      <c r="K295" s="219"/>
      <c r="L295" s="219"/>
      <c r="M295" s="219"/>
      <c r="N295" s="219"/>
      <c r="O295" s="219"/>
      <c r="P295" s="219"/>
      <c r="Q295" s="219"/>
      <c r="R295" s="219"/>
      <c r="S295" s="219"/>
      <c r="T295" s="219"/>
      <c r="U295" s="219"/>
      <c r="V295" s="219"/>
      <c r="W295" s="219"/>
      <c r="X295" s="219"/>
      <c r="Y295" s="219"/>
      <c r="Z295" s="219"/>
    </row>
    <row r="296">
      <c r="A296" s="244"/>
      <c r="B296" s="219"/>
      <c r="C296" s="219"/>
      <c r="D296" s="219"/>
      <c r="E296" s="213"/>
      <c r="F296" s="213"/>
      <c r="G296" s="213"/>
      <c r="H296" s="213"/>
      <c r="I296" s="219"/>
      <c r="J296" s="219"/>
      <c r="K296" s="219"/>
      <c r="L296" s="219"/>
      <c r="M296" s="219"/>
      <c r="N296" s="219"/>
      <c r="O296" s="219"/>
      <c r="P296" s="219"/>
      <c r="Q296" s="219"/>
      <c r="R296" s="219"/>
      <c r="S296" s="219"/>
      <c r="T296" s="219"/>
      <c r="U296" s="219"/>
      <c r="V296" s="219"/>
      <c r="W296" s="219"/>
      <c r="X296" s="219"/>
      <c r="Y296" s="219"/>
      <c r="Z296" s="219"/>
    </row>
    <row r="297">
      <c r="A297" s="244"/>
      <c r="B297" s="219"/>
      <c r="C297" s="219"/>
      <c r="D297" s="219"/>
      <c r="E297" s="213"/>
      <c r="F297" s="213"/>
      <c r="G297" s="213"/>
      <c r="H297" s="213"/>
      <c r="I297" s="219"/>
      <c r="J297" s="219"/>
      <c r="K297" s="219"/>
      <c r="L297" s="219"/>
      <c r="M297" s="219"/>
      <c r="N297" s="219"/>
      <c r="O297" s="219"/>
      <c r="P297" s="219"/>
      <c r="Q297" s="219"/>
      <c r="R297" s="219"/>
      <c r="S297" s="219"/>
      <c r="T297" s="219"/>
      <c r="U297" s="219"/>
      <c r="V297" s="219"/>
      <c r="W297" s="219"/>
      <c r="X297" s="219"/>
      <c r="Y297" s="219"/>
      <c r="Z297" s="219"/>
    </row>
    <row r="298">
      <c r="A298" s="244"/>
      <c r="B298" s="219"/>
      <c r="C298" s="219"/>
      <c r="D298" s="219"/>
      <c r="E298" s="213"/>
      <c r="F298" s="213"/>
      <c r="G298" s="213"/>
      <c r="H298" s="213"/>
      <c r="I298" s="219"/>
      <c r="J298" s="219"/>
      <c r="K298" s="219"/>
      <c r="L298" s="219"/>
      <c r="M298" s="219"/>
      <c r="N298" s="219"/>
      <c r="O298" s="219"/>
      <c r="P298" s="219"/>
      <c r="Q298" s="219"/>
      <c r="R298" s="219"/>
      <c r="S298" s="219"/>
      <c r="T298" s="219"/>
      <c r="U298" s="219"/>
      <c r="V298" s="219"/>
      <c r="W298" s="219"/>
      <c r="X298" s="219"/>
      <c r="Y298" s="219"/>
      <c r="Z298" s="219"/>
    </row>
    <row r="299">
      <c r="A299" s="244"/>
      <c r="B299" s="219"/>
      <c r="C299" s="219"/>
      <c r="D299" s="219"/>
      <c r="E299" s="213"/>
      <c r="F299" s="213"/>
      <c r="G299" s="213"/>
      <c r="H299" s="213"/>
      <c r="I299" s="219"/>
      <c r="J299" s="219"/>
      <c r="K299" s="219"/>
      <c r="L299" s="219"/>
      <c r="M299" s="219"/>
      <c r="N299" s="219"/>
      <c r="O299" s="219"/>
      <c r="P299" s="219"/>
      <c r="Q299" s="219"/>
      <c r="R299" s="219"/>
      <c r="S299" s="219"/>
      <c r="T299" s="219"/>
      <c r="U299" s="219"/>
      <c r="V299" s="219"/>
      <c r="W299" s="219"/>
      <c r="X299" s="219"/>
      <c r="Y299" s="219"/>
      <c r="Z299" s="219"/>
    </row>
    <row r="300">
      <c r="A300" s="244"/>
      <c r="B300" s="219"/>
      <c r="C300" s="219"/>
      <c r="D300" s="219"/>
      <c r="E300" s="213"/>
      <c r="F300" s="213"/>
      <c r="G300" s="213"/>
      <c r="H300" s="213"/>
      <c r="I300" s="219"/>
      <c r="J300" s="219"/>
      <c r="K300" s="219"/>
      <c r="L300" s="219"/>
      <c r="M300" s="219"/>
      <c r="N300" s="219"/>
      <c r="O300" s="219"/>
      <c r="P300" s="219"/>
      <c r="Q300" s="219"/>
      <c r="R300" s="219"/>
      <c r="S300" s="219"/>
      <c r="T300" s="219"/>
      <c r="U300" s="219"/>
      <c r="V300" s="219"/>
      <c r="W300" s="219"/>
      <c r="X300" s="219"/>
      <c r="Y300" s="219"/>
      <c r="Z300" s="219"/>
    </row>
    <row r="301">
      <c r="A301" s="244"/>
      <c r="B301" s="219"/>
      <c r="C301" s="219"/>
      <c r="D301" s="219"/>
      <c r="E301" s="213"/>
      <c r="F301" s="213"/>
      <c r="G301" s="213"/>
      <c r="H301" s="213"/>
      <c r="I301" s="219"/>
      <c r="J301" s="219"/>
      <c r="K301" s="219"/>
      <c r="L301" s="219"/>
      <c r="M301" s="219"/>
      <c r="N301" s="219"/>
      <c r="O301" s="219"/>
      <c r="P301" s="219"/>
      <c r="Q301" s="219"/>
      <c r="R301" s="219"/>
      <c r="S301" s="219"/>
      <c r="T301" s="219"/>
      <c r="U301" s="219"/>
      <c r="V301" s="219"/>
      <c r="W301" s="219"/>
      <c r="X301" s="219"/>
      <c r="Y301" s="219"/>
      <c r="Z301" s="219"/>
    </row>
    <row r="302">
      <c r="A302" s="244"/>
      <c r="B302" s="219"/>
      <c r="C302" s="219"/>
      <c r="D302" s="219"/>
      <c r="E302" s="213"/>
      <c r="F302" s="213"/>
      <c r="G302" s="213"/>
      <c r="H302" s="213"/>
      <c r="I302" s="219"/>
      <c r="J302" s="219"/>
      <c r="K302" s="219"/>
      <c r="L302" s="219"/>
      <c r="M302" s="219"/>
      <c r="N302" s="219"/>
      <c r="O302" s="219"/>
      <c r="P302" s="219"/>
      <c r="Q302" s="219"/>
      <c r="R302" s="219"/>
      <c r="S302" s="219"/>
      <c r="T302" s="219"/>
      <c r="U302" s="219"/>
      <c r="V302" s="219"/>
      <c r="W302" s="219"/>
      <c r="X302" s="219"/>
      <c r="Y302" s="219"/>
      <c r="Z302" s="219"/>
    </row>
    <row r="303">
      <c r="A303" s="244"/>
      <c r="B303" s="219"/>
      <c r="C303" s="219"/>
      <c r="D303" s="219"/>
      <c r="E303" s="213"/>
      <c r="F303" s="213"/>
      <c r="G303" s="213"/>
      <c r="H303" s="213"/>
      <c r="I303" s="219"/>
      <c r="J303" s="219"/>
      <c r="K303" s="219"/>
      <c r="L303" s="219"/>
      <c r="M303" s="219"/>
      <c r="N303" s="219"/>
      <c r="O303" s="219"/>
      <c r="P303" s="219"/>
      <c r="Q303" s="219"/>
      <c r="R303" s="219"/>
      <c r="S303" s="219"/>
      <c r="T303" s="219"/>
      <c r="U303" s="219"/>
      <c r="V303" s="219"/>
      <c r="W303" s="219"/>
      <c r="X303" s="219"/>
      <c r="Y303" s="219"/>
      <c r="Z303" s="219"/>
    </row>
    <row r="304">
      <c r="A304" s="244"/>
      <c r="B304" s="219"/>
      <c r="C304" s="219"/>
      <c r="D304" s="219"/>
      <c r="E304" s="213"/>
      <c r="F304" s="213"/>
      <c r="G304" s="213"/>
      <c r="H304" s="213"/>
      <c r="I304" s="219"/>
      <c r="J304" s="219"/>
      <c r="K304" s="219"/>
      <c r="L304" s="219"/>
      <c r="M304" s="219"/>
      <c r="N304" s="219"/>
      <c r="O304" s="219"/>
      <c r="P304" s="219"/>
      <c r="Q304" s="219"/>
      <c r="R304" s="219"/>
      <c r="S304" s="219"/>
      <c r="T304" s="219"/>
      <c r="U304" s="219"/>
      <c r="V304" s="219"/>
      <c r="W304" s="219"/>
      <c r="X304" s="219"/>
      <c r="Y304" s="219"/>
      <c r="Z304" s="219"/>
    </row>
    <row r="305">
      <c r="A305" s="244"/>
      <c r="B305" s="219"/>
      <c r="C305" s="219"/>
      <c r="D305" s="219"/>
      <c r="E305" s="213"/>
      <c r="F305" s="213"/>
      <c r="G305" s="213"/>
      <c r="H305" s="213"/>
      <c r="I305" s="219"/>
      <c r="J305" s="219"/>
      <c r="K305" s="219"/>
      <c r="L305" s="219"/>
      <c r="M305" s="219"/>
      <c r="N305" s="219"/>
      <c r="O305" s="219"/>
      <c r="P305" s="219"/>
      <c r="Q305" s="219"/>
      <c r="R305" s="219"/>
      <c r="S305" s="219"/>
      <c r="T305" s="219"/>
      <c r="U305" s="219"/>
      <c r="V305" s="219"/>
      <c r="W305" s="219"/>
      <c r="X305" s="219"/>
      <c r="Y305" s="219"/>
      <c r="Z305" s="219"/>
    </row>
    <row r="306">
      <c r="A306" s="244"/>
      <c r="B306" s="219"/>
      <c r="C306" s="219"/>
      <c r="D306" s="219"/>
      <c r="E306" s="213"/>
      <c r="F306" s="213"/>
      <c r="G306" s="213"/>
      <c r="H306" s="213"/>
      <c r="I306" s="219"/>
      <c r="J306" s="219"/>
      <c r="K306" s="219"/>
      <c r="L306" s="219"/>
      <c r="M306" s="219"/>
      <c r="N306" s="219"/>
      <c r="O306" s="219"/>
      <c r="P306" s="219"/>
      <c r="Q306" s="219"/>
      <c r="R306" s="219"/>
      <c r="S306" s="219"/>
      <c r="T306" s="219"/>
      <c r="U306" s="219"/>
      <c r="V306" s="219"/>
      <c r="W306" s="219"/>
      <c r="X306" s="219"/>
      <c r="Y306" s="219"/>
      <c r="Z306" s="219"/>
    </row>
    <row r="307">
      <c r="A307" s="244"/>
      <c r="B307" s="219"/>
      <c r="C307" s="219"/>
      <c r="D307" s="219"/>
      <c r="E307" s="213"/>
      <c r="F307" s="213"/>
      <c r="G307" s="213"/>
      <c r="H307" s="213"/>
      <c r="I307" s="219"/>
      <c r="J307" s="219"/>
      <c r="K307" s="219"/>
      <c r="L307" s="219"/>
      <c r="M307" s="219"/>
      <c r="N307" s="219"/>
      <c r="O307" s="219"/>
      <c r="P307" s="219"/>
      <c r="Q307" s="219"/>
      <c r="R307" s="219"/>
      <c r="S307" s="219"/>
      <c r="T307" s="219"/>
      <c r="U307" s="219"/>
      <c r="V307" s="219"/>
      <c r="W307" s="219"/>
      <c r="X307" s="219"/>
      <c r="Y307" s="219"/>
      <c r="Z307" s="219"/>
    </row>
    <row r="308">
      <c r="A308" s="244"/>
      <c r="B308" s="219"/>
      <c r="C308" s="219"/>
      <c r="D308" s="219"/>
      <c r="E308" s="213"/>
      <c r="F308" s="213"/>
      <c r="G308" s="213"/>
      <c r="H308" s="213"/>
      <c r="I308" s="219"/>
      <c r="J308" s="219"/>
      <c r="K308" s="219"/>
      <c r="L308" s="219"/>
      <c r="M308" s="219"/>
      <c r="N308" s="219"/>
      <c r="O308" s="219"/>
      <c r="P308" s="219"/>
      <c r="Q308" s="219"/>
      <c r="R308" s="219"/>
      <c r="S308" s="219"/>
      <c r="T308" s="219"/>
      <c r="U308" s="219"/>
      <c r="V308" s="219"/>
      <c r="W308" s="219"/>
      <c r="X308" s="219"/>
      <c r="Y308" s="219"/>
      <c r="Z308" s="219"/>
    </row>
    <row r="309">
      <c r="A309" s="244"/>
      <c r="B309" s="219"/>
      <c r="C309" s="219"/>
      <c r="D309" s="219"/>
      <c r="E309" s="213"/>
      <c r="F309" s="213"/>
      <c r="G309" s="213"/>
      <c r="H309" s="213"/>
      <c r="I309" s="219"/>
      <c r="J309" s="219"/>
      <c r="K309" s="219"/>
      <c r="L309" s="219"/>
      <c r="M309" s="219"/>
      <c r="N309" s="219"/>
      <c r="O309" s="219"/>
      <c r="P309" s="219"/>
      <c r="Q309" s="219"/>
      <c r="R309" s="219"/>
      <c r="S309" s="219"/>
      <c r="T309" s="219"/>
      <c r="U309" s="219"/>
      <c r="V309" s="219"/>
      <c r="W309" s="219"/>
      <c r="X309" s="219"/>
      <c r="Y309" s="219"/>
      <c r="Z309" s="219"/>
    </row>
    <row r="310">
      <c r="A310" s="244"/>
      <c r="B310" s="219"/>
      <c r="C310" s="219"/>
      <c r="D310" s="219"/>
      <c r="E310" s="213"/>
      <c r="F310" s="213"/>
      <c r="G310" s="213"/>
      <c r="H310" s="213"/>
      <c r="I310" s="219"/>
      <c r="J310" s="219"/>
      <c r="K310" s="219"/>
      <c r="L310" s="219"/>
      <c r="M310" s="219"/>
      <c r="N310" s="219"/>
      <c r="O310" s="219"/>
      <c r="P310" s="219"/>
      <c r="Q310" s="219"/>
      <c r="R310" s="219"/>
      <c r="S310" s="219"/>
      <c r="T310" s="219"/>
      <c r="U310" s="219"/>
      <c r="V310" s="219"/>
      <c r="W310" s="219"/>
      <c r="X310" s="219"/>
      <c r="Y310" s="219"/>
      <c r="Z310" s="219"/>
    </row>
    <row r="311">
      <c r="A311" s="244"/>
      <c r="B311" s="219"/>
      <c r="C311" s="219"/>
      <c r="D311" s="219"/>
      <c r="E311" s="213"/>
      <c r="F311" s="213"/>
      <c r="G311" s="213"/>
      <c r="H311" s="213"/>
      <c r="I311" s="219"/>
      <c r="J311" s="219"/>
      <c r="K311" s="219"/>
      <c r="L311" s="219"/>
      <c r="M311" s="219"/>
      <c r="N311" s="219"/>
      <c r="O311" s="219"/>
      <c r="P311" s="219"/>
      <c r="Q311" s="219"/>
      <c r="R311" s="219"/>
      <c r="S311" s="219"/>
      <c r="T311" s="219"/>
      <c r="U311" s="219"/>
      <c r="V311" s="219"/>
      <c r="W311" s="219"/>
      <c r="X311" s="219"/>
      <c r="Y311" s="219"/>
      <c r="Z311" s="219"/>
    </row>
    <row r="312">
      <c r="A312" s="244"/>
      <c r="B312" s="219"/>
      <c r="C312" s="219"/>
      <c r="D312" s="219"/>
      <c r="E312" s="213"/>
      <c r="F312" s="213"/>
      <c r="G312" s="213"/>
      <c r="H312" s="213"/>
      <c r="I312" s="219"/>
      <c r="J312" s="219"/>
      <c r="K312" s="219"/>
      <c r="L312" s="219"/>
      <c r="M312" s="219"/>
      <c r="N312" s="219"/>
      <c r="O312" s="219"/>
      <c r="P312" s="219"/>
      <c r="Q312" s="219"/>
      <c r="R312" s="219"/>
      <c r="S312" s="219"/>
      <c r="T312" s="219"/>
      <c r="U312" s="219"/>
      <c r="V312" s="219"/>
      <c r="W312" s="219"/>
      <c r="X312" s="219"/>
      <c r="Y312" s="219"/>
      <c r="Z312" s="219"/>
    </row>
    <row r="313">
      <c r="A313" s="244"/>
      <c r="B313" s="219"/>
      <c r="C313" s="219"/>
      <c r="D313" s="219"/>
      <c r="E313" s="213"/>
      <c r="F313" s="213"/>
      <c r="G313" s="213"/>
      <c r="H313" s="213"/>
      <c r="I313" s="219"/>
      <c r="J313" s="219"/>
      <c r="K313" s="219"/>
      <c r="L313" s="219"/>
      <c r="M313" s="219"/>
      <c r="N313" s="219"/>
      <c r="O313" s="219"/>
      <c r="P313" s="219"/>
      <c r="Q313" s="219"/>
      <c r="R313" s="219"/>
      <c r="S313" s="219"/>
      <c r="T313" s="219"/>
      <c r="U313" s="219"/>
      <c r="V313" s="219"/>
      <c r="W313" s="219"/>
      <c r="X313" s="219"/>
      <c r="Y313" s="219"/>
      <c r="Z313" s="219"/>
    </row>
    <row r="314">
      <c r="A314" s="244"/>
      <c r="B314" s="219"/>
      <c r="C314" s="219"/>
      <c r="D314" s="219"/>
      <c r="E314" s="213"/>
      <c r="F314" s="213"/>
      <c r="G314" s="213"/>
      <c r="H314" s="213"/>
      <c r="I314" s="219"/>
      <c r="J314" s="219"/>
      <c r="K314" s="219"/>
      <c r="L314" s="219"/>
      <c r="M314" s="219"/>
      <c r="N314" s="219"/>
      <c r="O314" s="219"/>
      <c r="P314" s="219"/>
      <c r="Q314" s="219"/>
      <c r="R314" s="219"/>
      <c r="S314" s="219"/>
      <c r="T314" s="219"/>
      <c r="U314" s="219"/>
      <c r="V314" s="219"/>
      <c r="W314" s="219"/>
      <c r="X314" s="219"/>
      <c r="Y314" s="219"/>
      <c r="Z314" s="219"/>
    </row>
    <row r="315">
      <c r="A315" s="244"/>
      <c r="B315" s="219"/>
      <c r="C315" s="219"/>
      <c r="D315" s="219"/>
      <c r="E315" s="213"/>
      <c r="F315" s="213"/>
      <c r="G315" s="213"/>
      <c r="H315" s="213"/>
      <c r="I315" s="219"/>
      <c r="J315" s="219"/>
      <c r="K315" s="219"/>
      <c r="L315" s="219"/>
      <c r="M315" s="219"/>
      <c r="N315" s="219"/>
      <c r="O315" s="219"/>
      <c r="P315" s="219"/>
      <c r="Q315" s="219"/>
      <c r="R315" s="219"/>
      <c r="S315" s="219"/>
      <c r="T315" s="219"/>
      <c r="U315" s="219"/>
      <c r="V315" s="219"/>
      <c r="W315" s="219"/>
      <c r="X315" s="219"/>
      <c r="Y315" s="219"/>
      <c r="Z315" s="219"/>
    </row>
    <row r="316">
      <c r="A316" s="244"/>
      <c r="B316" s="219"/>
      <c r="C316" s="219"/>
      <c r="D316" s="219"/>
      <c r="E316" s="213"/>
      <c r="F316" s="213"/>
      <c r="G316" s="213"/>
      <c r="H316" s="213"/>
      <c r="I316" s="219"/>
      <c r="J316" s="219"/>
      <c r="K316" s="219"/>
      <c r="L316" s="219"/>
      <c r="M316" s="219"/>
      <c r="N316" s="219"/>
      <c r="O316" s="219"/>
      <c r="P316" s="219"/>
      <c r="Q316" s="219"/>
      <c r="R316" s="219"/>
      <c r="S316" s="219"/>
      <c r="T316" s="219"/>
      <c r="U316" s="219"/>
      <c r="V316" s="219"/>
      <c r="W316" s="219"/>
      <c r="X316" s="219"/>
      <c r="Y316" s="219"/>
      <c r="Z316" s="219"/>
    </row>
    <row r="317">
      <c r="A317" s="244"/>
      <c r="B317" s="219"/>
      <c r="C317" s="219"/>
      <c r="D317" s="219"/>
      <c r="E317" s="213"/>
      <c r="F317" s="213"/>
      <c r="G317" s="213"/>
      <c r="H317" s="213"/>
      <c r="I317" s="219"/>
      <c r="J317" s="219"/>
      <c r="K317" s="219"/>
      <c r="L317" s="219"/>
      <c r="M317" s="219"/>
      <c r="N317" s="219"/>
      <c r="O317" s="219"/>
      <c r="P317" s="219"/>
      <c r="Q317" s="219"/>
      <c r="R317" s="219"/>
      <c r="S317" s="219"/>
      <c r="T317" s="219"/>
      <c r="U317" s="219"/>
      <c r="V317" s="219"/>
      <c r="W317" s="219"/>
      <c r="X317" s="219"/>
      <c r="Y317" s="219"/>
      <c r="Z317" s="219"/>
    </row>
    <row r="318">
      <c r="A318" s="244"/>
      <c r="B318" s="219"/>
      <c r="C318" s="219"/>
      <c r="D318" s="219"/>
      <c r="E318" s="213"/>
      <c r="F318" s="213"/>
      <c r="G318" s="213"/>
      <c r="H318" s="213"/>
      <c r="I318" s="219"/>
      <c r="J318" s="219"/>
      <c r="K318" s="219"/>
      <c r="L318" s="219"/>
      <c r="M318" s="219"/>
      <c r="N318" s="219"/>
      <c r="O318" s="219"/>
      <c r="P318" s="219"/>
      <c r="Q318" s="219"/>
      <c r="R318" s="219"/>
      <c r="S318" s="219"/>
      <c r="T318" s="219"/>
      <c r="U318" s="219"/>
      <c r="V318" s="219"/>
      <c r="W318" s="219"/>
      <c r="X318" s="219"/>
      <c r="Y318" s="219"/>
      <c r="Z318" s="219"/>
    </row>
    <row r="319">
      <c r="A319" s="244"/>
      <c r="B319" s="219"/>
      <c r="C319" s="219"/>
      <c r="D319" s="219"/>
      <c r="E319" s="213"/>
      <c r="F319" s="213"/>
      <c r="G319" s="213"/>
      <c r="H319" s="213"/>
      <c r="I319" s="219"/>
      <c r="J319" s="219"/>
      <c r="K319" s="219"/>
      <c r="L319" s="219"/>
      <c r="M319" s="219"/>
      <c r="N319" s="219"/>
      <c r="O319" s="219"/>
      <c r="P319" s="219"/>
      <c r="Q319" s="219"/>
      <c r="R319" s="219"/>
      <c r="S319" s="219"/>
      <c r="T319" s="219"/>
      <c r="U319" s="219"/>
      <c r="V319" s="219"/>
      <c r="W319" s="219"/>
      <c r="X319" s="219"/>
      <c r="Y319" s="219"/>
      <c r="Z319" s="219"/>
    </row>
    <row r="320">
      <c r="A320" s="244"/>
      <c r="B320" s="219"/>
      <c r="C320" s="219"/>
      <c r="D320" s="219"/>
      <c r="E320" s="213"/>
      <c r="F320" s="213"/>
      <c r="G320" s="213"/>
      <c r="H320" s="213"/>
      <c r="I320" s="219"/>
      <c r="J320" s="219"/>
      <c r="K320" s="219"/>
      <c r="L320" s="219"/>
      <c r="M320" s="219"/>
      <c r="N320" s="219"/>
      <c r="O320" s="219"/>
      <c r="P320" s="219"/>
      <c r="Q320" s="219"/>
      <c r="R320" s="219"/>
      <c r="S320" s="219"/>
      <c r="T320" s="219"/>
      <c r="U320" s="219"/>
      <c r="V320" s="219"/>
      <c r="W320" s="219"/>
      <c r="X320" s="219"/>
      <c r="Y320" s="219"/>
      <c r="Z320" s="219"/>
    </row>
    <row r="321">
      <c r="A321" s="244"/>
      <c r="B321" s="219"/>
      <c r="C321" s="219"/>
      <c r="D321" s="219"/>
      <c r="E321" s="213"/>
      <c r="F321" s="213"/>
      <c r="G321" s="213"/>
      <c r="H321" s="213"/>
      <c r="I321" s="219"/>
      <c r="J321" s="219"/>
      <c r="K321" s="219"/>
      <c r="L321" s="219"/>
      <c r="M321" s="219"/>
      <c r="N321" s="219"/>
      <c r="O321" s="219"/>
      <c r="P321" s="219"/>
      <c r="Q321" s="219"/>
      <c r="R321" s="219"/>
      <c r="S321" s="219"/>
      <c r="T321" s="219"/>
      <c r="U321" s="219"/>
      <c r="V321" s="219"/>
      <c r="W321" s="219"/>
      <c r="X321" s="219"/>
      <c r="Y321" s="219"/>
      <c r="Z321" s="219"/>
    </row>
    <row r="322">
      <c r="A322" s="244"/>
      <c r="B322" s="219"/>
      <c r="C322" s="219"/>
      <c r="D322" s="219"/>
      <c r="E322" s="213"/>
      <c r="F322" s="213"/>
      <c r="G322" s="213"/>
      <c r="H322" s="213"/>
      <c r="I322" s="219"/>
      <c r="J322" s="219"/>
      <c r="K322" s="219"/>
      <c r="L322" s="219"/>
      <c r="M322" s="219"/>
      <c r="N322" s="219"/>
      <c r="O322" s="219"/>
      <c r="P322" s="219"/>
      <c r="Q322" s="219"/>
      <c r="R322" s="219"/>
      <c r="S322" s="219"/>
      <c r="T322" s="219"/>
      <c r="U322" s="219"/>
      <c r="V322" s="219"/>
      <c r="W322" s="219"/>
      <c r="X322" s="219"/>
      <c r="Y322" s="219"/>
      <c r="Z322" s="219"/>
    </row>
    <row r="323">
      <c r="A323" s="244"/>
      <c r="B323" s="219"/>
      <c r="C323" s="219"/>
      <c r="D323" s="219"/>
      <c r="E323" s="213"/>
      <c r="F323" s="213"/>
      <c r="G323" s="213"/>
      <c r="H323" s="213"/>
      <c r="I323" s="219"/>
      <c r="J323" s="219"/>
      <c r="K323" s="219"/>
      <c r="L323" s="219"/>
      <c r="M323" s="219"/>
      <c r="N323" s="219"/>
      <c r="O323" s="219"/>
      <c r="P323" s="219"/>
      <c r="Q323" s="219"/>
      <c r="R323" s="219"/>
      <c r="S323" s="219"/>
      <c r="T323" s="219"/>
      <c r="U323" s="219"/>
      <c r="V323" s="219"/>
      <c r="W323" s="219"/>
      <c r="X323" s="219"/>
      <c r="Y323" s="219"/>
      <c r="Z323" s="219"/>
    </row>
    <row r="324">
      <c r="A324" s="244"/>
      <c r="B324" s="219"/>
      <c r="C324" s="219"/>
      <c r="D324" s="219"/>
      <c r="E324" s="213"/>
      <c r="F324" s="213"/>
      <c r="G324" s="213"/>
      <c r="H324" s="213"/>
      <c r="I324" s="219"/>
      <c r="J324" s="219"/>
      <c r="K324" s="219"/>
      <c r="L324" s="219"/>
      <c r="M324" s="219"/>
      <c r="N324" s="219"/>
      <c r="O324" s="219"/>
      <c r="P324" s="219"/>
      <c r="Q324" s="219"/>
      <c r="R324" s="219"/>
      <c r="S324" s="219"/>
      <c r="T324" s="219"/>
      <c r="U324" s="219"/>
      <c r="V324" s="219"/>
      <c r="W324" s="219"/>
      <c r="X324" s="219"/>
      <c r="Y324" s="219"/>
      <c r="Z324" s="219"/>
    </row>
    <row r="325">
      <c r="A325" s="244"/>
      <c r="B325" s="219"/>
      <c r="C325" s="219"/>
      <c r="D325" s="219"/>
      <c r="E325" s="213"/>
      <c r="F325" s="213"/>
      <c r="G325" s="213"/>
      <c r="H325" s="213"/>
      <c r="I325" s="219"/>
      <c r="J325" s="219"/>
      <c r="K325" s="219"/>
      <c r="L325" s="219"/>
      <c r="M325" s="219"/>
      <c r="N325" s="219"/>
      <c r="O325" s="219"/>
      <c r="P325" s="219"/>
      <c r="Q325" s="219"/>
      <c r="R325" s="219"/>
      <c r="S325" s="219"/>
      <c r="T325" s="219"/>
      <c r="U325" s="219"/>
      <c r="V325" s="219"/>
      <c r="W325" s="219"/>
      <c r="X325" s="219"/>
      <c r="Y325" s="219"/>
      <c r="Z325" s="219"/>
    </row>
    <row r="326">
      <c r="A326" s="244"/>
      <c r="B326" s="219"/>
      <c r="C326" s="219"/>
      <c r="D326" s="219"/>
      <c r="E326" s="213"/>
      <c r="F326" s="213"/>
      <c r="G326" s="213"/>
      <c r="H326" s="213"/>
      <c r="I326" s="219"/>
      <c r="J326" s="219"/>
      <c r="K326" s="219"/>
      <c r="L326" s="219"/>
      <c r="M326" s="219"/>
      <c r="N326" s="219"/>
      <c r="O326" s="219"/>
      <c r="P326" s="219"/>
      <c r="Q326" s="219"/>
      <c r="R326" s="219"/>
      <c r="S326" s="219"/>
      <c r="T326" s="219"/>
      <c r="U326" s="219"/>
      <c r="V326" s="219"/>
      <c r="W326" s="219"/>
      <c r="X326" s="219"/>
      <c r="Y326" s="219"/>
      <c r="Z326" s="219"/>
    </row>
    <row r="327">
      <c r="A327" s="244"/>
      <c r="B327" s="219"/>
      <c r="C327" s="219"/>
      <c r="D327" s="219"/>
      <c r="E327" s="213"/>
      <c r="F327" s="213"/>
      <c r="G327" s="213"/>
      <c r="H327" s="213"/>
      <c r="I327" s="219"/>
      <c r="J327" s="219"/>
      <c r="K327" s="219"/>
      <c r="L327" s="219"/>
      <c r="M327" s="219"/>
      <c r="N327" s="219"/>
      <c r="O327" s="219"/>
      <c r="P327" s="219"/>
      <c r="Q327" s="219"/>
      <c r="R327" s="219"/>
      <c r="S327" s="219"/>
      <c r="T327" s="219"/>
      <c r="U327" s="219"/>
      <c r="V327" s="219"/>
      <c r="W327" s="219"/>
      <c r="X327" s="219"/>
      <c r="Y327" s="219"/>
      <c r="Z327" s="219"/>
    </row>
    <row r="328">
      <c r="A328" s="244"/>
      <c r="B328" s="219"/>
      <c r="C328" s="219"/>
      <c r="D328" s="219"/>
      <c r="E328" s="213"/>
      <c r="F328" s="213"/>
      <c r="G328" s="213"/>
      <c r="H328" s="213"/>
      <c r="I328" s="219"/>
      <c r="J328" s="219"/>
      <c r="K328" s="219"/>
      <c r="L328" s="219"/>
      <c r="M328" s="219"/>
      <c r="N328" s="219"/>
      <c r="O328" s="219"/>
      <c r="P328" s="219"/>
      <c r="Q328" s="219"/>
      <c r="R328" s="219"/>
      <c r="S328" s="219"/>
      <c r="T328" s="219"/>
      <c r="U328" s="219"/>
      <c r="V328" s="219"/>
      <c r="W328" s="219"/>
      <c r="X328" s="219"/>
      <c r="Y328" s="219"/>
      <c r="Z328" s="219"/>
    </row>
    <row r="329">
      <c r="A329" s="244"/>
      <c r="B329" s="219"/>
      <c r="C329" s="219"/>
      <c r="D329" s="219"/>
      <c r="E329" s="213"/>
      <c r="F329" s="213"/>
      <c r="G329" s="213"/>
      <c r="H329" s="213"/>
      <c r="I329" s="219"/>
      <c r="J329" s="219"/>
      <c r="K329" s="219"/>
      <c r="L329" s="219"/>
      <c r="M329" s="219"/>
      <c r="N329" s="219"/>
      <c r="O329" s="219"/>
      <c r="P329" s="219"/>
      <c r="Q329" s="219"/>
      <c r="R329" s="219"/>
      <c r="S329" s="219"/>
      <c r="T329" s="219"/>
      <c r="U329" s="219"/>
      <c r="V329" s="219"/>
      <c r="W329" s="219"/>
      <c r="X329" s="219"/>
      <c r="Y329" s="219"/>
      <c r="Z329" s="219"/>
    </row>
    <row r="330">
      <c r="A330" s="244"/>
      <c r="B330" s="219"/>
      <c r="C330" s="219"/>
      <c r="D330" s="219"/>
      <c r="E330" s="213"/>
      <c r="F330" s="213"/>
      <c r="G330" s="213"/>
      <c r="H330" s="213"/>
      <c r="I330" s="219"/>
      <c r="J330" s="219"/>
      <c r="K330" s="219"/>
      <c r="L330" s="219"/>
      <c r="M330" s="219"/>
      <c r="N330" s="219"/>
      <c r="O330" s="219"/>
      <c r="P330" s="219"/>
      <c r="Q330" s="219"/>
      <c r="R330" s="219"/>
      <c r="S330" s="219"/>
      <c r="T330" s="219"/>
      <c r="U330" s="219"/>
      <c r="V330" s="219"/>
      <c r="W330" s="219"/>
      <c r="X330" s="219"/>
      <c r="Y330" s="219"/>
      <c r="Z330" s="219"/>
    </row>
    <row r="331">
      <c r="A331" s="244"/>
      <c r="B331" s="219"/>
      <c r="C331" s="219"/>
      <c r="D331" s="219"/>
      <c r="E331" s="213"/>
      <c r="F331" s="213"/>
      <c r="G331" s="213"/>
      <c r="H331" s="213"/>
      <c r="I331" s="219"/>
      <c r="J331" s="219"/>
      <c r="K331" s="219"/>
      <c r="L331" s="219"/>
      <c r="M331" s="219"/>
      <c r="N331" s="219"/>
      <c r="O331" s="219"/>
      <c r="P331" s="219"/>
      <c r="Q331" s="219"/>
      <c r="R331" s="219"/>
      <c r="S331" s="219"/>
      <c r="T331" s="219"/>
      <c r="U331" s="219"/>
      <c r="V331" s="219"/>
      <c r="W331" s="219"/>
      <c r="X331" s="219"/>
      <c r="Y331" s="219"/>
      <c r="Z331" s="219"/>
    </row>
    <row r="332">
      <c r="A332" s="244"/>
      <c r="B332" s="219"/>
      <c r="C332" s="219"/>
      <c r="D332" s="219"/>
      <c r="E332" s="213"/>
      <c r="F332" s="213"/>
      <c r="G332" s="213"/>
      <c r="H332" s="213"/>
      <c r="I332" s="219"/>
      <c r="J332" s="219"/>
      <c r="K332" s="219"/>
      <c r="L332" s="219"/>
      <c r="M332" s="219"/>
      <c r="N332" s="219"/>
      <c r="O332" s="219"/>
      <c r="P332" s="219"/>
      <c r="Q332" s="219"/>
      <c r="R332" s="219"/>
      <c r="S332" s="219"/>
      <c r="T332" s="219"/>
      <c r="U332" s="219"/>
      <c r="V332" s="219"/>
      <c r="W332" s="219"/>
      <c r="X332" s="219"/>
      <c r="Y332" s="219"/>
      <c r="Z332" s="219"/>
    </row>
    <row r="333">
      <c r="A333" s="244"/>
      <c r="B333" s="219"/>
      <c r="C333" s="219"/>
      <c r="D333" s="219"/>
      <c r="E333" s="213"/>
      <c r="F333" s="213"/>
      <c r="G333" s="213"/>
      <c r="H333" s="213"/>
      <c r="I333" s="219"/>
      <c r="J333" s="219"/>
      <c r="K333" s="219"/>
      <c r="L333" s="219"/>
      <c r="M333" s="219"/>
      <c r="N333" s="219"/>
      <c r="O333" s="219"/>
      <c r="P333" s="219"/>
      <c r="Q333" s="219"/>
      <c r="R333" s="219"/>
      <c r="S333" s="219"/>
      <c r="T333" s="219"/>
      <c r="U333" s="219"/>
      <c r="V333" s="219"/>
      <c r="W333" s="219"/>
      <c r="X333" s="219"/>
      <c r="Y333" s="219"/>
      <c r="Z333" s="219"/>
    </row>
    <row r="334">
      <c r="A334" s="244"/>
      <c r="B334" s="219"/>
      <c r="C334" s="219"/>
      <c r="D334" s="219"/>
      <c r="E334" s="213"/>
      <c r="F334" s="213"/>
      <c r="G334" s="213"/>
      <c r="H334" s="213"/>
      <c r="I334" s="219"/>
      <c r="J334" s="219"/>
      <c r="K334" s="219"/>
      <c r="L334" s="219"/>
      <c r="M334" s="219"/>
      <c r="N334" s="219"/>
      <c r="O334" s="219"/>
      <c r="P334" s="219"/>
      <c r="Q334" s="219"/>
      <c r="R334" s="219"/>
      <c r="S334" s="219"/>
      <c r="T334" s="219"/>
      <c r="U334" s="219"/>
      <c r="V334" s="219"/>
      <c r="W334" s="219"/>
      <c r="X334" s="219"/>
      <c r="Y334" s="219"/>
      <c r="Z334" s="219"/>
    </row>
    <row r="335">
      <c r="A335" s="244"/>
      <c r="B335" s="219"/>
      <c r="C335" s="219"/>
      <c r="D335" s="219"/>
      <c r="E335" s="213"/>
      <c r="F335" s="213"/>
      <c r="G335" s="213"/>
      <c r="H335" s="213"/>
      <c r="I335" s="219"/>
      <c r="J335" s="219"/>
      <c r="K335" s="219"/>
      <c r="L335" s="219"/>
      <c r="M335" s="219"/>
      <c r="N335" s="219"/>
      <c r="O335" s="219"/>
      <c r="P335" s="219"/>
      <c r="Q335" s="219"/>
      <c r="R335" s="219"/>
      <c r="S335" s="219"/>
      <c r="T335" s="219"/>
      <c r="U335" s="219"/>
      <c r="V335" s="219"/>
      <c r="W335" s="219"/>
      <c r="X335" s="219"/>
      <c r="Y335" s="219"/>
      <c r="Z335" s="219"/>
    </row>
    <row r="336">
      <c r="A336" s="244"/>
      <c r="B336" s="219"/>
      <c r="C336" s="219"/>
      <c r="D336" s="219"/>
      <c r="E336" s="213"/>
      <c r="F336" s="213"/>
      <c r="G336" s="213"/>
      <c r="H336" s="213"/>
      <c r="I336" s="219"/>
      <c r="J336" s="219"/>
      <c r="K336" s="219"/>
      <c r="L336" s="219"/>
      <c r="M336" s="219"/>
      <c r="N336" s="219"/>
      <c r="O336" s="219"/>
      <c r="P336" s="219"/>
      <c r="Q336" s="219"/>
      <c r="R336" s="219"/>
      <c r="S336" s="219"/>
      <c r="T336" s="219"/>
      <c r="U336" s="219"/>
      <c r="V336" s="219"/>
      <c r="W336" s="219"/>
      <c r="X336" s="219"/>
      <c r="Y336" s="219"/>
      <c r="Z336" s="219"/>
    </row>
    <row r="337">
      <c r="A337" s="244"/>
      <c r="B337" s="219"/>
      <c r="C337" s="219"/>
      <c r="D337" s="219"/>
      <c r="E337" s="213"/>
      <c r="F337" s="213"/>
      <c r="G337" s="213"/>
      <c r="H337" s="213"/>
      <c r="I337" s="219"/>
      <c r="J337" s="219"/>
      <c r="K337" s="219"/>
      <c r="L337" s="219"/>
      <c r="M337" s="219"/>
      <c r="N337" s="219"/>
      <c r="O337" s="219"/>
      <c r="P337" s="219"/>
      <c r="Q337" s="219"/>
      <c r="R337" s="219"/>
      <c r="S337" s="219"/>
      <c r="T337" s="219"/>
      <c r="U337" s="219"/>
      <c r="V337" s="219"/>
      <c r="W337" s="219"/>
      <c r="X337" s="219"/>
      <c r="Y337" s="219"/>
      <c r="Z337" s="219"/>
    </row>
    <row r="338">
      <c r="A338" s="244"/>
      <c r="B338" s="219"/>
      <c r="C338" s="219"/>
      <c r="D338" s="219"/>
      <c r="E338" s="213"/>
      <c r="F338" s="213"/>
      <c r="G338" s="213"/>
      <c r="H338" s="213"/>
      <c r="I338" s="219"/>
      <c r="J338" s="219"/>
      <c r="K338" s="219"/>
      <c r="L338" s="219"/>
      <c r="M338" s="219"/>
      <c r="N338" s="219"/>
      <c r="O338" s="219"/>
      <c r="P338" s="219"/>
      <c r="Q338" s="219"/>
      <c r="R338" s="219"/>
      <c r="S338" s="219"/>
      <c r="T338" s="219"/>
      <c r="U338" s="219"/>
      <c r="V338" s="219"/>
      <c r="W338" s="219"/>
      <c r="X338" s="219"/>
      <c r="Y338" s="219"/>
      <c r="Z338" s="219"/>
    </row>
    <row r="339">
      <c r="A339" s="244"/>
      <c r="B339" s="219"/>
      <c r="C339" s="219"/>
      <c r="D339" s="219"/>
      <c r="E339" s="213"/>
      <c r="F339" s="213"/>
      <c r="G339" s="213"/>
      <c r="H339" s="213"/>
      <c r="I339" s="219"/>
      <c r="J339" s="219"/>
      <c r="K339" s="219"/>
      <c r="L339" s="219"/>
      <c r="M339" s="219"/>
      <c r="N339" s="219"/>
      <c r="O339" s="219"/>
      <c r="P339" s="219"/>
      <c r="Q339" s="219"/>
      <c r="R339" s="219"/>
      <c r="S339" s="219"/>
      <c r="T339" s="219"/>
      <c r="U339" s="219"/>
      <c r="V339" s="219"/>
      <c r="W339" s="219"/>
      <c r="X339" s="219"/>
      <c r="Y339" s="219"/>
      <c r="Z339" s="219"/>
    </row>
    <row r="340">
      <c r="A340" s="244"/>
      <c r="B340" s="219"/>
      <c r="C340" s="219"/>
      <c r="D340" s="219"/>
      <c r="E340" s="213"/>
      <c r="F340" s="213"/>
      <c r="G340" s="213"/>
      <c r="H340" s="213"/>
      <c r="I340" s="219"/>
      <c r="J340" s="219"/>
      <c r="K340" s="219"/>
      <c r="L340" s="219"/>
      <c r="M340" s="219"/>
      <c r="N340" s="219"/>
      <c r="O340" s="219"/>
      <c r="P340" s="219"/>
      <c r="Q340" s="219"/>
      <c r="R340" s="219"/>
      <c r="S340" s="219"/>
      <c r="T340" s="219"/>
      <c r="U340" s="219"/>
      <c r="V340" s="219"/>
      <c r="W340" s="219"/>
      <c r="X340" s="219"/>
      <c r="Y340" s="219"/>
      <c r="Z340" s="219"/>
    </row>
    <row r="341">
      <c r="A341" s="244"/>
      <c r="B341" s="219"/>
      <c r="C341" s="219"/>
      <c r="D341" s="219"/>
      <c r="E341" s="213"/>
      <c r="F341" s="213"/>
      <c r="G341" s="213"/>
      <c r="H341" s="213"/>
      <c r="I341" s="219"/>
      <c r="J341" s="219"/>
      <c r="K341" s="219"/>
      <c r="L341" s="219"/>
      <c r="M341" s="219"/>
      <c r="N341" s="219"/>
      <c r="O341" s="219"/>
      <c r="P341" s="219"/>
      <c r="Q341" s="219"/>
      <c r="R341" s="219"/>
      <c r="S341" s="219"/>
      <c r="T341" s="219"/>
      <c r="U341" s="219"/>
      <c r="V341" s="219"/>
      <c r="W341" s="219"/>
      <c r="X341" s="219"/>
      <c r="Y341" s="219"/>
      <c r="Z341" s="219"/>
    </row>
    <row r="342">
      <c r="A342" s="244"/>
      <c r="B342" s="219"/>
      <c r="C342" s="219"/>
      <c r="D342" s="219"/>
      <c r="E342" s="213"/>
      <c r="F342" s="213"/>
      <c r="G342" s="213"/>
      <c r="H342" s="213"/>
      <c r="I342" s="219"/>
      <c r="J342" s="219"/>
      <c r="K342" s="219"/>
      <c r="L342" s="219"/>
      <c r="M342" s="219"/>
      <c r="N342" s="219"/>
      <c r="O342" s="219"/>
      <c r="P342" s="219"/>
      <c r="Q342" s="219"/>
      <c r="R342" s="219"/>
      <c r="S342" s="219"/>
      <c r="T342" s="219"/>
      <c r="U342" s="219"/>
      <c r="V342" s="219"/>
      <c r="W342" s="219"/>
      <c r="X342" s="219"/>
      <c r="Y342" s="219"/>
      <c r="Z342" s="219"/>
    </row>
    <row r="343">
      <c r="A343" s="244"/>
      <c r="B343" s="219"/>
      <c r="C343" s="219"/>
      <c r="D343" s="219"/>
      <c r="E343" s="213"/>
      <c r="F343" s="213"/>
      <c r="G343" s="213"/>
      <c r="H343" s="213"/>
      <c r="I343" s="219"/>
      <c r="J343" s="219"/>
      <c r="K343" s="219"/>
      <c r="L343" s="219"/>
      <c r="M343" s="219"/>
      <c r="N343" s="219"/>
      <c r="O343" s="219"/>
      <c r="P343" s="219"/>
      <c r="Q343" s="219"/>
      <c r="R343" s="219"/>
      <c r="S343" s="219"/>
      <c r="T343" s="219"/>
      <c r="U343" s="219"/>
      <c r="V343" s="219"/>
      <c r="W343" s="219"/>
      <c r="X343" s="219"/>
      <c r="Y343" s="219"/>
      <c r="Z343" s="219"/>
    </row>
    <row r="344">
      <c r="A344" s="244"/>
      <c r="B344" s="219"/>
      <c r="C344" s="219"/>
      <c r="D344" s="219"/>
      <c r="E344" s="213"/>
      <c r="F344" s="213"/>
      <c r="G344" s="213"/>
      <c r="H344" s="213"/>
      <c r="I344" s="219"/>
      <c r="J344" s="219"/>
      <c r="K344" s="219"/>
      <c r="L344" s="219"/>
      <c r="M344" s="219"/>
      <c r="N344" s="219"/>
      <c r="O344" s="219"/>
      <c r="P344" s="219"/>
      <c r="Q344" s="219"/>
      <c r="R344" s="219"/>
      <c r="S344" s="219"/>
      <c r="T344" s="219"/>
      <c r="U344" s="219"/>
      <c r="V344" s="219"/>
      <c r="W344" s="219"/>
      <c r="X344" s="219"/>
      <c r="Y344" s="219"/>
      <c r="Z344" s="219"/>
    </row>
    <row r="345">
      <c r="A345" s="244"/>
      <c r="B345" s="219"/>
      <c r="C345" s="219"/>
      <c r="D345" s="219"/>
      <c r="E345" s="213"/>
      <c r="F345" s="213"/>
      <c r="G345" s="213"/>
      <c r="H345" s="213"/>
      <c r="I345" s="219"/>
      <c r="J345" s="219"/>
      <c r="K345" s="219"/>
      <c r="L345" s="219"/>
      <c r="M345" s="219"/>
      <c r="N345" s="219"/>
      <c r="O345" s="219"/>
      <c r="P345" s="219"/>
      <c r="Q345" s="219"/>
      <c r="R345" s="219"/>
      <c r="S345" s="219"/>
      <c r="T345" s="219"/>
      <c r="U345" s="219"/>
      <c r="V345" s="219"/>
      <c r="W345" s="219"/>
      <c r="X345" s="219"/>
      <c r="Y345" s="219"/>
      <c r="Z345" s="219"/>
    </row>
    <row r="346">
      <c r="A346" s="244"/>
      <c r="B346" s="219"/>
      <c r="C346" s="219"/>
      <c r="D346" s="219"/>
      <c r="E346" s="213"/>
      <c r="F346" s="213"/>
      <c r="G346" s="213"/>
      <c r="H346" s="213"/>
      <c r="I346" s="219"/>
      <c r="J346" s="219"/>
      <c r="K346" s="219"/>
      <c r="L346" s="219"/>
      <c r="M346" s="219"/>
      <c r="N346" s="219"/>
      <c r="O346" s="219"/>
      <c r="P346" s="219"/>
      <c r="Q346" s="219"/>
      <c r="R346" s="219"/>
      <c r="S346" s="219"/>
      <c r="T346" s="219"/>
      <c r="U346" s="219"/>
      <c r="V346" s="219"/>
      <c r="W346" s="219"/>
      <c r="X346" s="219"/>
      <c r="Y346" s="219"/>
      <c r="Z346" s="219"/>
    </row>
    <row r="347">
      <c r="A347" s="244"/>
      <c r="B347" s="219"/>
      <c r="C347" s="219"/>
      <c r="D347" s="219"/>
      <c r="E347" s="213"/>
      <c r="F347" s="213"/>
      <c r="G347" s="213"/>
      <c r="H347" s="213"/>
      <c r="I347" s="219"/>
      <c r="J347" s="219"/>
      <c r="K347" s="219"/>
      <c r="L347" s="219"/>
      <c r="M347" s="219"/>
      <c r="N347" s="219"/>
      <c r="O347" s="219"/>
      <c r="P347" s="219"/>
      <c r="Q347" s="219"/>
      <c r="R347" s="219"/>
      <c r="S347" s="219"/>
      <c r="T347" s="219"/>
      <c r="U347" s="219"/>
      <c r="V347" s="219"/>
      <c r="W347" s="219"/>
      <c r="X347" s="219"/>
      <c r="Y347" s="219"/>
      <c r="Z347" s="219"/>
    </row>
    <row r="348">
      <c r="A348" s="244"/>
      <c r="B348" s="219"/>
      <c r="C348" s="219"/>
      <c r="D348" s="219"/>
      <c r="E348" s="213"/>
      <c r="F348" s="213"/>
      <c r="G348" s="213"/>
      <c r="H348" s="213"/>
      <c r="I348" s="219"/>
      <c r="J348" s="219"/>
      <c r="K348" s="219"/>
      <c r="L348" s="219"/>
      <c r="M348" s="219"/>
      <c r="N348" s="219"/>
      <c r="O348" s="219"/>
      <c r="P348" s="219"/>
      <c r="Q348" s="219"/>
      <c r="R348" s="219"/>
      <c r="S348" s="219"/>
      <c r="T348" s="219"/>
      <c r="U348" s="219"/>
      <c r="V348" s="219"/>
      <c r="W348" s="219"/>
      <c r="X348" s="219"/>
      <c r="Y348" s="219"/>
      <c r="Z348" s="219"/>
    </row>
    <row r="349">
      <c r="A349" s="244"/>
      <c r="B349" s="219"/>
      <c r="C349" s="219"/>
      <c r="D349" s="219"/>
      <c r="E349" s="213"/>
      <c r="F349" s="213"/>
      <c r="G349" s="213"/>
      <c r="H349" s="213"/>
      <c r="I349" s="219"/>
      <c r="J349" s="219"/>
      <c r="K349" s="219"/>
      <c r="L349" s="219"/>
      <c r="M349" s="219"/>
      <c r="N349" s="219"/>
      <c r="O349" s="219"/>
      <c r="P349" s="219"/>
      <c r="Q349" s="219"/>
      <c r="R349" s="219"/>
      <c r="S349" s="219"/>
      <c r="T349" s="219"/>
      <c r="U349" s="219"/>
      <c r="V349" s="219"/>
      <c r="W349" s="219"/>
      <c r="X349" s="219"/>
      <c r="Y349" s="219"/>
      <c r="Z349" s="219"/>
    </row>
    <row r="350">
      <c r="A350" s="244"/>
      <c r="B350" s="219"/>
      <c r="C350" s="219"/>
      <c r="D350" s="219"/>
      <c r="E350" s="213"/>
      <c r="F350" s="213"/>
      <c r="G350" s="213"/>
      <c r="H350" s="213"/>
      <c r="I350" s="219"/>
      <c r="J350" s="219"/>
      <c r="K350" s="219"/>
      <c r="L350" s="219"/>
      <c r="M350" s="219"/>
      <c r="N350" s="219"/>
      <c r="O350" s="219"/>
      <c r="P350" s="219"/>
      <c r="Q350" s="219"/>
      <c r="R350" s="219"/>
      <c r="S350" s="219"/>
      <c r="T350" s="219"/>
      <c r="U350" s="219"/>
      <c r="V350" s="219"/>
      <c r="W350" s="219"/>
      <c r="X350" s="219"/>
      <c r="Y350" s="219"/>
      <c r="Z350" s="219"/>
    </row>
    <row r="351">
      <c r="A351" s="244"/>
      <c r="B351" s="219"/>
      <c r="C351" s="219"/>
      <c r="D351" s="219"/>
      <c r="E351" s="213"/>
      <c r="F351" s="213"/>
      <c r="G351" s="213"/>
      <c r="H351" s="213"/>
      <c r="I351" s="219"/>
      <c r="J351" s="219"/>
      <c r="K351" s="219"/>
      <c r="L351" s="219"/>
      <c r="M351" s="219"/>
      <c r="N351" s="219"/>
      <c r="O351" s="219"/>
      <c r="P351" s="219"/>
      <c r="Q351" s="219"/>
      <c r="R351" s="219"/>
      <c r="S351" s="219"/>
      <c r="T351" s="219"/>
      <c r="U351" s="219"/>
      <c r="V351" s="219"/>
      <c r="W351" s="219"/>
      <c r="X351" s="219"/>
      <c r="Y351" s="219"/>
      <c r="Z351" s="219"/>
    </row>
    <row r="352">
      <c r="A352" s="244"/>
      <c r="B352" s="219"/>
      <c r="C352" s="219"/>
      <c r="D352" s="219"/>
      <c r="E352" s="213"/>
      <c r="F352" s="213"/>
      <c r="G352" s="213"/>
      <c r="H352" s="213"/>
      <c r="I352" s="219"/>
      <c r="J352" s="219"/>
      <c r="K352" s="219"/>
      <c r="L352" s="219"/>
      <c r="M352" s="219"/>
      <c r="N352" s="219"/>
      <c r="O352" s="219"/>
      <c r="P352" s="219"/>
      <c r="Q352" s="219"/>
      <c r="R352" s="219"/>
      <c r="S352" s="219"/>
      <c r="T352" s="219"/>
      <c r="U352" s="219"/>
      <c r="V352" s="219"/>
      <c r="W352" s="219"/>
      <c r="X352" s="219"/>
      <c r="Y352" s="219"/>
      <c r="Z352" s="219"/>
    </row>
    <row r="353">
      <c r="A353" s="244"/>
      <c r="B353" s="219"/>
      <c r="C353" s="219"/>
      <c r="D353" s="219"/>
      <c r="E353" s="213"/>
      <c r="F353" s="213"/>
      <c r="G353" s="213"/>
      <c r="H353" s="213"/>
      <c r="I353" s="219"/>
      <c r="J353" s="219"/>
      <c r="K353" s="219"/>
      <c r="L353" s="219"/>
      <c r="M353" s="219"/>
      <c r="N353" s="219"/>
      <c r="O353" s="219"/>
      <c r="P353" s="219"/>
      <c r="Q353" s="219"/>
      <c r="R353" s="219"/>
      <c r="S353" s="219"/>
      <c r="T353" s="219"/>
      <c r="U353" s="219"/>
      <c r="V353" s="219"/>
      <c r="W353" s="219"/>
      <c r="X353" s="219"/>
      <c r="Y353" s="219"/>
      <c r="Z353" s="219"/>
    </row>
    <row r="354">
      <c r="A354" s="244"/>
      <c r="B354" s="219"/>
      <c r="C354" s="219"/>
      <c r="D354" s="219"/>
      <c r="E354" s="213"/>
      <c r="F354" s="213"/>
      <c r="G354" s="213"/>
      <c r="H354" s="213"/>
      <c r="I354" s="219"/>
      <c r="J354" s="219"/>
      <c r="K354" s="219"/>
      <c r="L354" s="219"/>
      <c r="M354" s="219"/>
      <c r="N354" s="219"/>
      <c r="O354" s="219"/>
      <c r="P354" s="219"/>
      <c r="Q354" s="219"/>
      <c r="R354" s="219"/>
      <c r="S354" s="219"/>
      <c r="T354" s="219"/>
      <c r="U354" s="219"/>
      <c r="V354" s="219"/>
      <c r="W354" s="219"/>
      <c r="X354" s="219"/>
      <c r="Y354" s="219"/>
      <c r="Z354" s="219"/>
    </row>
    <row r="355">
      <c r="A355" s="244"/>
      <c r="B355" s="219"/>
      <c r="C355" s="219"/>
      <c r="D355" s="219"/>
      <c r="E355" s="213"/>
      <c r="F355" s="213"/>
      <c r="G355" s="213"/>
      <c r="H355" s="213"/>
      <c r="I355" s="219"/>
      <c r="J355" s="219"/>
      <c r="K355" s="219"/>
      <c r="L355" s="219"/>
      <c r="M355" s="219"/>
      <c r="N355" s="219"/>
      <c r="O355" s="219"/>
      <c r="P355" s="219"/>
      <c r="Q355" s="219"/>
      <c r="R355" s="219"/>
      <c r="S355" s="219"/>
      <c r="T355" s="219"/>
      <c r="U355" s="219"/>
      <c r="V355" s="219"/>
      <c r="W355" s="219"/>
      <c r="X355" s="219"/>
      <c r="Y355" s="219"/>
      <c r="Z355" s="219"/>
    </row>
    <row r="356">
      <c r="A356" s="244"/>
      <c r="B356" s="219"/>
      <c r="C356" s="219"/>
      <c r="D356" s="219"/>
      <c r="E356" s="213"/>
      <c r="F356" s="213"/>
      <c r="G356" s="213"/>
      <c r="H356" s="213"/>
      <c r="I356" s="219"/>
      <c r="J356" s="219"/>
      <c r="K356" s="219"/>
      <c r="L356" s="219"/>
      <c r="M356" s="219"/>
      <c r="N356" s="219"/>
      <c r="O356" s="219"/>
      <c r="P356" s="219"/>
      <c r="Q356" s="219"/>
      <c r="R356" s="219"/>
      <c r="S356" s="219"/>
      <c r="T356" s="219"/>
      <c r="U356" s="219"/>
      <c r="V356" s="219"/>
      <c r="W356" s="219"/>
      <c r="X356" s="219"/>
      <c r="Y356" s="219"/>
      <c r="Z356" s="219"/>
    </row>
    <row r="357">
      <c r="A357" s="244"/>
      <c r="B357" s="219"/>
      <c r="C357" s="219"/>
      <c r="D357" s="219"/>
      <c r="E357" s="213"/>
      <c r="F357" s="213"/>
      <c r="G357" s="213"/>
      <c r="H357" s="213"/>
      <c r="I357" s="219"/>
      <c r="J357" s="219"/>
      <c r="K357" s="219"/>
      <c r="L357" s="219"/>
      <c r="M357" s="219"/>
      <c r="N357" s="219"/>
      <c r="O357" s="219"/>
      <c r="P357" s="219"/>
      <c r="Q357" s="219"/>
      <c r="R357" s="219"/>
      <c r="S357" s="219"/>
      <c r="T357" s="219"/>
      <c r="U357" s="219"/>
      <c r="V357" s="219"/>
      <c r="W357" s="219"/>
      <c r="X357" s="219"/>
      <c r="Y357" s="219"/>
      <c r="Z357" s="219"/>
    </row>
    <row r="358">
      <c r="A358" s="244"/>
      <c r="B358" s="219"/>
      <c r="C358" s="219"/>
      <c r="D358" s="219"/>
      <c r="E358" s="213"/>
      <c r="F358" s="213"/>
      <c r="G358" s="213"/>
      <c r="H358" s="213"/>
      <c r="I358" s="219"/>
      <c r="J358" s="219"/>
      <c r="K358" s="219"/>
      <c r="L358" s="219"/>
      <c r="M358" s="219"/>
      <c r="N358" s="219"/>
      <c r="O358" s="219"/>
      <c r="P358" s="219"/>
      <c r="Q358" s="219"/>
      <c r="R358" s="219"/>
      <c r="S358" s="219"/>
      <c r="T358" s="219"/>
      <c r="U358" s="219"/>
      <c r="V358" s="219"/>
      <c r="W358" s="219"/>
      <c r="X358" s="219"/>
      <c r="Y358" s="219"/>
      <c r="Z358" s="219"/>
    </row>
    <row r="359">
      <c r="A359" s="244"/>
      <c r="B359" s="219"/>
      <c r="C359" s="219"/>
      <c r="D359" s="219"/>
      <c r="E359" s="213"/>
      <c r="F359" s="213"/>
      <c r="G359" s="213"/>
      <c r="H359" s="213"/>
      <c r="I359" s="219"/>
      <c r="J359" s="219"/>
      <c r="K359" s="219"/>
      <c r="L359" s="219"/>
      <c r="M359" s="219"/>
      <c r="N359" s="219"/>
      <c r="O359" s="219"/>
      <c r="P359" s="219"/>
      <c r="Q359" s="219"/>
      <c r="R359" s="219"/>
      <c r="S359" s="219"/>
      <c r="T359" s="219"/>
      <c r="U359" s="219"/>
      <c r="V359" s="219"/>
      <c r="W359" s="219"/>
      <c r="X359" s="219"/>
      <c r="Y359" s="219"/>
      <c r="Z359" s="219"/>
    </row>
    <row r="360">
      <c r="A360" s="244"/>
      <c r="B360" s="219"/>
      <c r="C360" s="219"/>
      <c r="D360" s="219"/>
      <c r="E360" s="213"/>
      <c r="F360" s="213"/>
      <c r="G360" s="213"/>
      <c r="H360" s="213"/>
      <c r="I360" s="219"/>
      <c r="J360" s="219"/>
      <c r="K360" s="219"/>
      <c r="L360" s="219"/>
      <c r="M360" s="219"/>
      <c r="N360" s="219"/>
      <c r="O360" s="219"/>
      <c r="P360" s="219"/>
      <c r="Q360" s="219"/>
      <c r="R360" s="219"/>
      <c r="S360" s="219"/>
      <c r="T360" s="219"/>
      <c r="U360" s="219"/>
      <c r="V360" s="219"/>
      <c r="W360" s="219"/>
      <c r="X360" s="219"/>
      <c r="Y360" s="219"/>
      <c r="Z360" s="219"/>
    </row>
    <row r="361">
      <c r="A361" s="244"/>
      <c r="B361" s="219"/>
      <c r="C361" s="219"/>
      <c r="D361" s="219"/>
      <c r="E361" s="213"/>
      <c r="F361" s="213"/>
      <c r="G361" s="213"/>
      <c r="H361" s="213"/>
      <c r="I361" s="219"/>
      <c r="J361" s="219"/>
      <c r="K361" s="219"/>
      <c r="L361" s="219"/>
      <c r="M361" s="219"/>
      <c r="N361" s="219"/>
      <c r="O361" s="219"/>
      <c r="P361" s="219"/>
      <c r="Q361" s="219"/>
      <c r="R361" s="219"/>
      <c r="S361" s="219"/>
      <c r="T361" s="219"/>
      <c r="U361" s="219"/>
      <c r="V361" s="219"/>
      <c r="W361" s="219"/>
      <c r="X361" s="219"/>
      <c r="Y361" s="219"/>
      <c r="Z361" s="219"/>
    </row>
    <row r="362">
      <c r="A362" s="244"/>
      <c r="B362" s="219"/>
      <c r="C362" s="219"/>
      <c r="D362" s="219"/>
      <c r="E362" s="213"/>
      <c r="F362" s="213"/>
      <c r="G362" s="213"/>
      <c r="H362" s="213"/>
      <c r="I362" s="219"/>
      <c r="J362" s="219"/>
      <c r="K362" s="219"/>
      <c r="L362" s="219"/>
      <c r="M362" s="219"/>
      <c r="N362" s="219"/>
      <c r="O362" s="219"/>
      <c r="P362" s="219"/>
      <c r="Q362" s="219"/>
      <c r="R362" s="219"/>
      <c r="S362" s="219"/>
      <c r="T362" s="219"/>
      <c r="U362" s="219"/>
      <c r="V362" s="219"/>
      <c r="W362" s="219"/>
      <c r="X362" s="219"/>
      <c r="Y362" s="219"/>
      <c r="Z362" s="219"/>
    </row>
    <row r="363">
      <c r="A363" s="244"/>
      <c r="B363" s="219"/>
      <c r="C363" s="219"/>
      <c r="D363" s="219"/>
      <c r="E363" s="213"/>
      <c r="F363" s="213"/>
      <c r="G363" s="213"/>
      <c r="H363" s="213"/>
      <c r="I363" s="219"/>
      <c r="J363" s="219"/>
      <c r="K363" s="219"/>
      <c r="L363" s="219"/>
      <c r="M363" s="219"/>
      <c r="N363" s="219"/>
      <c r="O363" s="219"/>
      <c r="P363" s="219"/>
      <c r="Q363" s="219"/>
      <c r="R363" s="219"/>
      <c r="S363" s="219"/>
      <c r="T363" s="219"/>
      <c r="U363" s="219"/>
      <c r="V363" s="219"/>
      <c r="W363" s="219"/>
      <c r="X363" s="219"/>
      <c r="Y363" s="219"/>
      <c r="Z363" s="219"/>
    </row>
    <row r="364">
      <c r="A364" s="244"/>
      <c r="B364" s="219"/>
      <c r="C364" s="219"/>
      <c r="D364" s="219"/>
      <c r="E364" s="213"/>
      <c r="F364" s="213"/>
      <c r="G364" s="213"/>
      <c r="H364" s="213"/>
      <c r="I364" s="219"/>
      <c r="J364" s="219"/>
      <c r="K364" s="219"/>
      <c r="L364" s="219"/>
      <c r="M364" s="219"/>
      <c r="N364" s="219"/>
      <c r="O364" s="219"/>
      <c r="P364" s="219"/>
      <c r="Q364" s="219"/>
      <c r="R364" s="219"/>
      <c r="S364" s="219"/>
      <c r="T364" s="219"/>
      <c r="U364" s="219"/>
      <c r="V364" s="219"/>
      <c r="W364" s="219"/>
      <c r="X364" s="219"/>
      <c r="Y364" s="219"/>
      <c r="Z364" s="219"/>
    </row>
    <row r="365">
      <c r="A365" s="244"/>
      <c r="B365" s="219"/>
      <c r="C365" s="219"/>
      <c r="D365" s="219"/>
      <c r="E365" s="213"/>
      <c r="F365" s="213"/>
      <c r="G365" s="213"/>
      <c r="H365" s="213"/>
      <c r="I365" s="219"/>
      <c r="J365" s="219"/>
      <c r="K365" s="219"/>
      <c r="L365" s="219"/>
      <c r="M365" s="219"/>
      <c r="N365" s="219"/>
      <c r="O365" s="219"/>
      <c r="P365" s="219"/>
      <c r="Q365" s="219"/>
      <c r="R365" s="219"/>
      <c r="S365" s="219"/>
      <c r="T365" s="219"/>
      <c r="U365" s="219"/>
      <c r="V365" s="219"/>
      <c r="W365" s="219"/>
      <c r="X365" s="219"/>
      <c r="Y365" s="219"/>
      <c r="Z365" s="219"/>
    </row>
    <row r="366">
      <c r="A366" s="244"/>
      <c r="B366" s="219"/>
      <c r="C366" s="219"/>
      <c r="D366" s="219"/>
      <c r="E366" s="213"/>
      <c r="F366" s="213"/>
      <c r="G366" s="213"/>
      <c r="H366" s="219"/>
      <c r="I366" s="219"/>
      <c r="J366" s="219"/>
      <c r="K366" s="219"/>
      <c r="L366" s="219"/>
      <c r="M366" s="219"/>
      <c r="N366" s="219"/>
      <c r="O366" s="219"/>
      <c r="P366" s="219"/>
      <c r="Q366" s="219"/>
      <c r="R366" s="219"/>
      <c r="S366" s="219"/>
      <c r="T366" s="219"/>
      <c r="U366" s="219"/>
      <c r="V366" s="219"/>
      <c r="W366" s="219"/>
      <c r="X366" s="219"/>
      <c r="Y366" s="219"/>
      <c r="Z366" s="219"/>
    </row>
    <row r="367">
      <c r="A367" s="244"/>
      <c r="B367" s="219"/>
      <c r="C367" s="219"/>
      <c r="D367" s="219"/>
      <c r="E367" s="213"/>
      <c r="F367" s="213"/>
      <c r="G367" s="213"/>
      <c r="H367" s="219"/>
      <c r="I367" s="219"/>
      <c r="J367" s="219"/>
      <c r="K367" s="219"/>
      <c r="L367" s="219"/>
      <c r="M367" s="219"/>
      <c r="N367" s="219"/>
      <c r="O367" s="219"/>
      <c r="P367" s="219"/>
      <c r="Q367" s="219"/>
      <c r="R367" s="219"/>
      <c r="S367" s="219"/>
      <c r="T367" s="219"/>
      <c r="U367" s="219"/>
      <c r="V367" s="219"/>
      <c r="W367" s="219"/>
      <c r="X367" s="219"/>
      <c r="Y367" s="219"/>
      <c r="Z367" s="219"/>
    </row>
    <row r="368">
      <c r="A368" s="244"/>
      <c r="B368" s="219"/>
      <c r="C368" s="219"/>
      <c r="D368" s="219"/>
      <c r="E368" s="213"/>
      <c r="F368" s="213"/>
      <c r="G368" s="213"/>
      <c r="H368" s="219"/>
      <c r="I368" s="219"/>
      <c r="J368" s="219"/>
      <c r="K368" s="219"/>
      <c r="L368" s="219"/>
      <c r="M368" s="219"/>
      <c r="N368" s="219"/>
      <c r="O368" s="219"/>
      <c r="P368" s="219"/>
      <c r="Q368" s="219"/>
      <c r="R368" s="219"/>
      <c r="S368" s="219"/>
      <c r="T368" s="219"/>
      <c r="U368" s="219"/>
      <c r="V368" s="219"/>
      <c r="W368" s="219"/>
      <c r="X368" s="219"/>
      <c r="Y368" s="219"/>
      <c r="Z368" s="219"/>
    </row>
    <row r="369">
      <c r="A369" s="244"/>
      <c r="B369" s="219"/>
      <c r="C369" s="219"/>
      <c r="D369" s="219"/>
      <c r="E369" s="213"/>
      <c r="F369" s="213"/>
      <c r="G369" s="213"/>
      <c r="H369" s="219"/>
      <c r="I369" s="219"/>
      <c r="J369" s="219"/>
      <c r="K369" s="219"/>
      <c r="L369" s="219"/>
      <c r="M369" s="219"/>
      <c r="N369" s="219"/>
      <c r="O369" s="219"/>
      <c r="P369" s="219"/>
      <c r="Q369" s="219"/>
      <c r="R369" s="219"/>
      <c r="S369" s="219"/>
      <c r="T369" s="219"/>
      <c r="U369" s="219"/>
      <c r="V369" s="219"/>
      <c r="W369" s="219"/>
      <c r="X369" s="219"/>
      <c r="Y369" s="219"/>
      <c r="Z369" s="219"/>
    </row>
    <row r="370">
      <c r="A370" s="244"/>
      <c r="B370" s="219"/>
      <c r="C370" s="219"/>
      <c r="D370" s="219"/>
      <c r="E370" s="213"/>
      <c r="F370" s="213"/>
      <c r="G370" s="213"/>
      <c r="H370" s="219"/>
      <c r="I370" s="219"/>
      <c r="J370" s="219"/>
      <c r="K370" s="219"/>
      <c r="L370" s="219"/>
      <c r="M370" s="219"/>
      <c r="N370" s="219"/>
      <c r="O370" s="219"/>
      <c r="P370" s="219"/>
      <c r="Q370" s="219"/>
      <c r="R370" s="219"/>
      <c r="S370" s="219"/>
      <c r="T370" s="219"/>
      <c r="U370" s="219"/>
      <c r="V370" s="219"/>
      <c r="W370" s="219"/>
      <c r="X370" s="219"/>
      <c r="Y370" s="219"/>
      <c r="Z370" s="219"/>
    </row>
    <row r="371">
      <c r="A371" s="244"/>
      <c r="B371" s="219"/>
      <c r="C371" s="219"/>
      <c r="D371" s="219"/>
      <c r="E371" s="213"/>
      <c r="F371" s="213"/>
      <c r="G371" s="213"/>
      <c r="H371" s="219"/>
      <c r="I371" s="219"/>
      <c r="J371" s="219"/>
      <c r="K371" s="219"/>
      <c r="L371" s="219"/>
      <c r="M371" s="219"/>
      <c r="N371" s="219"/>
      <c r="O371" s="219"/>
      <c r="P371" s="219"/>
      <c r="Q371" s="219"/>
      <c r="R371" s="219"/>
      <c r="S371" s="219"/>
      <c r="T371" s="219"/>
      <c r="U371" s="219"/>
      <c r="V371" s="219"/>
      <c r="W371" s="219"/>
      <c r="X371" s="219"/>
      <c r="Y371" s="219"/>
      <c r="Z371" s="219"/>
    </row>
    <row r="372">
      <c r="A372" s="244"/>
      <c r="B372" s="219"/>
      <c r="C372" s="219"/>
      <c r="D372" s="219"/>
      <c r="E372" s="213"/>
      <c r="F372" s="213"/>
      <c r="G372" s="213"/>
      <c r="H372" s="219"/>
      <c r="I372" s="219"/>
      <c r="J372" s="219"/>
      <c r="K372" s="219"/>
      <c r="L372" s="219"/>
      <c r="M372" s="219"/>
      <c r="N372" s="219"/>
      <c r="O372" s="219"/>
      <c r="P372" s="219"/>
      <c r="Q372" s="219"/>
      <c r="R372" s="219"/>
      <c r="S372" s="219"/>
      <c r="T372" s="219"/>
      <c r="U372" s="219"/>
      <c r="V372" s="219"/>
      <c r="W372" s="219"/>
      <c r="X372" s="219"/>
      <c r="Y372" s="219"/>
      <c r="Z372" s="219"/>
    </row>
    <row r="373">
      <c r="A373" s="244"/>
      <c r="B373" s="219"/>
      <c r="C373" s="219"/>
      <c r="D373" s="219"/>
      <c r="E373" s="213"/>
      <c r="F373" s="213"/>
      <c r="G373" s="213"/>
      <c r="H373" s="219"/>
      <c r="I373" s="219"/>
      <c r="J373" s="219"/>
      <c r="K373" s="219"/>
      <c r="L373" s="219"/>
      <c r="M373" s="219"/>
      <c r="N373" s="219"/>
      <c r="O373" s="219"/>
      <c r="P373" s="219"/>
      <c r="Q373" s="219"/>
      <c r="R373" s="219"/>
      <c r="S373" s="219"/>
      <c r="T373" s="219"/>
      <c r="U373" s="219"/>
      <c r="V373" s="219"/>
      <c r="W373" s="219"/>
      <c r="X373" s="219"/>
      <c r="Y373" s="219"/>
      <c r="Z373" s="219"/>
    </row>
    <row r="374">
      <c r="A374" s="244"/>
      <c r="B374" s="219"/>
      <c r="C374" s="219"/>
      <c r="D374" s="219"/>
      <c r="E374" s="213"/>
      <c r="F374" s="213"/>
      <c r="G374" s="213"/>
      <c r="H374" s="219"/>
      <c r="I374" s="219"/>
      <c r="J374" s="219"/>
      <c r="K374" s="219"/>
      <c r="L374" s="219"/>
      <c r="M374" s="219"/>
      <c r="N374" s="219"/>
      <c r="O374" s="219"/>
      <c r="P374" s="219"/>
      <c r="Q374" s="219"/>
      <c r="R374" s="219"/>
      <c r="S374" s="219"/>
      <c r="T374" s="219"/>
      <c r="U374" s="219"/>
      <c r="V374" s="219"/>
      <c r="W374" s="219"/>
      <c r="X374" s="219"/>
      <c r="Y374" s="219"/>
      <c r="Z374" s="219"/>
    </row>
    <row r="375">
      <c r="A375" s="244"/>
      <c r="B375" s="219"/>
      <c r="C375" s="219"/>
      <c r="D375" s="219"/>
      <c r="E375" s="213"/>
      <c r="F375" s="213"/>
      <c r="G375" s="213"/>
      <c r="H375" s="219"/>
      <c r="I375" s="219"/>
      <c r="J375" s="219"/>
      <c r="K375" s="219"/>
      <c r="L375" s="219"/>
      <c r="M375" s="219"/>
      <c r="N375" s="219"/>
      <c r="O375" s="219"/>
      <c r="P375" s="219"/>
      <c r="Q375" s="219"/>
      <c r="R375" s="219"/>
      <c r="S375" s="219"/>
      <c r="T375" s="219"/>
      <c r="U375" s="219"/>
      <c r="V375" s="219"/>
      <c r="W375" s="219"/>
      <c r="X375" s="219"/>
      <c r="Y375" s="219"/>
      <c r="Z375" s="219"/>
    </row>
    <row r="376">
      <c r="A376" s="244"/>
      <c r="B376" s="219"/>
      <c r="C376" s="219"/>
      <c r="D376" s="219"/>
      <c r="E376" s="213"/>
      <c r="F376" s="213"/>
      <c r="G376" s="213"/>
      <c r="H376" s="219"/>
      <c r="I376" s="219"/>
      <c r="J376" s="219"/>
      <c r="K376" s="219"/>
      <c r="L376" s="219"/>
      <c r="M376" s="219"/>
      <c r="N376" s="219"/>
      <c r="O376" s="219"/>
      <c r="P376" s="219"/>
      <c r="Q376" s="219"/>
      <c r="R376" s="219"/>
      <c r="S376" s="219"/>
      <c r="T376" s="219"/>
      <c r="U376" s="219"/>
      <c r="V376" s="219"/>
      <c r="W376" s="219"/>
      <c r="X376" s="219"/>
      <c r="Y376" s="219"/>
      <c r="Z376" s="219"/>
    </row>
    <row r="377">
      <c r="A377" s="244"/>
      <c r="B377" s="219"/>
      <c r="C377" s="219"/>
      <c r="D377" s="219"/>
      <c r="E377" s="213"/>
      <c r="F377" s="213"/>
      <c r="G377" s="213"/>
      <c r="H377" s="219"/>
      <c r="I377" s="219"/>
      <c r="J377" s="219"/>
      <c r="K377" s="219"/>
      <c r="L377" s="219"/>
      <c r="M377" s="219"/>
      <c r="N377" s="219"/>
      <c r="O377" s="219"/>
      <c r="P377" s="219"/>
      <c r="Q377" s="219"/>
      <c r="R377" s="219"/>
      <c r="S377" s="219"/>
      <c r="T377" s="219"/>
      <c r="U377" s="219"/>
      <c r="V377" s="219"/>
      <c r="W377" s="219"/>
      <c r="X377" s="219"/>
      <c r="Y377" s="219"/>
      <c r="Z377" s="219"/>
    </row>
    <row r="378">
      <c r="A378" s="244"/>
      <c r="B378" s="219"/>
      <c r="C378" s="219"/>
      <c r="D378" s="219"/>
      <c r="E378" s="213"/>
      <c r="F378" s="213"/>
      <c r="G378" s="213"/>
      <c r="H378" s="219"/>
      <c r="I378" s="219"/>
      <c r="J378" s="219"/>
      <c r="K378" s="219"/>
      <c r="L378" s="219"/>
      <c r="M378" s="219"/>
      <c r="N378" s="219"/>
      <c r="O378" s="219"/>
      <c r="P378" s="219"/>
      <c r="Q378" s="219"/>
      <c r="R378" s="219"/>
      <c r="S378" s="219"/>
      <c r="T378" s="219"/>
      <c r="U378" s="219"/>
      <c r="V378" s="219"/>
      <c r="W378" s="219"/>
      <c r="X378" s="219"/>
      <c r="Y378" s="219"/>
      <c r="Z378" s="219"/>
    </row>
    <row r="379">
      <c r="A379" s="244"/>
      <c r="B379" s="219"/>
      <c r="C379" s="219"/>
      <c r="D379" s="219"/>
      <c r="E379" s="213"/>
      <c r="F379" s="213"/>
      <c r="G379" s="213"/>
      <c r="H379" s="219"/>
      <c r="I379" s="219"/>
      <c r="J379" s="219"/>
      <c r="K379" s="219"/>
      <c r="L379" s="219"/>
      <c r="M379" s="219"/>
      <c r="N379" s="219"/>
      <c r="O379" s="219"/>
      <c r="P379" s="219"/>
      <c r="Q379" s="219"/>
      <c r="R379" s="219"/>
      <c r="S379" s="219"/>
      <c r="T379" s="219"/>
      <c r="U379" s="219"/>
      <c r="V379" s="219"/>
      <c r="W379" s="219"/>
      <c r="X379" s="219"/>
      <c r="Y379" s="219"/>
      <c r="Z379" s="219"/>
    </row>
    <row r="380">
      <c r="A380" s="244"/>
      <c r="B380" s="219"/>
      <c r="C380" s="219"/>
      <c r="D380" s="219"/>
      <c r="E380" s="213"/>
      <c r="F380" s="213"/>
      <c r="G380" s="213"/>
      <c r="H380" s="219"/>
      <c r="I380" s="219"/>
      <c r="J380" s="219"/>
      <c r="K380" s="219"/>
      <c r="L380" s="219"/>
      <c r="M380" s="219"/>
      <c r="N380" s="219"/>
      <c r="O380" s="219"/>
      <c r="P380" s="219"/>
      <c r="Q380" s="219"/>
      <c r="R380" s="219"/>
      <c r="S380" s="219"/>
      <c r="T380" s="219"/>
      <c r="U380" s="219"/>
      <c r="V380" s="219"/>
      <c r="W380" s="219"/>
      <c r="X380" s="219"/>
      <c r="Y380" s="219"/>
      <c r="Z380" s="219"/>
    </row>
    <row r="381">
      <c r="A381" s="244"/>
      <c r="B381" s="219"/>
      <c r="C381" s="219"/>
      <c r="D381" s="219"/>
      <c r="E381" s="213"/>
      <c r="F381" s="213"/>
      <c r="G381" s="213"/>
      <c r="H381" s="219"/>
      <c r="I381" s="219"/>
      <c r="J381" s="219"/>
      <c r="K381" s="219"/>
      <c r="L381" s="219"/>
      <c r="M381" s="219"/>
      <c r="N381" s="219"/>
      <c r="O381" s="219"/>
      <c r="P381" s="219"/>
      <c r="Q381" s="219"/>
      <c r="R381" s="219"/>
      <c r="S381" s="219"/>
      <c r="T381" s="219"/>
      <c r="U381" s="219"/>
      <c r="V381" s="219"/>
      <c r="W381" s="219"/>
      <c r="X381" s="219"/>
      <c r="Y381" s="219"/>
      <c r="Z381" s="219"/>
    </row>
    <row r="382">
      <c r="A382" s="244"/>
      <c r="B382" s="219"/>
      <c r="C382" s="219"/>
      <c r="D382" s="219"/>
      <c r="E382" s="213"/>
      <c r="F382" s="213"/>
      <c r="G382" s="213"/>
      <c r="H382" s="219"/>
      <c r="I382" s="219"/>
      <c r="J382" s="219"/>
      <c r="K382" s="219"/>
      <c r="L382" s="219"/>
      <c r="M382" s="219"/>
      <c r="N382" s="219"/>
      <c r="O382" s="219"/>
      <c r="P382" s="219"/>
      <c r="Q382" s="219"/>
      <c r="R382" s="219"/>
      <c r="S382" s="219"/>
      <c r="T382" s="219"/>
      <c r="U382" s="219"/>
      <c r="V382" s="219"/>
      <c r="W382" s="219"/>
      <c r="X382" s="219"/>
      <c r="Y382" s="219"/>
      <c r="Z382" s="219"/>
    </row>
    <row r="383">
      <c r="A383" s="244"/>
      <c r="B383" s="219"/>
      <c r="C383" s="219"/>
      <c r="D383" s="219"/>
      <c r="E383" s="213"/>
      <c r="F383" s="213"/>
      <c r="G383" s="213"/>
      <c r="H383" s="219"/>
      <c r="I383" s="219"/>
      <c r="J383" s="219"/>
      <c r="K383" s="219"/>
      <c r="L383" s="219"/>
      <c r="M383" s="219"/>
      <c r="N383" s="219"/>
      <c r="O383" s="219"/>
      <c r="P383" s="219"/>
      <c r="Q383" s="219"/>
      <c r="R383" s="219"/>
      <c r="S383" s="219"/>
      <c r="T383" s="219"/>
      <c r="U383" s="219"/>
      <c r="V383" s="219"/>
      <c r="W383" s="219"/>
      <c r="X383" s="219"/>
      <c r="Y383" s="219"/>
      <c r="Z383" s="219"/>
    </row>
    <row r="384">
      <c r="A384" s="244"/>
      <c r="B384" s="219"/>
      <c r="C384" s="219"/>
      <c r="D384" s="219"/>
      <c r="E384" s="213"/>
      <c r="F384" s="213"/>
      <c r="G384" s="213"/>
      <c r="H384" s="219"/>
      <c r="I384" s="219"/>
      <c r="J384" s="219"/>
      <c r="K384" s="219"/>
      <c r="L384" s="219"/>
      <c r="M384" s="219"/>
      <c r="N384" s="219"/>
      <c r="O384" s="219"/>
      <c r="P384" s="219"/>
      <c r="Q384" s="219"/>
      <c r="R384" s="219"/>
      <c r="S384" s="219"/>
      <c r="T384" s="219"/>
      <c r="U384" s="219"/>
      <c r="V384" s="219"/>
      <c r="W384" s="219"/>
      <c r="X384" s="219"/>
      <c r="Y384" s="219"/>
      <c r="Z384" s="219"/>
    </row>
    <row r="385">
      <c r="A385" s="244"/>
      <c r="B385" s="219"/>
      <c r="C385" s="219"/>
      <c r="D385" s="219"/>
      <c r="E385" s="213"/>
      <c r="F385" s="213"/>
      <c r="G385" s="213"/>
      <c r="H385" s="219"/>
      <c r="I385" s="219"/>
      <c r="J385" s="219"/>
      <c r="K385" s="219"/>
      <c r="L385" s="219"/>
      <c r="M385" s="219"/>
      <c r="N385" s="219"/>
      <c r="O385" s="219"/>
      <c r="P385" s="219"/>
      <c r="Q385" s="219"/>
      <c r="R385" s="219"/>
      <c r="S385" s="219"/>
      <c r="T385" s="219"/>
      <c r="U385" s="219"/>
      <c r="V385" s="219"/>
      <c r="W385" s="219"/>
      <c r="X385" s="219"/>
      <c r="Y385" s="219"/>
      <c r="Z385" s="219"/>
    </row>
    <row r="386">
      <c r="A386" s="244"/>
      <c r="B386" s="219"/>
      <c r="C386" s="219"/>
      <c r="D386" s="219"/>
      <c r="E386" s="213"/>
      <c r="F386" s="213"/>
      <c r="G386" s="213"/>
      <c r="H386" s="219"/>
      <c r="I386" s="219"/>
      <c r="J386" s="219"/>
      <c r="K386" s="219"/>
      <c r="L386" s="219"/>
      <c r="M386" s="219"/>
      <c r="N386" s="219"/>
      <c r="O386" s="219"/>
      <c r="P386" s="219"/>
      <c r="Q386" s="219"/>
      <c r="R386" s="219"/>
      <c r="S386" s="219"/>
      <c r="T386" s="219"/>
      <c r="U386" s="219"/>
      <c r="V386" s="219"/>
      <c r="W386" s="219"/>
      <c r="X386" s="219"/>
      <c r="Y386" s="219"/>
      <c r="Z386" s="219"/>
    </row>
    <row r="387">
      <c r="A387" s="244"/>
      <c r="B387" s="219"/>
      <c r="C387" s="219"/>
      <c r="D387" s="219"/>
      <c r="E387" s="213"/>
      <c r="F387" s="213"/>
      <c r="G387" s="213"/>
      <c r="H387" s="219"/>
      <c r="I387" s="219"/>
      <c r="J387" s="219"/>
      <c r="K387" s="219"/>
      <c r="L387" s="219"/>
      <c r="M387" s="219"/>
      <c r="N387" s="219"/>
      <c r="O387" s="219"/>
      <c r="P387" s="219"/>
      <c r="Q387" s="219"/>
      <c r="R387" s="219"/>
      <c r="S387" s="219"/>
      <c r="T387" s="219"/>
      <c r="U387" s="219"/>
      <c r="V387" s="219"/>
      <c r="W387" s="219"/>
      <c r="X387" s="219"/>
      <c r="Y387" s="219"/>
      <c r="Z387" s="219"/>
    </row>
    <row r="388">
      <c r="A388" s="244"/>
      <c r="B388" s="219"/>
      <c r="C388" s="219"/>
      <c r="D388" s="219"/>
      <c r="E388" s="213"/>
      <c r="F388" s="213"/>
      <c r="G388" s="213"/>
      <c r="H388" s="219"/>
      <c r="I388" s="219"/>
      <c r="J388" s="219"/>
      <c r="K388" s="219"/>
      <c r="L388" s="219"/>
      <c r="M388" s="219"/>
      <c r="N388" s="219"/>
      <c r="O388" s="219"/>
      <c r="P388" s="219"/>
      <c r="Q388" s="219"/>
      <c r="R388" s="219"/>
      <c r="S388" s="219"/>
      <c r="T388" s="219"/>
      <c r="U388" s="219"/>
      <c r="V388" s="219"/>
      <c r="W388" s="219"/>
      <c r="X388" s="219"/>
      <c r="Y388" s="219"/>
      <c r="Z388" s="219"/>
    </row>
    <row r="389">
      <c r="A389" s="244"/>
      <c r="B389" s="219"/>
      <c r="C389" s="219"/>
      <c r="D389" s="219"/>
      <c r="E389" s="213"/>
      <c r="F389" s="213"/>
      <c r="G389" s="213"/>
      <c r="H389" s="219"/>
      <c r="I389" s="219"/>
      <c r="J389" s="219"/>
      <c r="K389" s="219"/>
      <c r="L389" s="219"/>
      <c r="M389" s="219"/>
      <c r="N389" s="219"/>
      <c r="O389" s="219"/>
      <c r="P389" s="219"/>
      <c r="Q389" s="219"/>
      <c r="R389" s="219"/>
      <c r="S389" s="219"/>
      <c r="T389" s="219"/>
      <c r="U389" s="219"/>
      <c r="V389" s="219"/>
      <c r="W389" s="219"/>
      <c r="X389" s="219"/>
      <c r="Y389" s="219"/>
      <c r="Z389" s="219"/>
    </row>
    <row r="390">
      <c r="A390" s="244"/>
      <c r="B390" s="219"/>
      <c r="C390" s="219"/>
      <c r="D390" s="219"/>
      <c r="E390" s="213"/>
      <c r="F390" s="213"/>
      <c r="G390" s="213"/>
      <c r="H390" s="219"/>
      <c r="I390" s="219"/>
      <c r="J390" s="219"/>
      <c r="K390" s="219"/>
      <c r="L390" s="219"/>
      <c r="M390" s="219"/>
      <c r="N390" s="219"/>
      <c r="O390" s="219"/>
      <c r="P390" s="219"/>
      <c r="Q390" s="219"/>
      <c r="R390" s="219"/>
      <c r="S390" s="219"/>
      <c r="T390" s="219"/>
      <c r="U390" s="219"/>
      <c r="V390" s="219"/>
      <c r="W390" s="219"/>
      <c r="X390" s="219"/>
      <c r="Y390" s="219"/>
      <c r="Z390" s="219"/>
    </row>
    <row r="391">
      <c r="A391" s="244"/>
      <c r="B391" s="219"/>
      <c r="C391" s="219"/>
      <c r="D391" s="219"/>
      <c r="E391" s="213"/>
      <c r="F391" s="213"/>
      <c r="G391" s="213"/>
      <c r="H391" s="219"/>
      <c r="I391" s="219"/>
      <c r="J391" s="219"/>
      <c r="K391" s="219"/>
      <c r="L391" s="219"/>
      <c r="M391" s="219"/>
      <c r="N391" s="219"/>
      <c r="O391" s="219"/>
      <c r="P391" s="219"/>
      <c r="Q391" s="219"/>
      <c r="R391" s="219"/>
      <c r="S391" s="219"/>
      <c r="T391" s="219"/>
      <c r="U391" s="219"/>
      <c r="V391" s="219"/>
      <c r="W391" s="219"/>
      <c r="X391" s="219"/>
      <c r="Y391" s="219"/>
      <c r="Z391" s="219"/>
    </row>
    <row r="392">
      <c r="A392" s="244"/>
      <c r="B392" s="219"/>
      <c r="C392" s="219"/>
      <c r="D392" s="219"/>
      <c r="E392" s="213"/>
      <c r="F392" s="213"/>
      <c r="G392" s="213"/>
      <c r="H392" s="219"/>
      <c r="I392" s="219"/>
      <c r="J392" s="219"/>
      <c r="K392" s="219"/>
      <c r="L392" s="219"/>
      <c r="M392" s="219"/>
      <c r="N392" s="219"/>
      <c r="O392" s="219"/>
      <c r="P392" s="219"/>
      <c r="Q392" s="219"/>
      <c r="R392" s="219"/>
      <c r="S392" s="219"/>
      <c r="T392" s="219"/>
      <c r="U392" s="219"/>
      <c r="V392" s="219"/>
      <c r="W392" s="219"/>
      <c r="X392" s="219"/>
      <c r="Y392" s="219"/>
      <c r="Z392" s="219"/>
    </row>
    <row r="393">
      <c r="A393" s="244"/>
      <c r="B393" s="219"/>
      <c r="C393" s="219"/>
      <c r="D393" s="219"/>
      <c r="E393" s="213"/>
      <c r="F393" s="213"/>
      <c r="G393" s="213"/>
      <c r="H393" s="219"/>
      <c r="I393" s="219"/>
      <c r="J393" s="219"/>
      <c r="K393" s="219"/>
      <c r="L393" s="219"/>
      <c r="M393" s="219"/>
      <c r="N393" s="219"/>
      <c r="O393" s="219"/>
      <c r="P393" s="219"/>
      <c r="Q393" s="219"/>
      <c r="R393" s="219"/>
      <c r="S393" s="219"/>
      <c r="T393" s="219"/>
      <c r="U393" s="219"/>
      <c r="V393" s="219"/>
      <c r="W393" s="219"/>
      <c r="X393" s="219"/>
      <c r="Y393" s="219"/>
      <c r="Z393" s="219"/>
    </row>
    <row r="394">
      <c r="A394" s="244"/>
      <c r="B394" s="219"/>
      <c r="C394" s="219"/>
      <c r="D394" s="219"/>
      <c r="E394" s="213"/>
      <c r="F394" s="213"/>
      <c r="G394" s="213"/>
      <c r="H394" s="219"/>
      <c r="I394" s="219"/>
      <c r="J394" s="219"/>
      <c r="K394" s="219"/>
      <c r="L394" s="219"/>
      <c r="M394" s="219"/>
      <c r="N394" s="219"/>
      <c r="O394" s="219"/>
      <c r="P394" s="219"/>
      <c r="Q394" s="219"/>
      <c r="R394" s="219"/>
      <c r="S394" s="219"/>
      <c r="T394" s="219"/>
      <c r="U394" s="219"/>
      <c r="V394" s="219"/>
      <c r="W394" s="219"/>
      <c r="X394" s="219"/>
      <c r="Y394" s="219"/>
      <c r="Z394" s="219"/>
    </row>
    <row r="395">
      <c r="A395" s="244"/>
      <c r="B395" s="219"/>
      <c r="C395" s="219"/>
      <c r="D395" s="219"/>
      <c r="E395" s="213"/>
      <c r="F395" s="213"/>
      <c r="G395" s="213"/>
      <c r="H395" s="219"/>
      <c r="I395" s="219"/>
      <c r="J395" s="219"/>
      <c r="K395" s="219"/>
      <c r="L395" s="219"/>
      <c r="M395" s="219"/>
      <c r="N395" s="219"/>
      <c r="O395" s="219"/>
      <c r="P395" s="219"/>
      <c r="Q395" s="219"/>
      <c r="R395" s="219"/>
      <c r="S395" s="219"/>
      <c r="T395" s="219"/>
      <c r="U395" s="219"/>
      <c r="V395" s="219"/>
      <c r="W395" s="219"/>
      <c r="X395" s="219"/>
      <c r="Y395" s="219"/>
      <c r="Z395" s="219"/>
    </row>
    <row r="396">
      <c r="A396" s="244"/>
      <c r="B396" s="219"/>
      <c r="C396" s="219"/>
      <c r="D396" s="219"/>
      <c r="E396" s="213"/>
      <c r="F396" s="213"/>
      <c r="G396" s="213"/>
      <c r="H396" s="219"/>
      <c r="I396" s="219"/>
      <c r="J396" s="219"/>
      <c r="K396" s="219"/>
      <c r="L396" s="219"/>
      <c r="M396" s="219"/>
      <c r="N396" s="219"/>
      <c r="O396" s="219"/>
      <c r="P396" s="219"/>
      <c r="Q396" s="219"/>
      <c r="R396" s="219"/>
      <c r="S396" s="219"/>
      <c r="T396" s="219"/>
      <c r="U396" s="219"/>
      <c r="V396" s="219"/>
      <c r="W396" s="219"/>
      <c r="X396" s="219"/>
      <c r="Y396" s="219"/>
      <c r="Z396" s="219"/>
    </row>
    <row r="397">
      <c r="A397" s="244"/>
      <c r="B397" s="219"/>
      <c r="C397" s="219"/>
      <c r="D397" s="219"/>
      <c r="E397" s="213"/>
      <c r="F397" s="213"/>
      <c r="G397" s="213"/>
      <c r="H397" s="219"/>
      <c r="I397" s="219"/>
      <c r="J397" s="219"/>
      <c r="K397" s="219"/>
      <c r="L397" s="219"/>
      <c r="M397" s="219"/>
      <c r="N397" s="219"/>
      <c r="O397" s="219"/>
      <c r="P397" s="219"/>
      <c r="Q397" s="219"/>
      <c r="R397" s="219"/>
      <c r="S397" s="219"/>
      <c r="T397" s="219"/>
      <c r="U397" s="219"/>
      <c r="V397" s="219"/>
      <c r="W397" s="219"/>
      <c r="X397" s="219"/>
      <c r="Y397" s="219"/>
      <c r="Z397" s="219"/>
    </row>
    <row r="398">
      <c r="A398" s="244"/>
      <c r="B398" s="219"/>
      <c r="C398" s="219"/>
      <c r="D398" s="219"/>
      <c r="E398" s="213"/>
      <c r="F398" s="213"/>
      <c r="G398" s="213"/>
      <c r="H398" s="219"/>
      <c r="I398" s="219"/>
      <c r="J398" s="219"/>
      <c r="K398" s="219"/>
      <c r="L398" s="219"/>
      <c r="M398" s="219"/>
      <c r="N398" s="219"/>
      <c r="O398" s="219"/>
      <c r="P398" s="219"/>
      <c r="Q398" s="219"/>
      <c r="R398" s="219"/>
      <c r="S398" s="219"/>
      <c r="T398" s="219"/>
      <c r="U398" s="219"/>
      <c r="V398" s="219"/>
      <c r="W398" s="219"/>
      <c r="X398" s="219"/>
      <c r="Y398" s="219"/>
      <c r="Z398" s="219"/>
    </row>
    <row r="399">
      <c r="A399" s="244"/>
      <c r="B399" s="219"/>
      <c r="C399" s="219"/>
      <c r="D399" s="219"/>
      <c r="E399" s="213"/>
      <c r="F399" s="213"/>
      <c r="G399" s="213"/>
      <c r="H399" s="219"/>
      <c r="I399" s="219"/>
      <c r="J399" s="219"/>
      <c r="K399" s="219"/>
      <c r="L399" s="219"/>
      <c r="M399" s="219"/>
      <c r="N399" s="219"/>
      <c r="O399" s="219"/>
      <c r="P399" s="219"/>
      <c r="Q399" s="219"/>
      <c r="R399" s="219"/>
      <c r="S399" s="219"/>
      <c r="T399" s="219"/>
      <c r="U399" s="219"/>
      <c r="V399" s="219"/>
      <c r="W399" s="219"/>
      <c r="X399" s="219"/>
      <c r="Y399" s="219"/>
      <c r="Z399" s="219"/>
    </row>
    <row r="400">
      <c r="A400" s="244"/>
      <c r="B400" s="219"/>
      <c r="C400" s="219"/>
      <c r="D400" s="219"/>
      <c r="E400" s="213"/>
      <c r="F400" s="213"/>
      <c r="G400" s="213"/>
      <c r="H400" s="219"/>
      <c r="I400" s="219"/>
      <c r="J400" s="219"/>
      <c r="K400" s="219"/>
      <c r="L400" s="219"/>
      <c r="M400" s="219"/>
      <c r="N400" s="219"/>
      <c r="O400" s="219"/>
      <c r="P400" s="219"/>
      <c r="Q400" s="219"/>
      <c r="R400" s="219"/>
      <c r="S400" s="219"/>
      <c r="T400" s="219"/>
      <c r="U400" s="219"/>
      <c r="V400" s="219"/>
      <c r="W400" s="219"/>
      <c r="X400" s="219"/>
      <c r="Y400" s="219"/>
      <c r="Z400" s="219"/>
    </row>
    <row r="401">
      <c r="A401" s="244"/>
      <c r="B401" s="219"/>
      <c r="C401" s="219"/>
      <c r="D401" s="219"/>
      <c r="E401" s="213"/>
      <c r="F401" s="213"/>
      <c r="G401" s="213"/>
      <c r="H401" s="219"/>
      <c r="I401" s="219"/>
      <c r="J401" s="219"/>
      <c r="K401" s="219"/>
      <c r="L401" s="219"/>
      <c r="M401" s="219"/>
      <c r="N401" s="219"/>
      <c r="O401" s="219"/>
      <c r="P401" s="219"/>
      <c r="Q401" s="219"/>
      <c r="R401" s="219"/>
      <c r="S401" s="219"/>
      <c r="T401" s="219"/>
      <c r="U401" s="219"/>
      <c r="V401" s="219"/>
      <c r="W401" s="219"/>
      <c r="X401" s="219"/>
      <c r="Y401" s="219"/>
      <c r="Z401" s="219"/>
    </row>
    <row r="402">
      <c r="A402" s="244"/>
      <c r="B402" s="219"/>
      <c r="C402" s="219"/>
      <c r="D402" s="219"/>
      <c r="E402" s="213"/>
      <c r="F402" s="213"/>
      <c r="G402" s="213"/>
      <c r="H402" s="219"/>
      <c r="I402" s="219"/>
      <c r="J402" s="219"/>
      <c r="K402" s="219"/>
      <c r="L402" s="219"/>
      <c r="M402" s="219"/>
      <c r="N402" s="219"/>
      <c r="O402" s="219"/>
      <c r="P402" s="219"/>
      <c r="Q402" s="219"/>
      <c r="R402" s="219"/>
      <c r="S402" s="219"/>
      <c r="T402" s="219"/>
      <c r="U402" s="219"/>
      <c r="V402" s="219"/>
      <c r="W402" s="219"/>
      <c r="X402" s="219"/>
      <c r="Y402" s="219"/>
      <c r="Z402" s="219"/>
    </row>
    <row r="403">
      <c r="A403" s="244"/>
      <c r="B403" s="219"/>
      <c r="C403" s="219"/>
      <c r="D403" s="219"/>
      <c r="E403" s="213"/>
      <c r="F403" s="213"/>
      <c r="G403" s="213"/>
      <c r="H403" s="219"/>
      <c r="I403" s="219"/>
      <c r="J403" s="219"/>
      <c r="K403" s="219"/>
      <c r="L403" s="219"/>
      <c r="M403" s="219"/>
      <c r="N403" s="219"/>
      <c r="O403" s="219"/>
      <c r="P403" s="219"/>
      <c r="Q403" s="219"/>
      <c r="R403" s="219"/>
      <c r="S403" s="219"/>
      <c r="T403" s="219"/>
      <c r="U403" s="219"/>
      <c r="V403" s="219"/>
      <c r="W403" s="219"/>
      <c r="X403" s="219"/>
      <c r="Y403" s="219"/>
      <c r="Z403" s="219"/>
    </row>
    <row r="404">
      <c r="A404" s="244"/>
      <c r="B404" s="219"/>
      <c r="C404" s="219"/>
      <c r="D404" s="219"/>
      <c r="E404" s="213"/>
      <c r="F404" s="213"/>
      <c r="G404" s="213"/>
      <c r="H404" s="219"/>
      <c r="I404" s="219"/>
      <c r="J404" s="219"/>
      <c r="K404" s="219"/>
      <c r="L404" s="219"/>
      <c r="M404" s="219"/>
      <c r="N404" s="219"/>
      <c r="O404" s="219"/>
      <c r="P404" s="219"/>
      <c r="Q404" s="219"/>
      <c r="R404" s="219"/>
      <c r="S404" s="219"/>
      <c r="T404" s="219"/>
      <c r="U404" s="219"/>
      <c r="V404" s="219"/>
      <c r="W404" s="219"/>
      <c r="X404" s="219"/>
      <c r="Y404" s="219"/>
      <c r="Z404" s="219"/>
    </row>
    <row r="405">
      <c r="A405" s="244"/>
      <c r="B405" s="219"/>
      <c r="C405" s="219"/>
      <c r="D405" s="219"/>
      <c r="E405" s="213"/>
      <c r="F405" s="213"/>
      <c r="G405" s="213"/>
      <c r="H405" s="219"/>
      <c r="I405" s="219"/>
      <c r="J405" s="219"/>
      <c r="K405" s="219"/>
      <c r="L405" s="219"/>
      <c r="M405" s="219"/>
      <c r="N405" s="219"/>
      <c r="O405" s="219"/>
      <c r="P405" s="219"/>
      <c r="Q405" s="219"/>
      <c r="R405" s="219"/>
      <c r="S405" s="219"/>
      <c r="T405" s="219"/>
      <c r="U405" s="219"/>
      <c r="V405" s="219"/>
      <c r="W405" s="219"/>
      <c r="X405" s="219"/>
      <c r="Y405" s="219"/>
      <c r="Z405" s="219"/>
    </row>
    <row r="406">
      <c r="A406" s="244"/>
      <c r="B406" s="219"/>
      <c r="C406" s="219"/>
      <c r="D406" s="219"/>
      <c r="E406" s="213"/>
      <c r="F406" s="213"/>
      <c r="G406" s="213"/>
      <c r="H406" s="219"/>
      <c r="I406" s="219"/>
      <c r="J406" s="219"/>
      <c r="K406" s="219"/>
      <c r="L406" s="219"/>
      <c r="M406" s="219"/>
      <c r="N406" s="219"/>
      <c r="O406" s="219"/>
      <c r="P406" s="219"/>
      <c r="Q406" s="219"/>
      <c r="R406" s="219"/>
      <c r="S406" s="219"/>
      <c r="T406" s="219"/>
      <c r="U406" s="219"/>
      <c r="V406" s="219"/>
      <c r="W406" s="219"/>
      <c r="X406" s="219"/>
      <c r="Y406" s="219"/>
      <c r="Z406" s="219"/>
    </row>
    <row r="407">
      <c r="A407" s="244"/>
      <c r="B407" s="219"/>
      <c r="C407" s="219"/>
      <c r="D407" s="219"/>
      <c r="E407" s="213"/>
      <c r="F407" s="213"/>
      <c r="G407" s="213"/>
      <c r="H407" s="219"/>
      <c r="I407" s="219"/>
      <c r="J407" s="219"/>
      <c r="K407" s="219"/>
      <c r="L407" s="219"/>
      <c r="M407" s="219"/>
      <c r="N407" s="219"/>
      <c r="O407" s="219"/>
      <c r="P407" s="219"/>
      <c r="Q407" s="219"/>
      <c r="R407" s="219"/>
      <c r="S407" s="219"/>
      <c r="T407" s="219"/>
      <c r="U407" s="219"/>
      <c r="V407" s="219"/>
      <c r="W407" s="219"/>
      <c r="X407" s="219"/>
      <c r="Y407" s="219"/>
      <c r="Z407" s="219"/>
    </row>
    <row r="408">
      <c r="A408" s="244"/>
      <c r="B408" s="219"/>
      <c r="C408" s="219"/>
      <c r="D408" s="219"/>
      <c r="E408" s="213"/>
      <c r="F408" s="213"/>
      <c r="G408" s="213"/>
      <c r="H408" s="219"/>
      <c r="I408" s="219"/>
      <c r="J408" s="219"/>
      <c r="K408" s="219"/>
      <c r="L408" s="219"/>
      <c r="M408" s="219"/>
      <c r="N408" s="219"/>
      <c r="O408" s="219"/>
      <c r="P408" s="219"/>
      <c r="Q408" s="219"/>
      <c r="R408" s="219"/>
      <c r="S408" s="219"/>
      <c r="T408" s="219"/>
      <c r="U408" s="219"/>
      <c r="V408" s="219"/>
      <c r="W408" s="219"/>
      <c r="X408" s="219"/>
      <c r="Y408" s="219"/>
      <c r="Z408" s="219"/>
    </row>
    <row r="409">
      <c r="A409" s="244"/>
      <c r="B409" s="219"/>
      <c r="C409" s="219"/>
      <c r="D409" s="219"/>
      <c r="E409" s="213"/>
      <c r="F409" s="213"/>
      <c r="G409" s="213"/>
      <c r="H409" s="219"/>
      <c r="I409" s="219"/>
      <c r="J409" s="219"/>
      <c r="K409" s="219"/>
      <c r="L409" s="219"/>
      <c r="M409" s="219"/>
      <c r="N409" s="219"/>
      <c r="O409" s="219"/>
      <c r="P409" s="219"/>
      <c r="Q409" s="219"/>
      <c r="R409" s="219"/>
      <c r="S409" s="219"/>
      <c r="T409" s="219"/>
      <c r="U409" s="219"/>
      <c r="V409" s="219"/>
      <c r="W409" s="219"/>
      <c r="X409" s="219"/>
      <c r="Y409" s="219"/>
      <c r="Z409" s="219"/>
    </row>
    <row r="410">
      <c r="A410" s="244"/>
      <c r="B410" s="219"/>
      <c r="C410" s="219"/>
      <c r="D410" s="219"/>
      <c r="E410" s="213"/>
      <c r="F410" s="213"/>
      <c r="G410" s="213"/>
      <c r="H410" s="219"/>
      <c r="I410" s="219"/>
      <c r="J410" s="219"/>
      <c r="K410" s="219"/>
      <c r="L410" s="219"/>
      <c r="M410" s="219"/>
      <c r="N410" s="219"/>
      <c r="O410" s="219"/>
      <c r="P410" s="219"/>
      <c r="Q410" s="219"/>
      <c r="R410" s="219"/>
      <c r="S410" s="219"/>
      <c r="T410" s="219"/>
      <c r="U410" s="219"/>
      <c r="V410" s="219"/>
      <c r="W410" s="219"/>
      <c r="X410" s="219"/>
      <c r="Y410" s="219"/>
      <c r="Z410" s="219"/>
    </row>
    <row r="411">
      <c r="A411" s="244"/>
      <c r="B411" s="219"/>
      <c r="C411" s="219"/>
      <c r="D411" s="219"/>
      <c r="E411" s="213"/>
      <c r="F411" s="213"/>
      <c r="G411" s="213"/>
      <c r="H411" s="219"/>
      <c r="I411" s="219"/>
      <c r="J411" s="219"/>
      <c r="K411" s="219"/>
      <c r="L411" s="219"/>
      <c r="M411" s="219"/>
      <c r="N411" s="219"/>
      <c r="O411" s="219"/>
      <c r="P411" s="219"/>
      <c r="Q411" s="219"/>
      <c r="R411" s="219"/>
      <c r="S411" s="219"/>
      <c r="T411" s="219"/>
      <c r="U411" s="219"/>
      <c r="V411" s="219"/>
      <c r="W411" s="219"/>
      <c r="X411" s="219"/>
      <c r="Y411" s="219"/>
      <c r="Z411" s="219"/>
    </row>
    <row r="412">
      <c r="A412" s="244"/>
      <c r="B412" s="219"/>
      <c r="C412" s="219"/>
      <c r="D412" s="219"/>
      <c r="E412" s="213"/>
      <c r="F412" s="213"/>
      <c r="G412" s="213"/>
      <c r="H412" s="219"/>
      <c r="I412" s="219"/>
      <c r="J412" s="219"/>
      <c r="K412" s="219"/>
      <c r="L412" s="219"/>
      <c r="M412" s="219"/>
      <c r="N412" s="219"/>
      <c r="O412" s="219"/>
      <c r="P412" s="219"/>
      <c r="Q412" s="219"/>
      <c r="R412" s="219"/>
      <c r="S412" s="219"/>
      <c r="T412" s="219"/>
      <c r="U412" s="219"/>
      <c r="V412" s="219"/>
      <c r="W412" s="219"/>
      <c r="X412" s="219"/>
      <c r="Y412" s="219"/>
      <c r="Z412" s="219"/>
    </row>
    <row r="413">
      <c r="A413" s="244"/>
      <c r="B413" s="219"/>
      <c r="C413" s="219"/>
      <c r="D413" s="219"/>
      <c r="E413" s="213"/>
      <c r="F413" s="213"/>
      <c r="G413" s="213"/>
      <c r="H413" s="219"/>
      <c r="I413" s="219"/>
      <c r="J413" s="219"/>
      <c r="K413" s="219"/>
      <c r="L413" s="219"/>
      <c r="M413" s="219"/>
      <c r="N413" s="219"/>
      <c r="O413" s="219"/>
      <c r="P413" s="219"/>
      <c r="Q413" s="219"/>
      <c r="R413" s="219"/>
      <c r="S413" s="219"/>
      <c r="T413" s="219"/>
      <c r="U413" s="219"/>
      <c r="V413" s="219"/>
      <c r="W413" s="219"/>
      <c r="X413" s="219"/>
      <c r="Y413" s="219"/>
      <c r="Z413" s="219"/>
    </row>
    <row r="414">
      <c r="A414" s="244"/>
      <c r="B414" s="219"/>
      <c r="C414" s="219"/>
      <c r="D414" s="219"/>
      <c r="E414" s="213"/>
      <c r="F414" s="213"/>
      <c r="G414" s="213"/>
      <c r="H414" s="219"/>
      <c r="I414" s="219"/>
      <c r="J414" s="219"/>
      <c r="K414" s="219"/>
      <c r="L414" s="219"/>
      <c r="M414" s="219"/>
      <c r="N414" s="219"/>
      <c r="O414" s="219"/>
      <c r="P414" s="219"/>
      <c r="Q414" s="219"/>
      <c r="R414" s="219"/>
      <c r="S414" s="219"/>
      <c r="T414" s="219"/>
      <c r="U414" s="219"/>
      <c r="V414" s="219"/>
      <c r="W414" s="219"/>
      <c r="X414" s="219"/>
      <c r="Y414" s="219"/>
      <c r="Z414" s="219"/>
    </row>
    <row r="415">
      <c r="A415" s="244"/>
      <c r="B415" s="219"/>
      <c r="C415" s="219"/>
      <c r="D415" s="219"/>
      <c r="E415" s="213"/>
      <c r="F415" s="213"/>
      <c r="G415" s="213"/>
      <c r="H415" s="219"/>
      <c r="I415" s="219"/>
      <c r="J415" s="219"/>
      <c r="K415" s="219"/>
      <c r="L415" s="219"/>
      <c r="M415" s="219"/>
      <c r="N415" s="219"/>
      <c r="O415" s="219"/>
      <c r="P415" s="219"/>
      <c r="Q415" s="219"/>
      <c r="R415" s="219"/>
      <c r="S415" s="219"/>
      <c r="T415" s="219"/>
      <c r="U415" s="219"/>
      <c r="V415" s="219"/>
      <c r="W415" s="219"/>
      <c r="X415" s="219"/>
      <c r="Y415" s="219"/>
      <c r="Z415" s="219"/>
    </row>
    <row r="416">
      <c r="A416" s="244"/>
      <c r="B416" s="219"/>
      <c r="C416" s="219"/>
      <c r="D416" s="219"/>
      <c r="E416" s="213"/>
      <c r="F416" s="213"/>
      <c r="G416" s="213"/>
      <c r="H416" s="219"/>
      <c r="I416" s="219"/>
      <c r="J416" s="219"/>
      <c r="K416" s="219"/>
      <c r="L416" s="219"/>
      <c r="M416" s="219"/>
      <c r="N416" s="219"/>
      <c r="O416" s="219"/>
      <c r="P416" s="219"/>
      <c r="Q416" s="219"/>
      <c r="R416" s="219"/>
      <c r="S416" s="219"/>
      <c r="T416" s="219"/>
      <c r="U416" s="219"/>
      <c r="V416" s="219"/>
      <c r="W416" s="219"/>
      <c r="X416" s="219"/>
      <c r="Y416" s="219"/>
      <c r="Z416" s="219"/>
    </row>
    <row r="417">
      <c r="A417" s="244"/>
      <c r="B417" s="219"/>
      <c r="C417" s="219"/>
      <c r="D417" s="219"/>
      <c r="E417" s="213"/>
      <c r="F417" s="213"/>
      <c r="G417" s="213"/>
      <c r="H417" s="219"/>
      <c r="I417" s="219"/>
      <c r="J417" s="219"/>
      <c r="K417" s="219"/>
      <c r="L417" s="219"/>
      <c r="M417" s="219"/>
      <c r="N417" s="219"/>
      <c r="O417" s="219"/>
      <c r="P417" s="219"/>
      <c r="Q417" s="219"/>
      <c r="R417" s="219"/>
      <c r="S417" s="219"/>
      <c r="T417" s="219"/>
      <c r="U417" s="219"/>
      <c r="V417" s="219"/>
      <c r="W417" s="219"/>
      <c r="X417" s="219"/>
      <c r="Y417" s="219"/>
      <c r="Z417" s="219"/>
    </row>
    <row r="418">
      <c r="A418" s="244"/>
      <c r="B418" s="219"/>
      <c r="C418" s="219"/>
      <c r="D418" s="219"/>
      <c r="E418" s="213"/>
      <c r="F418" s="213"/>
      <c r="G418" s="213"/>
      <c r="H418" s="219"/>
      <c r="I418" s="219"/>
      <c r="J418" s="219"/>
      <c r="K418" s="219"/>
      <c r="L418" s="219"/>
      <c r="M418" s="219"/>
      <c r="N418" s="219"/>
      <c r="O418" s="219"/>
      <c r="P418" s="219"/>
      <c r="Q418" s="219"/>
      <c r="R418" s="219"/>
      <c r="S418" s="219"/>
      <c r="T418" s="219"/>
      <c r="U418" s="219"/>
      <c r="V418" s="219"/>
      <c r="W418" s="219"/>
      <c r="X418" s="219"/>
      <c r="Y418" s="219"/>
      <c r="Z418" s="219"/>
    </row>
    <row r="419">
      <c r="A419" s="244"/>
      <c r="B419" s="219"/>
      <c r="C419" s="219"/>
      <c r="D419" s="219"/>
      <c r="E419" s="213"/>
      <c r="F419" s="213"/>
      <c r="G419" s="213"/>
      <c r="H419" s="219"/>
      <c r="I419" s="219"/>
      <c r="J419" s="219"/>
      <c r="K419" s="219"/>
      <c r="L419" s="219"/>
      <c r="M419" s="219"/>
      <c r="N419" s="219"/>
      <c r="O419" s="219"/>
      <c r="P419" s="219"/>
      <c r="Q419" s="219"/>
      <c r="R419" s="219"/>
      <c r="S419" s="219"/>
      <c r="T419" s="219"/>
      <c r="U419" s="219"/>
      <c r="V419" s="219"/>
      <c r="W419" s="219"/>
      <c r="X419" s="219"/>
      <c r="Y419" s="219"/>
      <c r="Z419" s="219"/>
    </row>
    <row r="420">
      <c r="A420" s="244"/>
      <c r="B420" s="219"/>
      <c r="C420" s="219"/>
      <c r="D420" s="219"/>
      <c r="E420" s="213"/>
      <c r="F420" s="213"/>
      <c r="G420" s="213"/>
      <c r="H420" s="219"/>
      <c r="I420" s="219"/>
      <c r="J420" s="219"/>
      <c r="K420" s="219"/>
      <c r="L420" s="219"/>
      <c r="M420" s="219"/>
      <c r="N420" s="219"/>
      <c r="O420" s="219"/>
      <c r="P420" s="219"/>
      <c r="Q420" s="219"/>
      <c r="R420" s="219"/>
      <c r="S420" s="219"/>
      <c r="T420" s="219"/>
      <c r="U420" s="219"/>
      <c r="V420" s="219"/>
      <c r="W420" s="219"/>
      <c r="X420" s="219"/>
      <c r="Y420" s="219"/>
      <c r="Z420" s="219"/>
    </row>
    <row r="421">
      <c r="A421" s="244"/>
      <c r="B421" s="219"/>
      <c r="C421" s="219"/>
      <c r="D421" s="219"/>
      <c r="E421" s="213"/>
      <c r="F421" s="213"/>
      <c r="G421" s="213"/>
      <c r="H421" s="219"/>
      <c r="I421" s="219"/>
      <c r="J421" s="219"/>
      <c r="K421" s="219"/>
      <c r="L421" s="219"/>
      <c r="M421" s="219"/>
      <c r="N421" s="219"/>
      <c r="O421" s="219"/>
      <c r="P421" s="219"/>
      <c r="Q421" s="219"/>
      <c r="R421" s="219"/>
      <c r="S421" s="219"/>
      <c r="T421" s="219"/>
      <c r="U421" s="219"/>
      <c r="V421" s="219"/>
      <c r="W421" s="219"/>
      <c r="X421" s="219"/>
      <c r="Y421" s="219"/>
      <c r="Z421" s="219"/>
    </row>
    <row r="422">
      <c r="A422" s="244"/>
      <c r="B422" s="219"/>
      <c r="C422" s="219"/>
      <c r="D422" s="219"/>
      <c r="E422" s="213"/>
      <c r="F422" s="213"/>
      <c r="G422" s="213"/>
      <c r="H422" s="219"/>
      <c r="I422" s="219"/>
      <c r="J422" s="219"/>
      <c r="K422" s="219"/>
      <c r="L422" s="219"/>
      <c r="M422" s="219"/>
      <c r="N422" s="219"/>
      <c r="O422" s="219"/>
      <c r="P422" s="219"/>
      <c r="Q422" s="219"/>
      <c r="R422" s="219"/>
      <c r="S422" s="219"/>
      <c r="T422" s="219"/>
      <c r="U422" s="219"/>
      <c r="V422" s="219"/>
      <c r="W422" s="219"/>
      <c r="X422" s="219"/>
      <c r="Y422" s="219"/>
      <c r="Z422" s="219"/>
    </row>
    <row r="423">
      <c r="A423" s="244"/>
      <c r="B423" s="219"/>
      <c r="C423" s="219"/>
      <c r="D423" s="219"/>
      <c r="E423" s="213"/>
      <c r="F423" s="213"/>
      <c r="G423" s="213"/>
      <c r="H423" s="219"/>
      <c r="I423" s="219"/>
      <c r="J423" s="219"/>
      <c r="K423" s="219"/>
      <c r="L423" s="219"/>
      <c r="M423" s="219"/>
      <c r="N423" s="219"/>
      <c r="O423" s="219"/>
      <c r="P423" s="219"/>
      <c r="Q423" s="219"/>
      <c r="R423" s="219"/>
      <c r="S423" s="219"/>
      <c r="T423" s="219"/>
      <c r="U423" s="219"/>
      <c r="V423" s="219"/>
      <c r="W423" s="219"/>
      <c r="X423" s="219"/>
      <c r="Y423" s="219"/>
      <c r="Z423" s="219"/>
    </row>
    <row r="424">
      <c r="A424" s="244"/>
      <c r="B424" s="219"/>
      <c r="C424" s="219"/>
      <c r="D424" s="219"/>
      <c r="E424" s="213"/>
      <c r="F424" s="213"/>
      <c r="G424" s="213"/>
      <c r="H424" s="219"/>
      <c r="I424" s="219"/>
      <c r="J424" s="219"/>
      <c r="K424" s="219"/>
      <c r="L424" s="219"/>
      <c r="M424" s="219"/>
      <c r="N424" s="219"/>
      <c r="O424" s="219"/>
      <c r="P424" s="219"/>
      <c r="Q424" s="219"/>
      <c r="R424" s="219"/>
      <c r="S424" s="219"/>
      <c r="T424" s="219"/>
      <c r="U424" s="219"/>
      <c r="V424" s="219"/>
      <c r="W424" s="219"/>
      <c r="X424" s="219"/>
      <c r="Y424" s="219"/>
      <c r="Z424" s="219"/>
    </row>
    <row r="425">
      <c r="A425" s="244"/>
      <c r="B425" s="219"/>
      <c r="C425" s="219"/>
      <c r="D425" s="219"/>
      <c r="E425" s="213"/>
      <c r="F425" s="213"/>
      <c r="G425" s="213"/>
      <c r="H425" s="219"/>
      <c r="I425" s="219"/>
      <c r="J425" s="219"/>
      <c r="K425" s="219"/>
      <c r="L425" s="219"/>
      <c r="M425" s="219"/>
      <c r="N425" s="219"/>
      <c r="O425" s="219"/>
      <c r="P425" s="219"/>
      <c r="Q425" s="219"/>
      <c r="R425" s="219"/>
      <c r="S425" s="219"/>
      <c r="T425" s="219"/>
      <c r="U425" s="219"/>
      <c r="V425" s="219"/>
      <c r="W425" s="219"/>
      <c r="X425" s="219"/>
      <c r="Y425" s="219"/>
      <c r="Z425" s="219"/>
    </row>
    <row r="426">
      <c r="A426" s="244"/>
      <c r="B426" s="219"/>
      <c r="C426" s="219"/>
      <c r="D426" s="219"/>
      <c r="E426" s="213"/>
      <c r="F426" s="213"/>
      <c r="G426" s="213"/>
      <c r="H426" s="219"/>
      <c r="I426" s="219"/>
      <c r="J426" s="219"/>
      <c r="K426" s="219"/>
      <c r="L426" s="219"/>
      <c r="M426" s="219"/>
      <c r="N426" s="219"/>
      <c r="O426" s="219"/>
      <c r="P426" s="219"/>
      <c r="Q426" s="219"/>
      <c r="R426" s="219"/>
      <c r="S426" s="219"/>
      <c r="T426" s="219"/>
      <c r="U426" s="219"/>
      <c r="V426" s="219"/>
      <c r="W426" s="219"/>
      <c r="X426" s="219"/>
      <c r="Y426" s="219"/>
      <c r="Z426" s="219"/>
    </row>
    <row r="427">
      <c r="A427" s="244"/>
      <c r="B427" s="219"/>
      <c r="C427" s="219"/>
      <c r="D427" s="219"/>
      <c r="E427" s="213"/>
      <c r="F427" s="213"/>
      <c r="G427" s="213"/>
      <c r="H427" s="219"/>
      <c r="I427" s="219"/>
      <c r="J427" s="219"/>
      <c r="K427" s="219"/>
      <c r="L427" s="219"/>
      <c r="M427" s="219"/>
      <c r="N427" s="219"/>
      <c r="O427" s="219"/>
      <c r="P427" s="219"/>
      <c r="Q427" s="219"/>
      <c r="R427" s="219"/>
      <c r="S427" s="219"/>
      <c r="T427" s="219"/>
      <c r="U427" s="219"/>
      <c r="V427" s="219"/>
      <c r="W427" s="219"/>
      <c r="X427" s="219"/>
      <c r="Y427" s="219"/>
      <c r="Z427" s="219"/>
    </row>
    <row r="428">
      <c r="A428" s="244"/>
      <c r="B428" s="219"/>
      <c r="C428" s="219"/>
      <c r="D428" s="219"/>
      <c r="E428" s="213"/>
      <c r="F428" s="213"/>
      <c r="G428" s="213"/>
      <c r="H428" s="219"/>
      <c r="I428" s="219"/>
      <c r="J428" s="219"/>
      <c r="K428" s="219"/>
      <c r="L428" s="219"/>
      <c r="M428" s="219"/>
      <c r="N428" s="219"/>
      <c r="O428" s="219"/>
      <c r="P428" s="219"/>
      <c r="Q428" s="219"/>
      <c r="R428" s="219"/>
      <c r="S428" s="219"/>
      <c r="T428" s="219"/>
      <c r="U428" s="219"/>
      <c r="V428" s="219"/>
      <c r="W428" s="219"/>
      <c r="X428" s="219"/>
      <c r="Y428" s="219"/>
      <c r="Z428" s="219"/>
    </row>
    <row r="429">
      <c r="A429" s="244"/>
      <c r="B429" s="219"/>
      <c r="C429" s="219"/>
      <c r="D429" s="219"/>
      <c r="E429" s="213"/>
      <c r="F429" s="213"/>
      <c r="G429" s="213"/>
      <c r="H429" s="219"/>
      <c r="I429" s="219"/>
      <c r="J429" s="219"/>
      <c r="K429" s="219"/>
      <c r="L429" s="219"/>
      <c r="M429" s="219"/>
      <c r="N429" s="219"/>
      <c r="O429" s="219"/>
      <c r="P429" s="219"/>
      <c r="Q429" s="219"/>
      <c r="R429" s="219"/>
      <c r="S429" s="219"/>
      <c r="T429" s="219"/>
      <c r="U429" s="219"/>
      <c r="V429" s="219"/>
      <c r="W429" s="219"/>
      <c r="X429" s="219"/>
      <c r="Y429" s="219"/>
      <c r="Z429" s="219"/>
    </row>
    <row r="430">
      <c r="A430" s="244"/>
      <c r="B430" s="219"/>
      <c r="C430" s="219"/>
      <c r="D430" s="219"/>
      <c r="E430" s="213"/>
      <c r="F430" s="213"/>
      <c r="G430" s="213"/>
      <c r="H430" s="219"/>
      <c r="I430" s="219"/>
      <c r="J430" s="219"/>
      <c r="K430" s="219"/>
      <c r="L430" s="219"/>
      <c r="M430" s="219"/>
      <c r="N430" s="219"/>
      <c r="O430" s="219"/>
      <c r="P430" s="219"/>
      <c r="Q430" s="219"/>
      <c r="R430" s="219"/>
      <c r="S430" s="219"/>
      <c r="T430" s="219"/>
      <c r="U430" s="219"/>
      <c r="V430" s="219"/>
      <c r="W430" s="219"/>
      <c r="X430" s="219"/>
      <c r="Y430" s="219"/>
      <c r="Z430" s="219"/>
    </row>
    <row r="431">
      <c r="A431" s="244"/>
      <c r="B431" s="219"/>
      <c r="C431" s="219"/>
      <c r="D431" s="219"/>
      <c r="E431" s="213"/>
      <c r="F431" s="213"/>
      <c r="G431" s="213"/>
      <c r="H431" s="219"/>
      <c r="I431" s="219"/>
      <c r="J431" s="219"/>
      <c r="K431" s="219"/>
      <c r="L431" s="219"/>
      <c r="M431" s="219"/>
      <c r="N431" s="219"/>
      <c r="O431" s="219"/>
      <c r="P431" s="219"/>
      <c r="Q431" s="219"/>
      <c r="R431" s="219"/>
      <c r="S431" s="219"/>
      <c r="T431" s="219"/>
      <c r="U431" s="219"/>
      <c r="V431" s="219"/>
      <c r="W431" s="219"/>
      <c r="X431" s="219"/>
      <c r="Y431" s="219"/>
      <c r="Z431" s="219"/>
    </row>
    <row r="432">
      <c r="A432" s="244"/>
      <c r="B432" s="219"/>
      <c r="C432" s="219"/>
      <c r="D432" s="219"/>
      <c r="E432" s="213"/>
      <c r="F432" s="213"/>
      <c r="G432" s="213"/>
      <c r="H432" s="219"/>
      <c r="I432" s="219"/>
      <c r="J432" s="219"/>
      <c r="K432" s="219"/>
      <c r="L432" s="219"/>
      <c r="M432" s="219"/>
      <c r="N432" s="219"/>
      <c r="O432" s="219"/>
      <c r="P432" s="219"/>
      <c r="Q432" s="219"/>
      <c r="R432" s="219"/>
      <c r="S432" s="219"/>
      <c r="T432" s="219"/>
      <c r="U432" s="219"/>
      <c r="V432" s="219"/>
      <c r="W432" s="219"/>
      <c r="X432" s="219"/>
      <c r="Y432" s="219"/>
      <c r="Z432" s="219"/>
    </row>
    <row r="433">
      <c r="A433" s="244"/>
      <c r="B433" s="219"/>
      <c r="C433" s="219"/>
      <c r="D433" s="219"/>
      <c r="E433" s="213"/>
      <c r="F433" s="213"/>
      <c r="G433" s="213"/>
      <c r="H433" s="219"/>
      <c r="I433" s="219"/>
      <c r="J433" s="219"/>
      <c r="K433" s="219"/>
      <c r="L433" s="219"/>
      <c r="M433" s="219"/>
      <c r="N433" s="219"/>
      <c r="O433" s="219"/>
      <c r="P433" s="219"/>
      <c r="Q433" s="219"/>
      <c r="R433" s="219"/>
      <c r="S433" s="219"/>
      <c r="T433" s="219"/>
      <c r="U433" s="219"/>
      <c r="V433" s="219"/>
      <c r="W433" s="219"/>
      <c r="X433" s="219"/>
      <c r="Y433" s="219"/>
      <c r="Z433" s="219"/>
    </row>
    <row r="434">
      <c r="A434" s="244"/>
      <c r="B434" s="219"/>
      <c r="C434" s="219"/>
      <c r="D434" s="219"/>
      <c r="E434" s="213"/>
      <c r="F434" s="213"/>
      <c r="G434" s="213"/>
      <c r="H434" s="219"/>
      <c r="I434" s="219"/>
      <c r="J434" s="219"/>
      <c r="K434" s="219"/>
      <c r="L434" s="219"/>
      <c r="M434" s="219"/>
      <c r="N434" s="219"/>
      <c r="O434" s="219"/>
      <c r="P434" s="219"/>
      <c r="Q434" s="219"/>
      <c r="R434" s="219"/>
      <c r="S434" s="219"/>
      <c r="T434" s="219"/>
      <c r="U434" s="219"/>
      <c r="V434" s="219"/>
      <c r="W434" s="219"/>
      <c r="X434" s="219"/>
      <c r="Y434" s="219"/>
      <c r="Z434" s="219"/>
    </row>
    <row r="435">
      <c r="A435" s="244"/>
      <c r="B435" s="219"/>
      <c r="C435" s="219"/>
      <c r="D435" s="219"/>
      <c r="E435" s="213"/>
      <c r="F435" s="213"/>
      <c r="G435" s="213"/>
      <c r="H435" s="219"/>
      <c r="I435" s="219"/>
      <c r="J435" s="219"/>
      <c r="K435" s="219"/>
      <c r="L435" s="219"/>
      <c r="M435" s="219"/>
      <c r="N435" s="219"/>
      <c r="O435" s="219"/>
      <c r="P435" s="219"/>
      <c r="Q435" s="219"/>
      <c r="R435" s="219"/>
      <c r="S435" s="219"/>
      <c r="T435" s="219"/>
      <c r="U435" s="219"/>
      <c r="V435" s="219"/>
      <c r="W435" s="219"/>
      <c r="X435" s="219"/>
      <c r="Y435" s="219"/>
      <c r="Z435" s="219"/>
    </row>
    <row r="436">
      <c r="A436" s="244"/>
      <c r="B436" s="219"/>
      <c r="C436" s="219"/>
      <c r="D436" s="219"/>
      <c r="E436" s="213"/>
      <c r="F436" s="213"/>
      <c r="G436" s="213"/>
      <c r="H436" s="219"/>
      <c r="I436" s="219"/>
      <c r="J436" s="219"/>
      <c r="K436" s="219"/>
      <c r="L436" s="219"/>
      <c r="M436" s="219"/>
      <c r="N436" s="219"/>
      <c r="O436" s="219"/>
      <c r="P436" s="219"/>
      <c r="Q436" s="219"/>
      <c r="R436" s="219"/>
      <c r="S436" s="219"/>
      <c r="T436" s="219"/>
      <c r="U436" s="219"/>
      <c r="V436" s="219"/>
      <c r="W436" s="219"/>
      <c r="X436" s="219"/>
      <c r="Y436" s="219"/>
      <c r="Z436" s="219"/>
    </row>
    <row r="437">
      <c r="A437" s="244"/>
      <c r="B437" s="219"/>
      <c r="C437" s="219"/>
      <c r="D437" s="219"/>
      <c r="E437" s="213"/>
      <c r="F437" s="213"/>
      <c r="G437" s="213"/>
      <c r="H437" s="219"/>
      <c r="I437" s="219"/>
      <c r="J437" s="219"/>
      <c r="K437" s="219"/>
      <c r="L437" s="219"/>
      <c r="M437" s="219"/>
      <c r="N437" s="219"/>
      <c r="O437" s="219"/>
      <c r="P437" s="219"/>
      <c r="Q437" s="219"/>
      <c r="R437" s="219"/>
      <c r="S437" s="219"/>
      <c r="T437" s="219"/>
      <c r="U437" s="219"/>
      <c r="V437" s="219"/>
      <c r="W437" s="219"/>
      <c r="X437" s="219"/>
      <c r="Y437" s="219"/>
      <c r="Z437" s="219"/>
    </row>
    <row r="438">
      <c r="A438" s="244"/>
      <c r="B438" s="219"/>
      <c r="C438" s="219"/>
      <c r="D438" s="219"/>
      <c r="E438" s="213"/>
      <c r="F438" s="213"/>
      <c r="G438" s="213"/>
      <c r="H438" s="219"/>
      <c r="I438" s="219"/>
      <c r="J438" s="219"/>
      <c r="K438" s="219"/>
      <c r="L438" s="219"/>
      <c r="M438" s="219"/>
      <c r="N438" s="219"/>
      <c r="O438" s="219"/>
      <c r="P438" s="219"/>
      <c r="Q438" s="219"/>
      <c r="R438" s="219"/>
      <c r="S438" s="219"/>
      <c r="T438" s="219"/>
      <c r="U438" s="219"/>
      <c r="V438" s="219"/>
      <c r="W438" s="219"/>
      <c r="X438" s="219"/>
      <c r="Y438" s="219"/>
      <c r="Z438" s="219"/>
    </row>
    <row r="439">
      <c r="A439" s="244"/>
      <c r="B439" s="219"/>
      <c r="C439" s="219"/>
      <c r="D439" s="219"/>
      <c r="E439" s="213"/>
      <c r="F439" s="213"/>
      <c r="G439" s="213"/>
      <c r="H439" s="219"/>
      <c r="I439" s="219"/>
      <c r="J439" s="219"/>
      <c r="K439" s="219"/>
      <c r="L439" s="219"/>
      <c r="M439" s="219"/>
      <c r="N439" s="219"/>
      <c r="O439" s="219"/>
      <c r="P439" s="219"/>
      <c r="Q439" s="219"/>
      <c r="R439" s="219"/>
      <c r="S439" s="219"/>
      <c r="T439" s="219"/>
      <c r="U439" s="219"/>
      <c r="V439" s="219"/>
      <c r="W439" s="219"/>
      <c r="X439" s="219"/>
      <c r="Y439" s="219"/>
      <c r="Z439" s="219"/>
    </row>
    <row r="440">
      <c r="A440" s="244"/>
      <c r="B440" s="219"/>
      <c r="C440" s="219"/>
      <c r="D440" s="219"/>
      <c r="E440" s="213"/>
      <c r="F440" s="213"/>
      <c r="G440" s="213"/>
      <c r="H440" s="219"/>
      <c r="I440" s="219"/>
      <c r="J440" s="219"/>
      <c r="K440" s="219"/>
      <c r="L440" s="219"/>
      <c r="M440" s="219"/>
      <c r="N440" s="219"/>
      <c r="O440" s="219"/>
      <c r="P440" s="219"/>
      <c r="Q440" s="219"/>
      <c r="R440" s="219"/>
      <c r="S440" s="219"/>
      <c r="T440" s="219"/>
      <c r="U440" s="219"/>
      <c r="V440" s="219"/>
      <c r="W440" s="219"/>
      <c r="X440" s="219"/>
      <c r="Y440" s="219"/>
      <c r="Z440" s="219"/>
    </row>
    <row r="441">
      <c r="A441" s="244"/>
      <c r="B441" s="219"/>
      <c r="C441" s="219"/>
      <c r="D441" s="219"/>
      <c r="E441" s="213"/>
      <c r="F441" s="213"/>
      <c r="G441" s="213"/>
      <c r="H441" s="219"/>
      <c r="I441" s="219"/>
      <c r="J441" s="219"/>
      <c r="K441" s="219"/>
      <c r="L441" s="219"/>
      <c r="M441" s="219"/>
      <c r="N441" s="219"/>
      <c r="O441" s="219"/>
      <c r="P441" s="219"/>
      <c r="Q441" s="219"/>
      <c r="R441" s="219"/>
      <c r="S441" s="219"/>
      <c r="T441" s="219"/>
      <c r="U441" s="219"/>
      <c r="V441" s="219"/>
      <c r="W441" s="219"/>
      <c r="X441" s="219"/>
      <c r="Y441" s="219"/>
      <c r="Z441" s="219"/>
    </row>
    <row r="442">
      <c r="A442" s="244"/>
      <c r="B442" s="219"/>
      <c r="C442" s="219"/>
      <c r="D442" s="219"/>
      <c r="E442" s="213"/>
      <c r="F442" s="213"/>
      <c r="G442" s="213"/>
      <c r="H442" s="219"/>
      <c r="I442" s="219"/>
      <c r="J442" s="219"/>
      <c r="K442" s="219"/>
      <c r="L442" s="219"/>
      <c r="M442" s="219"/>
      <c r="N442" s="219"/>
      <c r="O442" s="219"/>
      <c r="P442" s="219"/>
      <c r="Q442" s="219"/>
      <c r="R442" s="219"/>
      <c r="S442" s="219"/>
      <c r="T442" s="219"/>
      <c r="U442" s="219"/>
      <c r="V442" s="219"/>
      <c r="W442" s="219"/>
      <c r="X442" s="219"/>
      <c r="Y442" s="219"/>
      <c r="Z442" s="219"/>
    </row>
    <row r="443">
      <c r="A443" s="244"/>
      <c r="B443" s="219"/>
      <c r="C443" s="219"/>
      <c r="D443" s="219"/>
      <c r="E443" s="213"/>
      <c r="F443" s="213"/>
      <c r="G443" s="213"/>
      <c r="H443" s="219"/>
      <c r="I443" s="219"/>
      <c r="J443" s="219"/>
      <c r="K443" s="219"/>
      <c r="L443" s="219"/>
      <c r="M443" s="219"/>
      <c r="N443" s="219"/>
      <c r="O443" s="219"/>
      <c r="P443" s="219"/>
      <c r="Q443" s="219"/>
      <c r="R443" s="219"/>
      <c r="S443" s="219"/>
      <c r="T443" s="219"/>
      <c r="U443" s="219"/>
      <c r="V443" s="219"/>
      <c r="W443" s="219"/>
      <c r="X443" s="219"/>
      <c r="Y443" s="219"/>
      <c r="Z443" s="219"/>
    </row>
    <row r="444">
      <c r="A444" s="244"/>
      <c r="B444" s="219"/>
      <c r="C444" s="219"/>
      <c r="D444" s="219"/>
      <c r="E444" s="213"/>
      <c r="F444" s="213"/>
      <c r="G444" s="213"/>
      <c r="H444" s="219"/>
      <c r="I444" s="219"/>
      <c r="J444" s="219"/>
      <c r="K444" s="219"/>
      <c r="L444" s="219"/>
      <c r="M444" s="219"/>
      <c r="N444" s="219"/>
      <c r="O444" s="219"/>
      <c r="P444" s="219"/>
      <c r="Q444" s="219"/>
      <c r="R444" s="219"/>
      <c r="S444" s="219"/>
      <c r="T444" s="219"/>
      <c r="U444" s="219"/>
      <c r="V444" s="219"/>
      <c r="W444" s="219"/>
      <c r="X444" s="219"/>
      <c r="Y444" s="219"/>
      <c r="Z444" s="219"/>
    </row>
    <row r="445">
      <c r="A445" s="244"/>
      <c r="B445" s="219"/>
      <c r="C445" s="219"/>
      <c r="D445" s="219"/>
      <c r="E445" s="213"/>
      <c r="F445" s="213"/>
      <c r="G445" s="213"/>
      <c r="H445" s="219"/>
      <c r="I445" s="219"/>
      <c r="J445" s="219"/>
      <c r="K445" s="219"/>
      <c r="L445" s="219"/>
      <c r="M445" s="219"/>
      <c r="N445" s="219"/>
      <c r="O445" s="219"/>
      <c r="P445" s="219"/>
      <c r="Q445" s="219"/>
      <c r="R445" s="219"/>
      <c r="S445" s="219"/>
      <c r="T445" s="219"/>
      <c r="U445" s="219"/>
      <c r="V445" s="219"/>
      <c r="W445" s="219"/>
      <c r="X445" s="219"/>
      <c r="Y445" s="219"/>
      <c r="Z445" s="219"/>
    </row>
    <row r="446">
      <c r="A446" s="244"/>
      <c r="B446" s="219"/>
      <c r="C446" s="219"/>
      <c r="D446" s="219"/>
      <c r="E446" s="213"/>
      <c r="F446" s="213"/>
      <c r="G446" s="213"/>
      <c r="H446" s="219"/>
      <c r="I446" s="219"/>
      <c r="J446" s="219"/>
      <c r="K446" s="219"/>
      <c r="L446" s="219"/>
      <c r="M446" s="219"/>
      <c r="N446" s="219"/>
      <c r="O446" s="219"/>
      <c r="P446" s="219"/>
      <c r="Q446" s="219"/>
      <c r="R446" s="219"/>
      <c r="S446" s="219"/>
      <c r="T446" s="219"/>
      <c r="U446" s="219"/>
      <c r="V446" s="219"/>
      <c r="W446" s="219"/>
      <c r="X446" s="219"/>
      <c r="Y446" s="219"/>
      <c r="Z446" s="219"/>
    </row>
    <row r="447">
      <c r="A447" s="244"/>
      <c r="B447" s="219"/>
      <c r="C447" s="219"/>
      <c r="D447" s="219"/>
      <c r="E447" s="213"/>
      <c r="F447" s="213"/>
      <c r="G447" s="213"/>
      <c r="H447" s="219"/>
      <c r="I447" s="219"/>
      <c r="J447" s="219"/>
      <c r="K447" s="219"/>
      <c r="L447" s="219"/>
      <c r="M447" s="219"/>
      <c r="N447" s="219"/>
      <c r="O447" s="219"/>
      <c r="P447" s="219"/>
      <c r="Q447" s="219"/>
      <c r="R447" s="219"/>
      <c r="S447" s="219"/>
      <c r="T447" s="219"/>
      <c r="U447" s="219"/>
      <c r="V447" s="219"/>
      <c r="W447" s="219"/>
      <c r="X447" s="219"/>
      <c r="Y447" s="219"/>
      <c r="Z447" s="219"/>
    </row>
    <row r="448">
      <c r="A448" s="244"/>
      <c r="B448" s="219"/>
      <c r="C448" s="219"/>
      <c r="D448" s="219"/>
      <c r="E448" s="213"/>
      <c r="F448" s="213"/>
      <c r="G448" s="213"/>
      <c r="H448" s="219"/>
      <c r="I448" s="219"/>
      <c r="J448" s="219"/>
      <c r="K448" s="219"/>
      <c r="L448" s="219"/>
      <c r="M448" s="219"/>
      <c r="N448" s="219"/>
      <c r="O448" s="219"/>
      <c r="P448" s="219"/>
      <c r="Q448" s="219"/>
      <c r="R448" s="219"/>
      <c r="S448" s="219"/>
      <c r="T448" s="219"/>
      <c r="U448" s="219"/>
      <c r="V448" s="219"/>
      <c r="W448" s="219"/>
      <c r="X448" s="219"/>
      <c r="Y448" s="219"/>
      <c r="Z448" s="219"/>
    </row>
    <row r="449">
      <c r="A449" s="244"/>
      <c r="B449" s="219"/>
      <c r="C449" s="219"/>
      <c r="D449" s="219"/>
      <c r="E449" s="213"/>
      <c r="F449" s="213"/>
      <c r="G449" s="213"/>
      <c r="H449" s="219"/>
      <c r="I449" s="219"/>
      <c r="J449" s="219"/>
      <c r="K449" s="219"/>
      <c r="L449" s="219"/>
      <c r="M449" s="219"/>
      <c r="N449" s="219"/>
      <c r="O449" s="219"/>
      <c r="P449" s="219"/>
      <c r="Q449" s="219"/>
      <c r="R449" s="219"/>
      <c r="S449" s="219"/>
      <c r="T449" s="219"/>
      <c r="U449" s="219"/>
      <c r="V449" s="219"/>
      <c r="W449" s="219"/>
      <c r="X449" s="219"/>
      <c r="Y449" s="219"/>
      <c r="Z449" s="219"/>
    </row>
    <row r="450">
      <c r="A450" s="244"/>
      <c r="B450" s="219"/>
      <c r="C450" s="219"/>
      <c r="D450" s="219"/>
      <c r="E450" s="213"/>
      <c r="F450" s="213"/>
      <c r="G450" s="213"/>
      <c r="H450" s="219"/>
      <c r="I450" s="219"/>
      <c r="J450" s="219"/>
      <c r="K450" s="219"/>
      <c r="L450" s="219"/>
      <c r="M450" s="219"/>
      <c r="N450" s="219"/>
      <c r="O450" s="219"/>
      <c r="P450" s="219"/>
      <c r="Q450" s="219"/>
      <c r="R450" s="219"/>
      <c r="S450" s="219"/>
      <c r="T450" s="219"/>
      <c r="U450" s="219"/>
      <c r="V450" s="219"/>
      <c r="W450" s="219"/>
      <c r="X450" s="219"/>
      <c r="Y450" s="219"/>
      <c r="Z450" s="219"/>
    </row>
    <row r="451">
      <c r="A451" s="244"/>
      <c r="B451" s="219"/>
      <c r="C451" s="219"/>
      <c r="D451" s="219"/>
      <c r="E451" s="213"/>
      <c r="F451" s="213"/>
      <c r="G451" s="213"/>
      <c r="H451" s="219"/>
      <c r="I451" s="219"/>
      <c r="J451" s="219"/>
      <c r="K451" s="219"/>
      <c r="L451" s="219"/>
      <c r="M451" s="219"/>
      <c r="N451" s="219"/>
      <c r="O451" s="219"/>
      <c r="P451" s="219"/>
      <c r="Q451" s="219"/>
      <c r="R451" s="219"/>
      <c r="S451" s="219"/>
      <c r="T451" s="219"/>
      <c r="U451" s="219"/>
      <c r="V451" s="219"/>
      <c r="W451" s="219"/>
      <c r="X451" s="219"/>
      <c r="Y451" s="219"/>
      <c r="Z451" s="219"/>
    </row>
    <row r="452">
      <c r="A452" s="244"/>
      <c r="B452" s="219"/>
      <c r="C452" s="219"/>
      <c r="D452" s="219"/>
      <c r="E452" s="213"/>
      <c r="F452" s="213"/>
      <c r="G452" s="213"/>
      <c r="H452" s="219"/>
      <c r="I452" s="219"/>
      <c r="J452" s="219"/>
      <c r="K452" s="219"/>
      <c r="L452" s="219"/>
      <c r="M452" s="219"/>
      <c r="N452" s="219"/>
      <c r="O452" s="219"/>
      <c r="P452" s="219"/>
      <c r="Q452" s="219"/>
      <c r="R452" s="219"/>
      <c r="S452" s="219"/>
      <c r="T452" s="219"/>
      <c r="U452" s="219"/>
      <c r="V452" s="219"/>
      <c r="W452" s="219"/>
      <c r="X452" s="219"/>
      <c r="Y452" s="219"/>
      <c r="Z452" s="219"/>
    </row>
    <row r="453">
      <c r="A453" s="244"/>
      <c r="B453" s="219"/>
      <c r="C453" s="219"/>
      <c r="D453" s="219"/>
      <c r="E453" s="213"/>
      <c r="F453" s="213"/>
      <c r="G453" s="213"/>
      <c r="H453" s="219"/>
      <c r="I453" s="219"/>
      <c r="J453" s="219"/>
      <c r="K453" s="219"/>
      <c r="L453" s="219"/>
      <c r="M453" s="219"/>
      <c r="N453" s="219"/>
      <c r="O453" s="219"/>
      <c r="P453" s="219"/>
      <c r="Q453" s="219"/>
      <c r="R453" s="219"/>
      <c r="S453" s="219"/>
      <c r="T453" s="219"/>
      <c r="U453" s="219"/>
      <c r="V453" s="219"/>
      <c r="W453" s="219"/>
      <c r="X453" s="219"/>
      <c r="Y453" s="219"/>
      <c r="Z453" s="219"/>
    </row>
    <row r="454">
      <c r="A454" s="244"/>
      <c r="B454" s="219"/>
      <c r="C454" s="219"/>
      <c r="D454" s="219"/>
      <c r="E454" s="213"/>
      <c r="F454" s="213"/>
      <c r="G454" s="213"/>
      <c r="H454" s="219"/>
      <c r="I454" s="219"/>
      <c r="J454" s="219"/>
      <c r="K454" s="219"/>
      <c r="L454" s="219"/>
      <c r="M454" s="219"/>
      <c r="N454" s="219"/>
      <c r="O454" s="219"/>
      <c r="P454" s="219"/>
      <c r="Q454" s="219"/>
      <c r="R454" s="219"/>
      <c r="S454" s="219"/>
      <c r="T454" s="219"/>
      <c r="U454" s="219"/>
      <c r="V454" s="219"/>
      <c r="W454" s="219"/>
      <c r="X454" s="219"/>
      <c r="Y454" s="219"/>
      <c r="Z454" s="219"/>
    </row>
    <row r="455">
      <c r="A455" s="244"/>
      <c r="B455" s="219"/>
      <c r="C455" s="219"/>
      <c r="D455" s="219"/>
      <c r="E455" s="213"/>
      <c r="F455" s="213"/>
      <c r="G455" s="213"/>
      <c r="H455" s="219"/>
      <c r="I455" s="219"/>
      <c r="J455" s="219"/>
      <c r="K455" s="219"/>
      <c r="L455" s="219"/>
      <c r="M455" s="219"/>
      <c r="N455" s="219"/>
      <c r="O455" s="219"/>
      <c r="P455" s="219"/>
      <c r="Q455" s="219"/>
      <c r="R455" s="219"/>
      <c r="S455" s="219"/>
      <c r="T455" s="219"/>
      <c r="U455" s="219"/>
      <c r="V455" s="219"/>
      <c r="W455" s="219"/>
      <c r="X455" s="219"/>
      <c r="Y455" s="219"/>
      <c r="Z455" s="219"/>
    </row>
    <row r="456">
      <c r="A456" s="244"/>
      <c r="B456" s="219"/>
      <c r="C456" s="219"/>
      <c r="D456" s="219"/>
      <c r="E456" s="213"/>
      <c r="F456" s="213"/>
      <c r="G456" s="213"/>
      <c r="H456" s="219"/>
      <c r="I456" s="219"/>
      <c r="J456" s="219"/>
      <c r="K456" s="219"/>
      <c r="L456" s="219"/>
      <c r="M456" s="219"/>
      <c r="N456" s="219"/>
      <c r="O456" s="219"/>
      <c r="P456" s="219"/>
      <c r="Q456" s="219"/>
      <c r="R456" s="219"/>
      <c r="S456" s="219"/>
      <c r="T456" s="219"/>
      <c r="U456" s="219"/>
      <c r="V456" s="219"/>
      <c r="W456" s="219"/>
      <c r="X456" s="219"/>
      <c r="Y456" s="219"/>
      <c r="Z456" s="219"/>
    </row>
    <row r="457">
      <c r="A457" s="244"/>
      <c r="B457" s="219"/>
      <c r="C457" s="219"/>
      <c r="D457" s="219"/>
      <c r="E457" s="213"/>
      <c r="F457" s="213"/>
      <c r="G457" s="213"/>
      <c r="H457" s="219"/>
      <c r="I457" s="219"/>
      <c r="J457" s="219"/>
      <c r="K457" s="219"/>
      <c r="L457" s="219"/>
      <c r="M457" s="219"/>
      <c r="N457" s="219"/>
      <c r="O457" s="219"/>
      <c r="P457" s="219"/>
      <c r="Q457" s="219"/>
      <c r="R457" s="219"/>
      <c r="S457" s="219"/>
      <c r="T457" s="219"/>
      <c r="U457" s="219"/>
      <c r="V457" s="219"/>
      <c r="W457" s="219"/>
      <c r="X457" s="219"/>
      <c r="Y457" s="219"/>
      <c r="Z457" s="219"/>
    </row>
    <row r="458">
      <c r="A458" s="244"/>
      <c r="B458" s="219"/>
      <c r="C458" s="219"/>
      <c r="D458" s="219"/>
      <c r="E458" s="213"/>
      <c r="F458" s="213"/>
      <c r="G458" s="213"/>
      <c r="H458" s="219"/>
      <c r="I458" s="219"/>
      <c r="J458" s="219"/>
      <c r="K458" s="219"/>
      <c r="L458" s="219"/>
      <c r="M458" s="219"/>
      <c r="N458" s="219"/>
      <c r="O458" s="219"/>
      <c r="P458" s="219"/>
      <c r="Q458" s="219"/>
      <c r="R458" s="219"/>
      <c r="S458" s="219"/>
      <c r="T458" s="219"/>
      <c r="U458" s="219"/>
      <c r="V458" s="219"/>
      <c r="W458" s="219"/>
      <c r="X458" s="219"/>
      <c r="Y458" s="219"/>
      <c r="Z458" s="219"/>
    </row>
    <row r="459">
      <c r="A459" s="244"/>
      <c r="B459" s="219"/>
      <c r="C459" s="219"/>
      <c r="D459" s="219"/>
      <c r="E459" s="213"/>
      <c r="F459" s="213"/>
      <c r="G459" s="213"/>
      <c r="H459" s="219"/>
      <c r="I459" s="219"/>
      <c r="J459" s="219"/>
      <c r="K459" s="219"/>
      <c r="L459" s="219"/>
      <c r="M459" s="219"/>
      <c r="N459" s="219"/>
      <c r="O459" s="219"/>
      <c r="P459" s="219"/>
      <c r="Q459" s="219"/>
      <c r="R459" s="219"/>
      <c r="S459" s="219"/>
      <c r="T459" s="219"/>
      <c r="U459" s="219"/>
      <c r="V459" s="219"/>
      <c r="W459" s="219"/>
      <c r="X459" s="219"/>
      <c r="Y459" s="219"/>
      <c r="Z459" s="219"/>
    </row>
    <row r="460">
      <c r="A460" s="244"/>
      <c r="B460" s="219"/>
      <c r="C460" s="219"/>
      <c r="D460" s="219"/>
      <c r="E460" s="213"/>
      <c r="F460" s="213"/>
      <c r="G460" s="213"/>
      <c r="H460" s="219"/>
      <c r="I460" s="219"/>
      <c r="J460" s="219"/>
      <c r="K460" s="219"/>
      <c r="L460" s="219"/>
      <c r="M460" s="219"/>
      <c r="N460" s="219"/>
      <c r="O460" s="219"/>
      <c r="P460" s="219"/>
      <c r="Q460" s="219"/>
      <c r="R460" s="219"/>
      <c r="S460" s="219"/>
      <c r="T460" s="219"/>
      <c r="U460" s="219"/>
      <c r="V460" s="219"/>
      <c r="W460" s="219"/>
      <c r="X460" s="219"/>
      <c r="Y460" s="219"/>
      <c r="Z460" s="219"/>
    </row>
    <row r="461">
      <c r="A461" s="244"/>
      <c r="B461" s="219"/>
      <c r="C461" s="219"/>
      <c r="D461" s="219"/>
      <c r="E461" s="213"/>
      <c r="F461" s="213"/>
      <c r="G461" s="213"/>
      <c r="H461" s="219"/>
      <c r="I461" s="219"/>
      <c r="J461" s="219"/>
      <c r="K461" s="219"/>
      <c r="L461" s="219"/>
      <c r="M461" s="219"/>
      <c r="N461" s="219"/>
      <c r="O461" s="219"/>
      <c r="P461" s="219"/>
      <c r="Q461" s="219"/>
      <c r="R461" s="219"/>
      <c r="S461" s="219"/>
      <c r="T461" s="219"/>
      <c r="U461" s="219"/>
      <c r="V461" s="219"/>
      <c r="W461" s="219"/>
      <c r="X461" s="219"/>
      <c r="Y461" s="219"/>
      <c r="Z461" s="219"/>
    </row>
    <row r="462">
      <c r="A462" s="244"/>
      <c r="B462" s="219"/>
      <c r="C462" s="219"/>
      <c r="D462" s="219"/>
      <c r="E462" s="213"/>
      <c r="F462" s="213"/>
      <c r="G462" s="213"/>
      <c r="H462" s="219"/>
      <c r="I462" s="219"/>
      <c r="J462" s="219"/>
      <c r="K462" s="219"/>
      <c r="L462" s="219"/>
      <c r="M462" s="219"/>
      <c r="N462" s="219"/>
      <c r="O462" s="219"/>
      <c r="P462" s="219"/>
      <c r="Q462" s="219"/>
      <c r="R462" s="219"/>
      <c r="S462" s="219"/>
      <c r="T462" s="219"/>
      <c r="U462" s="219"/>
      <c r="V462" s="219"/>
      <c r="W462" s="219"/>
      <c r="X462" s="219"/>
      <c r="Y462" s="219"/>
      <c r="Z462" s="219"/>
    </row>
    <row r="463">
      <c r="A463" s="244"/>
      <c r="B463" s="219"/>
      <c r="C463" s="219"/>
      <c r="D463" s="219"/>
      <c r="E463" s="213"/>
      <c r="F463" s="213"/>
      <c r="G463" s="213"/>
      <c r="H463" s="219"/>
      <c r="I463" s="219"/>
      <c r="J463" s="219"/>
      <c r="K463" s="219"/>
      <c r="L463" s="219"/>
      <c r="M463" s="219"/>
      <c r="N463" s="219"/>
      <c r="O463" s="219"/>
      <c r="P463" s="219"/>
      <c r="Q463" s="219"/>
      <c r="R463" s="219"/>
      <c r="S463" s="219"/>
      <c r="T463" s="219"/>
      <c r="U463" s="219"/>
      <c r="V463" s="219"/>
      <c r="W463" s="219"/>
      <c r="X463" s="219"/>
      <c r="Y463" s="219"/>
      <c r="Z463" s="219"/>
    </row>
    <row r="464">
      <c r="A464" s="244"/>
      <c r="B464" s="219"/>
      <c r="C464" s="219"/>
      <c r="D464" s="219"/>
      <c r="E464" s="213"/>
      <c r="F464" s="213"/>
      <c r="G464" s="213"/>
      <c r="H464" s="219"/>
      <c r="I464" s="219"/>
      <c r="J464" s="219"/>
      <c r="K464" s="219"/>
      <c r="L464" s="219"/>
      <c r="M464" s="219"/>
      <c r="N464" s="219"/>
      <c r="O464" s="219"/>
      <c r="P464" s="219"/>
      <c r="Q464" s="219"/>
      <c r="R464" s="219"/>
      <c r="S464" s="219"/>
      <c r="T464" s="219"/>
      <c r="U464" s="219"/>
      <c r="V464" s="219"/>
      <c r="W464" s="219"/>
      <c r="X464" s="219"/>
      <c r="Y464" s="219"/>
      <c r="Z464" s="219"/>
    </row>
    <row r="465">
      <c r="A465" s="244"/>
      <c r="B465" s="219"/>
      <c r="C465" s="219"/>
      <c r="D465" s="219"/>
      <c r="E465" s="213"/>
      <c r="F465" s="213"/>
      <c r="G465" s="213"/>
      <c r="H465" s="219"/>
      <c r="I465" s="219"/>
      <c r="J465" s="219"/>
      <c r="K465" s="219"/>
      <c r="L465" s="219"/>
      <c r="M465" s="219"/>
      <c r="N465" s="219"/>
      <c r="O465" s="219"/>
      <c r="P465" s="219"/>
      <c r="Q465" s="219"/>
      <c r="R465" s="219"/>
      <c r="S465" s="219"/>
      <c r="T465" s="219"/>
      <c r="U465" s="219"/>
      <c r="V465" s="219"/>
      <c r="W465" s="219"/>
      <c r="X465" s="219"/>
      <c r="Y465" s="219"/>
      <c r="Z465" s="219"/>
    </row>
    <row r="466">
      <c r="A466" s="244"/>
      <c r="B466" s="219"/>
      <c r="C466" s="219"/>
      <c r="D466" s="219"/>
      <c r="E466" s="213"/>
      <c r="F466" s="213"/>
      <c r="G466" s="213"/>
      <c r="H466" s="219"/>
      <c r="I466" s="219"/>
      <c r="J466" s="219"/>
      <c r="K466" s="219"/>
      <c r="L466" s="219"/>
      <c r="M466" s="219"/>
      <c r="N466" s="219"/>
      <c r="O466" s="219"/>
      <c r="P466" s="219"/>
      <c r="Q466" s="219"/>
      <c r="R466" s="219"/>
      <c r="S466" s="219"/>
      <c r="T466" s="219"/>
      <c r="U466" s="219"/>
      <c r="V466" s="219"/>
      <c r="W466" s="219"/>
      <c r="X466" s="219"/>
      <c r="Y466" s="219"/>
      <c r="Z466" s="219"/>
    </row>
    <row r="467">
      <c r="A467" s="244"/>
      <c r="B467" s="219"/>
      <c r="C467" s="219"/>
      <c r="D467" s="219"/>
      <c r="E467" s="213"/>
      <c r="F467" s="213"/>
      <c r="G467" s="213"/>
      <c r="H467" s="219"/>
      <c r="I467" s="219"/>
      <c r="J467" s="219"/>
      <c r="K467" s="219"/>
      <c r="L467" s="219"/>
      <c r="M467" s="219"/>
      <c r="N467" s="219"/>
      <c r="O467" s="219"/>
      <c r="P467" s="219"/>
      <c r="Q467" s="219"/>
      <c r="R467" s="219"/>
      <c r="S467" s="219"/>
      <c r="T467" s="219"/>
      <c r="U467" s="219"/>
      <c r="V467" s="219"/>
      <c r="W467" s="219"/>
      <c r="X467" s="219"/>
      <c r="Y467" s="219"/>
      <c r="Z467" s="219"/>
    </row>
    <row r="468">
      <c r="A468" s="244"/>
      <c r="B468" s="219"/>
      <c r="C468" s="219"/>
      <c r="D468" s="219"/>
      <c r="E468" s="213"/>
      <c r="F468" s="213"/>
      <c r="G468" s="213"/>
      <c r="H468" s="219"/>
      <c r="I468" s="219"/>
      <c r="J468" s="219"/>
      <c r="K468" s="219"/>
      <c r="L468" s="219"/>
      <c r="M468" s="219"/>
      <c r="N468" s="219"/>
      <c r="O468" s="219"/>
      <c r="P468" s="219"/>
      <c r="Q468" s="219"/>
      <c r="R468" s="219"/>
      <c r="S468" s="219"/>
      <c r="T468" s="219"/>
      <c r="U468" s="219"/>
      <c r="V468" s="219"/>
      <c r="W468" s="219"/>
      <c r="X468" s="219"/>
      <c r="Y468" s="219"/>
      <c r="Z468" s="219"/>
    </row>
    <row r="469">
      <c r="A469" s="244"/>
      <c r="B469" s="219"/>
      <c r="C469" s="219"/>
      <c r="D469" s="219"/>
      <c r="E469" s="213"/>
      <c r="F469" s="213"/>
      <c r="G469" s="213"/>
      <c r="H469" s="219"/>
      <c r="I469" s="219"/>
      <c r="J469" s="219"/>
      <c r="K469" s="219"/>
      <c r="L469" s="219"/>
      <c r="M469" s="219"/>
      <c r="N469" s="219"/>
      <c r="O469" s="219"/>
      <c r="P469" s="219"/>
      <c r="Q469" s="219"/>
      <c r="R469" s="219"/>
      <c r="S469" s="219"/>
      <c r="T469" s="219"/>
      <c r="U469" s="219"/>
      <c r="V469" s="219"/>
      <c r="W469" s="219"/>
      <c r="X469" s="219"/>
      <c r="Y469" s="219"/>
      <c r="Z469" s="219"/>
    </row>
    <row r="470">
      <c r="A470" s="244"/>
      <c r="B470" s="219"/>
      <c r="C470" s="219"/>
      <c r="D470" s="219"/>
      <c r="E470" s="213"/>
      <c r="F470" s="213"/>
      <c r="G470" s="213"/>
      <c r="H470" s="219"/>
      <c r="I470" s="219"/>
      <c r="J470" s="219"/>
      <c r="K470" s="219"/>
      <c r="L470" s="219"/>
      <c r="M470" s="219"/>
      <c r="N470" s="219"/>
      <c r="O470" s="219"/>
      <c r="P470" s="219"/>
      <c r="Q470" s="219"/>
      <c r="R470" s="219"/>
      <c r="S470" s="219"/>
      <c r="T470" s="219"/>
      <c r="U470" s="219"/>
      <c r="V470" s="219"/>
      <c r="W470" s="219"/>
      <c r="X470" s="219"/>
      <c r="Y470" s="219"/>
      <c r="Z470" s="219"/>
    </row>
    <row r="471">
      <c r="A471" s="244"/>
      <c r="B471" s="219"/>
      <c r="C471" s="219"/>
      <c r="D471" s="219"/>
      <c r="E471" s="213"/>
      <c r="F471" s="213"/>
      <c r="G471" s="213"/>
      <c r="H471" s="219"/>
      <c r="I471" s="219"/>
      <c r="J471" s="219"/>
      <c r="K471" s="219"/>
      <c r="L471" s="219"/>
      <c r="M471" s="219"/>
      <c r="N471" s="219"/>
      <c r="O471" s="219"/>
      <c r="P471" s="219"/>
      <c r="Q471" s="219"/>
      <c r="R471" s="219"/>
      <c r="S471" s="219"/>
      <c r="T471" s="219"/>
      <c r="U471" s="219"/>
      <c r="V471" s="219"/>
      <c r="W471" s="219"/>
      <c r="X471" s="219"/>
      <c r="Y471" s="219"/>
      <c r="Z471" s="219"/>
    </row>
    <row r="472">
      <c r="A472" s="244"/>
      <c r="B472" s="219"/>
      <c r="C472" s="219"/>
      <c r="D472" s="219"/>
      <c r="E472" s="213"/>
      <c r="F472" s="213"/>
      <c r="G472" s="213"/>
      <c r="H472" s="219"/>
      <c r="I472" s="219"/>
      <c r="J472" s="219"/>
      <c r="K472" s="219"/>
      <c r="L472" s="219"/>
      <c r="M472" s="219"/>
      <c r="N472" s="219"/>
      <c r="O472" s="219"/>
      <c r="P472" s="219"/>
      <c r="Q472" s="219"/>
      <c r="R472" s="219"/>
      <c r="S472" s="219"/>
      <c r="T472" s="219"/>
      <c r="U472" s="219"/>
      <c r="V472" s="219"/>
      <c r="W472" s="219"/>
      <c r="X472" s="219"/>
      <c r="Y472" s="219"/>
      <c r="Z472" s="219"/>
    </row>
    <row r="473">
      <c r="A473" s="244"/>
      <c r="B473" s="219"/>
      <c r="C473" s="219"/>
      <c r="D473" s="219"/>
      <c r="E473" s="213"/>
      <c r="F473" s="213"/>
      <c r="G473" s="213"/>
      <c r="H473" s="219"/>
      <c r="I473" s="219"/>
      <c r="J473" s="219"/>
      <c r="K473" s="219"/>
      <c r="L473" s="219"/>
      <c r="M473" s="219"/>
      <c r="N473" s="219"/>
      <c r="O473" s="219"/>
      <c r="P473" s="219"/>
      <c r="Q473" s="219"/>
      <c r="R473" s="219"/>
      <c r="S473" s="219"/>
      <c r="T473" s="219"/>
      <c r="U473" s="219"/>
      <c r="V473" s="219"/>
      <c r="W473" s="219"/>
      <c r="X473" s="219"/>
      <c r="Y473" s="219"/>
      <c r="Z473" s="219"/>
    </row>
    <row r="474">
      <c r="A474" s="244"/>
      <c r="B474" s="219"/>
      <c r="C474" s="219"/>
      <c r="D474" s="219"/>
      <c r="E474" s="213"/>
      <c r="F474" s="213"/>
      <c r="G474" s="213"/>
      <c r="H474" s="219"/>
      <c r="I474" s="219"/>
      <c r="J474" s="219"/>
      <c r="K474" s="219"/>
      <c r="L474" s="219"/>
      <c r="M474" s="219"/>
      <c r="N474" s="219"/>
      <c r="O474" s="219"/>
      <c r="P474" s="219"/>
      <c r="Q474" s="219"/>
      <c r="R474" s="219"/>
      <c r="S474" s="219"/>
      <c r="T474" s="219"/>
      <c r="U474" s="219"/>
      <c r="V474" s="219"/>
      <c r="W474" s="219"/>
      <c r="X474" s="219"/>
      <c r="Y474" s="219"/>
      <c r="Z474" s="219"/>
    </row>
    <row r="475">
      <c r="A475" s="244"/>
      <c r="B475" s="219"/>
      <c r="C475" s="219"/>
      <c r="D475" s="219"/>
      <c r="E475" s="213"/>
      <c r="F475" s="213"/>
      <c r="G475" s="213"/>
      <c r="H475" s="219"/>
      <c r="I475" s="219"/>
      <c r="J475" s="219"/>
      <c r="K475" s="219"/>
      <c r="L475" s="219"/>
      <c r="M475" s="219"/>
      <c r="N475" s="219"/>
      <c r="O475" s="219"/>
      <c r="P475" s="219"/>
      <c r="Q475" s="219"/>
      <c r="R475" s="219"/>
      <c r="S475" s="219"/>
      <c r="T475" s="219"/>
      <c r="U475" s="219"/>
      <c r="V475" s="219"/>
      <c r="W475" s="219"/>
      <c r="X475" s="219"/>
      <c r="Y475" s="219"/>
      <c r="Z475" s="219"/>
    </row>
    <row r="476">
      <c r="A476" s="244"/>
      <c r="B476" s="219"/>
      <c r="C476" s="219"/>
      <c r="D476" s="219"/>
      <c r="E476" s="213"/>
      <c r="F476" s="213"/>
      <c r="G476" s="213"/>
      <c r="H476" s="219"/>
      <c r="I476" s="219"/>
      <c r="J476" s="219"/>
      <c r="K476" s="219"/>
      <c r="L476" s="219"/>
      <c r="M476" s="219"/>
      <c r="N476" s="219"/>
      <c r="O476" s="219"/>
      <c r="P476" s="219"/>
      <c r="Q476" s="219"/>
      <c r="R476" s="219"/>
      <c r="S476" s="219"/>
      <c r="T476" s="219"/>
      <c r="U476" s="219"/>
      <c r="V476" s="219"/>
      <c r="W476" s="219"/>
      <c r="X476" s="219"/>
      <c r="Y476" s="219"/>
      <c r="Z476" s="219"/>
    </row>
    <row r="477">
      <c r="A477" s="244"/>
      <c r="B477" s="219"/>
      <c r="C477" s="219"/>
      <c r="D477" s="219"/>
      <c r="E477" s="213"/>
      <c r="F477" s="213"/>
      <c r="G477" s="213"/>
      <c r="H477" s="219"/>
      <c r="I477" s="219"/>
      <c r="J477" s="219"/>
      <c r="K477" s="219"/>
      <c r="L477" s="219"/>
      <c r="M477" s="219"/>
      <c r="N477" s="219"/>
      <c r="O477" s="219"/>
      <c r="P477" s="219"/>
      <c r="Q477" s="219"/>
      <c r="R477" s="219"/>
      <c r="S477" s="219"/>
      <c r="T477" s="219"/>
      <c r="U477" s="219"/>
      <c r="V477" s="219"/>
      <c r="W477" s="219"/>
      <c r="X477" s="219"/>
      <c r="Y477" s="219"/>
      <c r="Z477" s="219"/>
    </row>
    <row r="478">
      <c r="A478" s="244"/>
      <c r="B478" s="219"/>
      <c r="C478" s="219"/>
      <c r="D478" s="219"/>
      <c r="E478" s="213"/>
      <c r="F478" s="213"/>
      <c r="G478" s="213"/>
      <c r="H478" s="219"/>
      <c r="I478" s="219"/>
      <c r="J478" s="219"/>
      <c r="K478" s="219"/>
      <c r="L478" s="219"/>
      <c r="M478" s="219"/>
      <c r="N478" s="219"/>
      <c r="O478" s="219"/>
      <c r="P478" s="219"/>
      <c r="Q478" s="219"/>
      <c r="R478" s="219"/>
      <c r="S478" s="219"/>
      <c r="T478" s="219"/>
      <c r="U478" s="219"/>
      <c r="V478" s="219"/>
      <c r="W478" s="219"/>
      <c r="X478" s="219"/>
      <c r="Y478" s="219"/>
      <c r="Z478" s="219"/>
    </row>
    <row r="479">
      <c r="A479" s="244"/>
      <c r="B479" s="219"/>
      <c r="C479" s="219"/>
      <c r="D479" s="219"/>
      <c r="E479" s="213"/>
      <c r="F479" s="213"/>
      <c r="G479" s="213"/>
      <c r="H479" s="219"/>
      <c r="I479" s="219"/>
      <c r="J479" s="219"/>
      <c r="K479" s="219"/>
      <c r="L479" s="219"/>
      <c r="M479" s="219"/>
      <c r="N479" s="219"/>
      <c r="O479" s="219"/>
      <c r="P479" s="219"/>
      <c r="Q479" s="219"/>
      <c r="R479" s="219"/>
      <c r="S479" s="219"/>
      <c r="T479" s="219"/>
      <c r="U479" s="219"/>
      <c r="V479" s="219"/>
      <c r="W479" s="219"/>
      <c r="X479" s="219"/>
      <c r="Y479" s="219"/>
      <c r="Z479" s="219"/>
    </row>
    <row r="480">
      <c r="A480" s="244"/>
      <c r="B480" s="219"/>
      <c r="C480" s="219"/>
      <c r="D480" s="219"/>
      <c r="E480" s="213"/>
      <c r="F480" s="213"/>
      <c r="G480" s="213"/>
      <c r="H480" s="219"/>
      <c r="I480" s="219"/>
      <c r="J480" s="219"/>
      <c r="K480" s="219"/>
      <c r="L480" s="219"/>
      <c r="M480" s="219"/>
      <c r="N480" s="219"/>
      <c r="O480" s="219"/>
      <c r="P480" s="219"/>
      <c r="Q480" s="219"/>
      <c r="R480" s="219"/>
      <c r="S480" s="219"/>
      <c r="T480" s="219"/>
      <c r="U480" s="219"/>
      <c r="V480" s="219"/>
      <c r="W480" s="219"/>
      <c r="X480" s="219"/>
      <c r="Y480" s="219"/>
      <c r="Z480" s="219"/>
    </row>
    <row r="481">
      <c r="A481" s="244"/>
      <c r="B481" s="219"/>
      <c r="C481" s="219"/>
      <c r="D481" s="219"/>
      <c r="E481" s="213"/>
      <c r="F481" s="213"/>
      <c r="G481" s="213"/>
      <c r="H481" s="219"/>
      <c r="I481" s="219"/>
      <c r="J481" s="219"/>
      <c r="K481" s="219"/>
      <c r="L481" s="219"/>
      <c r="M481" s="219"/>
      <c r="N481" s="219"/>
      <c r="O481" s="219"/>
      <c r="P481" s="219"/>
      <c r="Q481" s="219"/>
      <c r="R481" s="219"/>
      <c r="S481" s="219"/>
      <c r="T481" s="219"/>
      <c r="U481" s="219"/>
      <c r="V481" s="219"/>
      <c r="W481" s="219"/>
      <c r="X481" s="219"/>
      <c r="Y481" s="219"/>
      <c r="Z481" s="219"/>
    </row>
    <row r="482">
      <c r="A482" s="244"/>
      <c r="B482" s="219"/>
      <c r="C482" s="219"/>
      <c r="D482" s="219"/>
      <c r="E482" s="213"/>
      <c r="F482" s="213"/>
      <c r="G482" s="213"/>
      <c r="H482" s="219"/>
      <c r="I482" s="219"/>
      <c r="J482" s="219"/>
      <c r="K482" s="219"/>
      <c r="L482" s="219"/>
      <c r="M482" s="219"/>
      <c r="N482" s="219"/>
      <c r="O482" s="219"/>
      <c r="P482" s="219"/>
      <c r="Q482" s="219"/>
      <c r="R482" s="219"/>
      <c r="S482" s="219"/>
      <c r="T482" s="219"/>
      <c r="U482" s="219"/>
      <c r="V482" s="219"/>
      <c r="W482" s="219"/>
      <c r="X482" s="219"/>
      <c r="Y482" s="219"/>
      <c r="Z482" s="219"/>
    </row>
    <row r="483">
      <c r="A483" s="244"/>
      <c r="B483" s="219"/>
      <c r="C483" s="219"/>
      <c r="D483" s="219"/>
      <c r="E483" s="213"/>
      <c r="F483" s="213"/>
      <c r="G483" s="213"/>
      <c r="H483" s="219"/>
      <c r="I483" s="219"/>
      <c r="J483" s="219"/>
      <c r="K483" s="219"/>
      <c r="L483" s="219"/>
      <c r="M483" s="219"/>
      <c r="N483" s="219"/>
      <c r="O483" s="219"/>
      <c r="P483" s="219"/>
      <c r="Q483" s="219"/>
      <c r="R483" s="219"/>
      <c r="S483" s="219"/>
      <c r="T483" s="219"/>
      <c r="U483" s="219"/>
      <c r="V483" s="219"/>
      <c r="W483" s="219"/>
      <c r="X483" s="219"/>
      <c r="Y483" s="219"/>
      <c r="Z483" s="219"/>
    </row>
    <row r="484">
      <c r="A484" s="244"/>
      <c r="B484" s="219"/>
      <c r="C484" s="219"/>
      <c r="D484" s="219"/>
      <c r="E484" s="213"/>
      <c r="F484" s="213"/>
      <c r="G484" s="213"/>
      <c r="H484" s="219"/>
      <c r="I484" s="219"/>
      <c r="J484" s="219"/>
      <c r="K484" s="219"/>
      <c r="L484" s="219"/>
      <c r="M484" s="219"/>
      <c r="N484" s="219"/>
      <c r="O484" s="219"/>
      <c r="P484" s="219"/>
      <c r="Q484" s="219"/>
      <c r="R484" s="219"/>
      <c r="S484" s="219"/>
      <c r="T484" s="219"/>
      <c r="U484" s="219"/>
      <c r="V484" s="219"/>
      <c r="W484" s="219"/>
      <c r="X484" s="219"/>
      <c r="Y484" s="219"/>
      <c r="Z484" s="219"/>
    </row>
    <row r="485">
      <c r="A485" s="244"/>
      <c r="B485" s="219"/>
      <c r="C485" s="219"/>
      <c r="D485" s="219"/>
      <c r="E485" s="213"/>
      <c r="F485" s="213"/>
      <c r="G485" s="213"/>
      <c r="H485" s="219"/>
      <c r="I485" s="219"/>
      <c r="J485" s="219"/>
      <c r="K485" s="219"/>
      <c r="L485" s="219"/>
      <c r="M485" s="219"/>
      <c r="N485" s="219"/>
      <c r="O485" s="219"/>
      <c r="P485" s="219"/>
      <c r="Q485" s="219"/>
      <c r="R485" s="219"/>
      <c r="S485" s="219"/>
      <c r="T485" s="219"/>
      <c r="U485" s="219"/>
      <c r="V485" s="219"/>
      <c r="W485" s="219"/>
      <c r="X485" s="219"/>
      <c r="Y485" s="219"/>
      <c r="Z485" s="219"/>
    </row>
    <row r="486">
      <c r="A486" s="244"/>
      <c r="B486" s="219"/>
      <c r="C486" s="219"/>
      <c r="D486" s="219"/>
      <c r="E486" s="213"/>
      <c r="F486" s="213"/>
      <c r="G486" s="213"/>
      <c r="H486" s="219"/>
      <c r="I486" s="219"/>
      <c r="J486" s="219"/>
      <c r="K486" s="219"/>
      <c r="L486" s="219"/>
      <c r="M486" s="219"/>
      <c r="N486" s="219"/>
      <c r="O486" s="219"/>
      <c r="P486" s="219"/>
      <c r="Q486" s="219"/>
      <c r="R486" s="219"/>
      <c r="S486" s="219"/>
      <c r="T486" s="219"/>
      <c r="U486" s="219"/>
      <c r="V486" s="219"/>
      <c r="W486" s="219"/>
      <c r="X486" s="219"/>
      <c r="Y486" s="219"/>
      <c r="Z486" s="219"/>
    </row>
    <row r="487">
      <c r="A487" s="244"/>
      <c r="B487" s="219"/>
      <c r="C487" s="219"/>
      <c r="D487" s="219"/>
      <c r="E487" s="213"/>
      <c r="F487" s="213"/>
      <c r="G487" s="213"/>
      <c r="H487" s="219"/>
      <c r="I487" s="219"/>
      <c r="J487" s="219"/>
      <c r="K487" s="219"/>
      <c r="L487" s="219"/>
      <c r="M487" s="219"/>
      <c r="N487" s="219"/>
      <c r="O487" s="219"/>
      <c r="P487" s="219"/>
      <c r="Q487" s="219"/>
      <c r="R487" s="219"/>
      <c r="S487" s="219"/>
      <c r="T487" s="219"/>
      <c r="U487" s="219"/>
      <c r="V487" s="219"/>
      <c r="W487" s="219"/>
      <c r="X487" s="219"/>
      <c r="Y487" s="219"/>
      <c r="Z487" s="219"/>
    </row>
    <row r="488">
      <c r="A488" s="244"/>
      <c r="B488" s="219"/>
      <c r="C488" s="219"/>
      <c r="D488" s="219"/>
      <c r="E488" s="213"/>
      <c r="F488" s="213"/>
      <c r="G488" s="213"/>
      <c r="H488" s="219"/>
      <c r="I488" s="219"/>
      <c r="J488" s="219"/>
      <c r="K488" s="219"/>
      <c r="L488" s="219"/>
      <c r="M488" s="219"/>
      <c r="N488" s="219"/>
      <c r="O488" s="219"/>
      <c r="P488" s="219"/>
      <c r="Q488" s="219"/>
      <c r="R488" s="219"/>
      <c r="S488" s="219"/>
      <c r="T488" s="219"/>
      <c r="U488" s="219"/>
      <c r="V488" s="219"/>
      <c r="W488" s="219"/>
      <c r="X488" s="219"/>
      <c r="Y488" s="219"/>
      <c r="Z488" s="219"/>
    </row>
    <row r="489">
      <c r="A489" s="244"/>
      <c r="B489" s="219"/>
      <c r="C489" s="219"/>
      <c r="D489" s="219"/>
      <c r="E489" s="213"/>
      <c r="F489" s="213"/>
      <c r="G489" s="213"/>
      <c r="H489" s="219"/>
      <c r="I489" s="219"/>
      <c r="J489" s="219"/>
      <c r="K489" s="219"/>
      <c r="L489" s="219"/>
      <c r="M489" s="219"/>
      <c r="N489" s="219"/>
      <c r="O489" s="219"/>
      <c r="P489" s="219"/>
      <c r="Q489" s="219"/>
      <c r="R489" s="219"/>
      <c r="S489" s="219"/>
      <c r="T489" s="219"/>
      <c r="U489" s="219"/>
      <c r="V489" s="219"/>
      <c r="W489" s="219"/>
      <c r="X489" s="219"/>
      <c r="Y489" s="219"/>
      <c r="Z489" s="219"/>
    </row>
    <row r="490">
      <c r="A490" s="244"/>
      <c r="B490" s="219"/>
      <c r="C490" s="219"/>
      <c r="D490" s="219"/>
      <c r="E490" s="213"/>
      <c r="F490" s="213"/>
      <c r="G490" s="213"/>
      <c r="H490" s="219"/>
      <c r="I490" s="219"/>
      <c r="J490" s="219"/>
      <c r="K490" s="219"/>
      <c r="L490" s="219"/>
      <c r="M490" s="219"/>
      <c r="N490" s="219"/>
      <c r="O490" s="219"/>
      <c r="P490" s="219"/>
      <c r="Q490" s="219"/>
      <c r="R490" s="219"/>
      <c r="S490" s="219"/>
      <c r="T490" s="219"/>
      <c r="U490" s="219"/>
      <c r="V490" s="219"/>
      <c r="W490" s="219"/>
      <c r="X490" s="219"/>
      <c r="Y490" s="219"/>
      <c r="Z490" s="219"/>
    </row>
    <row r="491">
      <c r="A491" s="244"/>
      <c r="B491" s="219"/>
      <c r="C491" s="219"/>
      <c r="D491" s="219"/>
      <c r="E491" s="213"/>
      <c r="F491" s="213"/>
      <c r="G491" s="213"/>
      <c r="H491" s="219"/>
      <c r="I491" s="219"/>
      <c r="J491" s="219"/>
      <c r="K491" s="219"/>
      <c r="L491" s="219"/>
      <c r="M491" s="219"/>
      <c r="N491" s="219"/>
      <c r="O491" s="219"/>
      <c r="P491" s="219"/>
      <c r="Q491" s="219"/>
      <c r="R491" s="219"/>
      <c r="S491" s="219"/>
      <c r="T491" s="219"/>
      <c r="U491" s="219"/>
      <c r="V491" s="219"/>
      <c r="W491" s="219"/>
      <c r="X491" s="219"/>
      <c r="Y491" s="219"/>
      <c r="Z491" s="219"/>
    </row>
    <row r="492">
      <c r="A492" s="244"/>
      <c r="B492" s="219"/>
      <c r="C492" s="219"/>
      <c r="D492" s="219"/>
      <c r="E492" s="213"/>
      <c r="F492" s="213"/>
      <c r="G492" s="213"/>
      <c r="H492" s="219"/>
      <c r="I492" s="219"/>
      <c r="J492" s="219"/>
      <c r="K492" s="219"/>
      <c r="L492" s="219"/>
      <c r="M492" s="219"/>
      <c r="N492" s="219"/>
      <c r="O492" s="219"/>
      <c r="P492" s="219"/>
      <c r="Q492" s="219"/>
      <c r="R492" s="219"/>
      <c r="S492" s="219"/>
      <c r="T492" s="219"/>
      <c r="U492" s="219"/>
      <c r="V492" s="219"/>
      <c r="W492" s="219"/>
      <c r="X492" s="219"/>
      <c r="Y492" s="219"/>
      <c r="Z492" s="219"/>
    </row>
    <row r="493">
      <c r="A493" s="244"/>
      <c r="B493" s="219"/>
      <c r="C493" s="219"/>
      <c r="D493" s="219"/>
      <c r="E493" s="213"/>
      <c r="F493" s="213"/>
      <c r="G493" s="213"/>
      <c r="H493" s="219"/>
      <c r="I493" s="219"/>
      <c r="J493" s="219"/>
      <c r="K493" s="219"/>
      <c r="L493" s="219"/>
      <c r="M493" s="219"/>
      <c r="N493" s="219"/>
      <c r="O493" s="219"/>
      <c r="P493" s="219"/>
      <c r="Q493" s="219"/>
      <c r="R493" s="219"/>
      <c r="S493" s="219"/>
      <c r="T493" s="219"/>
      <c r="U493" s="219"/>
      <c r="V493" s="219"/>
      <c r="W493" s="219"/>
      <c r="X493" s="219"/>
      <c r="Y493" s="219"/>
      <c r="Z493" s="219"/>
    </row>
    <row r="494">
      <c r="A494" s="244"/>
      <c r="B494" s="219"/>
      <c r="C494" s="219"/>
      <c r="D494" s="219"/>
      <c r="E494" s="213"/>
      <c r="F494" s="213"/>
      <c r="G494" s="213"/>
      <c r="H494" s="219"/>
      <c r="I494" s="219"/>
      <c r="J494" s="219"/>
      <c r="K494" s="219"/>
      <c r="L494" s="219"/>
      <c r="M494" s="219"/>
      <c r="N494" s="219"/>
      <c r="O494" s="219"/>
      <c r="P494" s="219"/>
      <c r="Q494" s="219"/>
      <c r="R494" s="219"/>
      <c r="S494" s="219"/>
      <c r="T494" s="219"/>
      <c r="U494" s="219"/>
      <c r="V494" s="219"/>
      <c r="W494" s="219"/>
      <c r="X494" s="219"/>
      <c r="Y494" s="219"/>
      <c r="Z494" s="219"/>
    </row>
    <row r="495">
      <c r="A495" s="244"/>
      <c r="B495" s="219"/>
      <c r="C495" s="219"/>
      <c r="D495" s="219"/>
      <c r="E495" s="213"/>
      <c r="F495" s="213"/>
      <c r="G495" s="213"/>
      <c r="H495" s="219"/>
      <c r="I495" s="219"/>
      <c r="J495" s="219"/>
      <c r="K495" s="219"/>
      <c r="L495" s="219"/>
      <c r="M495" s="219"/>
      <c r="N495" s="219"/>
      <c r="O495" s="219"/>
      <c r="P495" s="219"/>
      <c r="Q495" s="219"/>
      <c r="R495" s="219"/>
      <c r="S495" s="219"/>
      <c r="T495" s="219"/>
      <c r="U495" s="219"/>
      <c r="V495" s="219"/>
      <c r="W495" s="219"/>
      <c r="X495" s="219"/>
      <c r="Y495" s="219"/>
      <c r="Z495" s="219"/>
    </row>
    <row r="496">
      <c r="A496" s="244"/>
      <c r="B496" s="219"/>
      <c r="C496" s="219"/>
      <c r="D496" s="219"/>
      <c r="E496" s="213"/>
      <c r="F496" s="213"/>
      <c r="G496" s="213"/>
      <c r="H496" s="219"/>
      <c r="I496" s="219"/>
      <c r="J496" s="219"/>
      <c r="K496" s="219"/>
      <c r="L496" s="219"/>
      <c r="M496" s="219"/>
      <c r="N496" s="219"/>
      <c r="O496" s="219"/>
      <c r="P496" s="219"/>
      <c r="Q496" s="219"/>
      <c r="R496" s="219"/>
      <c r="S496" s="219"/>
      <c r="T496" s="219"/>
      <c r="U496" s="219"/>
      <c r="V496" s="219"/>
      <c r="W496" s="219"/>
      <c r="X496" s="219"/>
      <c r="Y496" s="219"/>
      <c r="Z496" s="219"/>
    </row>
    <row r="497">
      <c r="A497" s="244"/>
      <c r="B497" s="219"/>
      <c r="C497" s="219"/>
      <c r="D497" s="219"/>
      <c r="E497" s="213"/>
      <c r="F497" s="213"/>
      <c r="G497" s="213"/>
      <c r="H497" s="219"/>
      <c r="I497" s="219"/>
      <c r="J497" s="219"/>
      <c r="K497" s="219"/>
      <c r="L497" s="219"/>
      <c r="M497" s="219"/>
      <c r="N497" s="219"/>
      <c r="O497" s="219"/>
      <c r="P497" s="219"/>
      <c r="Q497" s="219"/>
      <c r="R497" s="219"/>
      <c r="S497" s="219"/>
      <c r="T497" s="219"/>
      <c r="U497" s="219"/>
      <c r="V497" s="219"/>
      <c r="W497" s="219"/>
      <c r="X497" s="219"/>
      <c r="Y497" s="219"/>
      <c r="Z497" s="219"/>
    </row>
    <row r="498">
      <c r="A498" s="244"/>
      <c r="B498" s="219"/>
      <c r="C498" s="219"/>
      <c r="D498" s="219"/>
      <c r="E498" s="213"/>
      <c r="F498" s="213"/>
      <c r="G498" s="213"/>
      <c r="H498" s="219"/>
      <c r="I498" s="219"/>
      <c r="J498" s="219"/>
      <c r="K498" s="219"/>
      <c r="L498" s="219"/>
      <c r="M498" s="219"/>
      <c r="N498" s="219"/>
      <c r="O498" s="219"/>
      <c r="P498" s="219"/>
      <c r="Q498" s="219"/>
      <c r="R498" s="219"/>
      <c r="S498" s="219"/>
      <c r="T498" s="219"/>
      <c r="U498" s="219"/>
      <c r="V498" s="219"/>
      <c r="W498" s="219"/>
      <c r="X498" s="219"/>
      <c r="Y498" s="219"/>
      <c r="Z498" s="219"/>
    </row>
    <row r="499">
      <c r="A499" s="244"/>
      <c r="B499" s="219"/>
      <c r="C499" s="219"/>
      <c r="D499" s="219"/>
      <c r="E499" s="213"/>
      <c r="F499" s="213"/>
      <c r="G499" s="213"/>
      <c r="H499" s="219"/>
      <c r="I499" s="219"/>
      <c r="J499" s="219"/>
      <c r="K499" s="219"/>
      <c r="L499" s="219"/>
      <c r="M499" s="219"/>
      <c r="N499" s="219"/>
      <c r="O499" s="219"/>
      <c r="P499" s="219"/>
      <c r="Q499" s="219"/>
      <c r="R499" s="219"/>
      <c r="S499" s="219"/>
      <c r="T499" s="219"/>
      <c r="U499" s="219"/>
      <c r="V499" s="219"/>
      <c r="W499" s="219"/>
      <c r="X499" s="219"/>
      <c r="Y499" s="219"/>
      <c r="Z499" s="219"/>
    </row>
    <row r="500">
      <c r="A500" s="244"/>
      <c r="B500" s="219"/>
      <c r="C500" s="219"/>
      <c r="D500" s="219"/>
      <c r="E500" s="213"/>
      <c r="F500" s="213"/>
      <c r="G500" s="213"/>
      <c r="H500" s="219"/>
      <c r="I500" s="219"/>
      <c r="J500" s="219"/>
      <c r="K500" s="219"/>
      <c r="L500" s="219"/>
      <c r="M500" s="219"/>
      <c r="N500" s="219"/>
      <c r="O500" s="219"/>
      <c r="P500" s="219"/>
      <c r="Q500" s="219"/>
      <c r="R500" s="219"/>
      <c r="S500" s="219"/>
      <c r="T500" s="219"/>
      <c r="U500" s="219"/>
      <c r="V500" s="219"/>
      <c r="W500" s="219"/>
      <c r="X500" s="219"/>
      <c r="Y500" s="219"/>
      <c r="Z500" s="219"/>
    </row>
    <row r="501">
      <c r="A501" s="244"/>
      <c r="B501" s="219"/>
      <c r="C501" s="219"/>
      <c r="D501" s="219"/>
      <c r="E501" s="213"/>
      <c r="F501" s="213"/>
      <c r="G501" s="213"/>
      <c r="H501" s="219"/>
      <c r="I501" s="219"/>
      <c r="J501" s="219"/>
      <c r="K501" s="219"/>
      <c r="L501" s="219"/>
      <c r="M501" s="219"/>
      <c r="N501" s="219"/>
      <c r="O501" s="219"/>
      <c r="P501" s="219"/>
      <c r="Q501" s="219"/>
      <c r="R501" s="219"/>
      <c r="S501" s="219"/>
      <c r="T501" s="219"/>
      <c r="U501" s="219"/>
      <c r="V501" s="219"/>
      <c r="W501" s="219"/>
      <c r="X501" s="219"/>
      <c r="Y501" s="219"/>
      <c r="Z501" s="219"/>
    </row>
    <row r="502">
      <c r="A502" s="244"/>
      <c r="B502" s="219"/>
      <c r="C502" s="219"/>
      <c r="D502" s="219"/>
      <c r="E502" s="213"/>
      <c r="F502" s="213"/>
      <c r="G502" s="213"/>
      <c r="H502" s="219"/>
      <c r="I502" s="219"/>
      <c r="J502" s="219"/>
      <c r="K502" s="219"/>
      <c r="L502" s="219"/>
      <c r="M502" s="219"/>
      <c r="N502" s="219"/>
      <c r="O502" s="219"/>
      <c r="P502" s="219"/>
      <c r="Q502" s="219"/>
      <c r="R502" s="219"/>
      <c r="S502" s="219"/>
      <c r="T502" s="219"/>
      <c r="U502" s="219"/>
      <c r="V502" s="219"/>
      <c r="W502" s="219"/>
      <c r="X502" s="219"/>
      <c r="Y502" s="219"/>
      <c r="Z502" s="219"/>
    </row>
    <row r="503">
      <c r="A503" s="244"/>
      <c r="B503" s="219"/>
      <c r="C503" s="219"/>
      <c r="D503" s="219"/>
      <c r="E503" s="213"/>
      <c r="F503" s="213"/>
      <c r="G503" s="213"/>
      <c r="H503" s="219"/>
      <c r="I503" s="219"/>
      <c r="J503" s="219"/>
      <c r="K503" s="219"/>
      <c r="L503" s="219"/>
      <c r="M503" s="219"/>
      <c r="N503" s="219"/>
      <c r="O503" s="219"/>
      <c r="P503" s="219"/>
      <c r="Q503" s="219"/>
      <c r="R503" s="219"/>
      <c r="S503" s="219"/>
      <c r="T503" s="219"/>
      <c r="U503" s="219"/>
      <c r="V503" s="219"/>
      <c r="W503" s="219"/>
      <c r="X503" s="219"/>
      <c r="Y503" s="219"/>
      <c r="Z503" s="219"/>
    </row>
    <row r="504">
      <c r="A504" s="244"/>
      <c r="B504" s="219"/>
      <c r="C504" s="219"/>
      <c r="D504" s="219"/>
      <c r="E504" s="213"/>
      <c r="F504" s="213"/>
      <c r="G504" s="213"/>
      <c r="H504" s="219"/>
      <c r="I504" s="219"/>
      <c r="J504" s="219"/>
      <c r="K504" s="219"/>
      <c r="L504" s="219"/>
      <c r="M504" s="219"/>
      <c r="N504" s="219"/>
      <c r="O504" s="219"/>
      <c r="P504" s="219"/>
      <c r="Q504" s="219"/>
      <c r="R504" s="219"/>
      <c r="S504" s="219"/>
      <c r="T504" s="219"/>
      <c r="U504" s="219"/>
      <c r="V504" s="219"/>
      <c r="W504" s="219"/>
      <c r="X504" s="219"/>
      <c r="Y504" s="219"/>
      <c r="Z504" s="219"/>
    </row>
    <row r="505">
      <c r="A505" s="244"/>
      <c r="B505" s="219"/>
      <c r="C505" s="219"/>
      <c r="D505" s="219"/>
      <c r="E505" s="213"/>
      <c r="F505" s="213"/>
      <c r="G505" s="213"/>
      <c r="H505" s="219"/>
      <c r="I505" s="219"/>
      <c r="J505" s="219"/>
      <c r="K505" s="219"/>
      <c r="L505" s="219"/>
      <c r="M505" s="219"/>
      <c r="N505" s="219"/>
      <c r="O505" s="219"/>
      <c r="P505" s="219"/>
      <c r="Q505" s="219"/>
      <c r="R505" s="219"/>
      <c r="S505" s="219"/>
      <c r="T505" s="219"/>
      <c r="U505" s="219"/>
      <c r="V505" s="219"/>
      <c r="W505" s="219"/>
      <c r="X505" s="219"/>
      <c r="Y505" s="219"/>
      <c r="Z505" s="219"/>
    </row>
    <row r="506">
      <c r="A506" s="244"/>
      <c r="B506" s="219"/>
      <c r="C506" s="219"/>
      <c r="D506" s="219"/>
      <c r="E506" s="213"/>
      <c r="F506" s="213"/>
      <c r="G506" s="213"/>
      <c r="H506" s="219"/>
      <c r="I506" s="219"/>
      <c r="J506" s="219"/>
      <c r="K506" s="219"/>
      <c r="L506" s="219"/>
      <c r="M506" s="219"/>
      <c r="N506" s="219"/>
      <c r="O506" s="219"/>
      <c r="P506" s="219"/>
      <c r="Q506" s="219"/>
      <c r="R506" s="219"/>
      <c r="S506" s="219"/>
      <c r="T506" s="219"/>
      <c r="U506" s="219"/>
      <c r="V506" s="219"/>
      <c r="W506" s="219"/>
      <c r="X506" s="219"/>
      <c r="Y506" s="219"/>
      <c r="Z506" s="219"/>
    </row>
    <row r="507">
      <c r="A507" s="244"/>
      <c r="B507" s="219"/>
      <c r="C507" s="219"/>
      <c r="D507" s="219"/>
      <c r="E507" s="213"/>
      <c r="F507" s="213"/>
      <c r="G507" s="213"/>
      <c r="H507" s="219"/>
      <c r="I507" s="219"/>
      <c r="J507" s="219"/>
      <c r="K507" s="219"/>
      <c r="L507" s="219"/>
      <c r="M507" s="219"/>
      <c r="N507" s="219"/>
      <c r="O507" s="219"/>
      <c r="P507" s="219"/>
      <c r="Q507" s="219"/>
      <c r="R507" s="219"/>
      <c r="S507" s="219"/>
      <c r="T507" s="219"/>
      <c r="U507" s="219"/>
      <c r="V507" s="219"/>
      <c r="W507" s="219"/>
      <c r="X507" s="219"/>
      <c r="Y507" s="219"/>
      <c r="Z507" s="219"/>
    </row>
    <row r="508">
      <c r="A508" s="244"/>
      <c r="B508" s="219"/>
      <c r="C508" s="219"/>
      <c r="D508" s="219"/>
      <c r="E508" s="213"/>
      <c r="F508" s="213"/>
      <c r="G508" s="213"/>
      <c r="H508" s="219"/>
      <c r="I508" s="219"/>
      <c r="J508" s="219"/>
      <c r="K508" s="219"/>
      <c r="L508" s="219"/>
      <c r="M508" s="219"/>
      <c r="N508" s="219"/>
      <c r="O508" s="219"/>
      <c r="P508" s="219"/>
      <c r="Q508" s="219"/>
      <c r="R508" s="219"/>
      <c r="S508" s="219"/>
      <c r="T508" s="219"/>
      <c r="U508" s="219"/>
      <c r="V508" s="219"/>
      <c r="W508" s="219"/>
      <c r="X508" s="219"/>
      <c r="Y508" s="219"/>
      <c r="Z508" s="219"/>
    </row>
    <row r="509">
      <c r="A509" s="244"/>
      <c r="B509" s="219"/>
      <c r="C509" s="219"/>
      <c r="D509" s="219"/>
      <c r="E509" s="213"/>
      <c r="F509" s="213"/>
      <c r="G509" s="213"/>
      <c r="H509" s="219"/>
      <c r="I509" s="219"/>
      <c r="J509" s="219"/>
      <c r="K509" s="219"/>
      <c r="L509" s="219"/>
      <c r="M509" s="219"/>
      <c r="N509" s="219"/>
      <c r="O509" s="219"/>
      <c r="P509" s="219"/>
      <c r="Q509" s="219"/>
      <c r="R509" s="219"/>
      <c r="S509" s="219"/>
      <c r="T509" s="219"/>
      <c r="U509" s="219"/>
      <c r="V509" s="219"/>
      <c r="W509" s="219"/>
      <c r="X509" s="219"/>
      <c r="Y509" s="219"/>
      <c r="Z509" s="219"/>
    </row>
    <row r="510">
      <c r="A510" s="244"/>
      <c r="B510" s="219"/>
      <c r="C510" s="219"/>
      <c r="D510" s="219"/>
      <c r="E510" s="213"/>
      <c r="F510" s="213"/>
      <c r="G510" s="213"/>
      <c r="H510" s="219"/>
      <c r="I510" s="219"/>
      <c r="J510" s="219"/>
      <c r="K510" s="219"/>
      <c r="L510" s="219"/>
      <c r="M510" s="219"/>
      <c r="N510" s="219"/>
      <c r="O510" s="219"/>
      <c r="P510" s="219"/>
      <c r="Q510" s="219"/>
      <c r="R510" s="219"/>
      <c r="S510" s="219"/>
      <c r="T510" s="219"/>
      <c r="U510" s="219"/>
      <c r="V510" s="219"/>
      <c r="W510" s="219"/>
      <c r="X510" s="219"/>
      <c r="Y510" s="219"/>
      <c r="Z510" s="219"/>
    </row>
    <row r="511">
      <c r="A511" s="244"/>
      <c r="B511" s="219"/>
      <c r="C511" s="219"/>
      <c r="D511" s="219"/>
      <c r="E511" s="213"/>
      <c r="F511" s="213"/>
      <c r="G511" s="213"/>
      <c r="H511" s="219"/>
      <c r="I511" s="219"/>
      <c r="J511" s="219"/>
      <c r="K511" s="219"/>
      <c r="L511" s="219"/>
      <c r="M511" s="219"/>
      <c r="N511" s="219"/>
      <c r="O511" s="219"/>
      <c r="P511" s="219"/>
      <c r="Q511" s="219"/>
      <c r="R511" s="219"/>
      <c r="S511" s="219"/>
      <c r="T511" s="219"/>
      <c r="U511" s="219"/>
      <c r="V511" s="219"/>
      <c r="W511" s="219"/>
      <c r="X511" s="219"/>
      <c r="Y511" s="219"/>
      <c r="Z511" s="219"/>
    </row>
    <row r="512">
      <c r="A512" s="244"/>
      <c r="B512" s="219"/>
      <c r="C512" s="219"/>
      <c r="D512" s="219"/>
      <c r="E512" s="213"/>
      <c r="F512" s="213"/>
      <c r="G512" s="213"/>
      <c r="H512" s="219"/>
      <c r="I512" s="219"/>
      <c r="J512" s="219"/>
      <c r="K512" s="219"/>
      <c r="L512" s="219"/>
      <c r="M512" s="219"/>
      <c r="N512" s="219"/>
      <c r="O512" s="219"/>
      <c r="P512" s="219"/>
      <c r="Q512" s="219"/>
      <c r="R512" s="219"/>
      <c r="S512" s="219"/>
      <c r="T512" s="219"/>
      <c r="U512" s="219"/>
      <c r="V512" s="219"/>
      <c r="W512" s="219"/>
      <c r="X512" s="219"/>
      <c r="Y512" s="219"/>
      <c r="Z512" s="219"/>
    </row>
    <row r="513">
      <c r="A513" s="244"/>
      <c r="B513" s="219"/>
      <c r="C513" s="219"/>
      <c r="D513" s="219"/>
      <c r="E513" s="213"/>
      <c r="F513" s="213"/>
      <c r="G513" s="213"/>
      <c r="H513" s="219"/>
      <c r="I513" s="219"/>
      <c r="J513" s="219"/>
      <c r="K513" s="219"/>
      <c r="L513" s="219"/>
      <c r="M513" s="219"/>
      <c r="N513" s="219"/>
      <c r="O513" s="219"/>
      <c r="P513" s="219"/>
      <c r="Q513" s="219"/>
      <c r="R513" s="219"/>
      <c r="S513" s="219"/>
      <c r="T513" s="219"/>
      <c r="U513" s="219"/>
      <c r="V513" s="219"/>
      <c r="W513" s="219"/>
      <c r="X513" s="219"/>
      <c r="Y513" s="219"/>
      <c r="Z513" s="219"/>
    </row>
    <row r="514">
      <c r="A514" s="244"/>
      <c r="B514" s="219"/>
      <c r="C514" s="219"/>
      <c r="D514" s="219"/>
      <c r="E514" s="213"/>
      <c r="F514" s="213"/>
      <c r="G514" s="213"/>
      <c r="H514" s="219"/>
      <c r="I514" s="219"/>
      <c r="J514" s="219"/>
      <c r="K514" s="219"/>
      <c r="L514" s="219"/>
      <c r="M514" s="219"/>
      <c r="N514" s="219"/>
      <c r="O514" s="219"/>
      <c r="P514" s="219"/>
      <c r="Q514" s="219"/>
      <c r="R514" s="219"/>
      <c r="S514" s="219"/>
      <c r="T514" s="219"/>
      <c r="U514" s="219"/>
      <c r="V514" s="219"/>
      <c r="W514" s="219"/>
      <c r="X514" s="219"/>
      <c r="Y514" s="219"/>
      <c r="Z514" s="219"/>
    </row>
    <row r="515">
      <c r="A515" s="244"/>
      <c r="B515" s="219"/>
      <c r="C515" s="219"/>
      <c r="D515" s="219"/>
      <c r="E515" s="213"/>
      <c r="F515" s="213"/>
      <c r="G515" s="213"/>
      <c r="H515" s="219"/>
      <c r="I515" s="219"/>
      <c r="J515" s="219"/>
      <c r="K515" s="219"/>
      <c r="L515" s="219"/>
      <c r="M515" s="219"/>
      <c r="N515" s="219"/>
      <c r="O515" s="219"/>
      <c r="P515" s="219"/>
      <c r="Q515" s="219"/>
      <c r="R515" s="219"/>
      <c r="S515" s="219"/>
      <c r="T515" s="219"/>
      <c r="U515" s="219"/>
      <c r="V515" s="219"/>
      <c r="W515" s="219"/>
      <c r="X515" s="219"/>
      <c r="Y515" s="219"/>
      <c r="Z515" s="219"/>
    </row>
    <row r="516">
      <c r="A516" s="244"/>
      <c r="B516" s="219"/>
      <c r="C516" s="219"/>
      <c r="D516" s="219"/>
      <c r="E516" s="213"/>
      <c r="F516" s="213"/>
      <c r="G516" s="213"/>
      <c r="H516" s="219"/>
      <c r="I516" s="219"/>
      <c r="J516" s="219"/>
      <c r="K516" s="219"/>
      <c r="L516" s="219"/>
      <c r="M516" s="219"/>
      <c r="N516" s="219"/>
      <c r="O516" s="219"/>
      <c r="P516" s="219"/>
      <c r="Q516" s="219"/>
      <c r="R516" s="219"/>
      <c r="S516" s="219"/>
      <c r="T516" s="219"/>
      <c r="U516" s="219"/>
      <c r="V516" s="219"/>
      <c r="W516" s="219"/>
      <c r="X516" s="219"/>
      <c r="Y516" s="219"/>
      <c r="Z516" s="219"/>
    </row>
    <row r="517">
      <c r="A517" s="244"/>
      <c r="B517" s="219"/>
      <c r="C517" s="219"/>
      <c r="D517" s="219"/>
      <c r="E517" s="213"/>
      <c r="F517" s="213"/>
      <c r="G517" s="213"/>
      <c r="H517" s="219"/>
      <c r="I517" s="219"/>
      <c r="J517" s="219"/>
      <c r="K517" s="219"/>
      <c r="L517" s="219"/>
      <c r="M517" s="219"/>
      <c r="N517" s="219"/>
      <c r="O517" s="219"/>
      <c r="P517" s="219"/>
      <c r="Q517" s="219"/>
      <c r="R517" s="219"/>
      <c r="S517" s="219"/>
      <c r="T517" s="219"/>
      <c r="U517" s="219"/>
      <c r="V517" s="219"/>
      <c r="W517" s="219"/>
      <c r="X517" s="219"/>
      <c r="Y517" s="219"/>
      <c r="Z517" s="219"/>
    </row>
    <row r="518">
      <c r="A518" s="244"/>
      <c r="B518" s="219"/>
      <c r="C518" s="219"/>
      <c r="D518" s="219"/>
      <c r="E518" s="213"/>
      <c r="F518" s="213"/>
      <c r="G518" s="213"/>
      <c r="H518" s="219"/>
      <c r="I518" s="219"/>
      <c r="J518" s="219"/>
      <c r="K518" s="219"/>
      <c r="L518" s="219"/>
      <c r="M518" s="219"/>
      <c r="N518" s="219"/>
      <c r="O518" s="219"/>
      <c r="P518" s="219"/>
      <c r="Q518" s="219"/>
      <c r="R518" s="219"/>
      <c r="S518" s="219"/>
      <c r="T518" s="219"/>
      <c r="U518" s="219"/>
      <c r="V518" s="219"/>
      <c r="W518" s="219"/>
      <c r="X518" s="219"/>
      <c r="Y518" s="219"/>
      <c r="Z518" s="219"/>
    </row>
    <row r="519">
      <c r="A519" s="244"/>
      <c r="B519" s="219"/>
      <c r="C519" s="219"/>
      <c r="D519" s="219"/>
      <c r="E519" s="213"/>
      <c r="F519" s="213"/>
      <c r="G519" s="213"/>
      <c r="H519" s="219"/>
      <c r="I519" s="219"/>
      <c r="J519" s="219"/>
      <c r="K519" s="219"/>
      <c r="L519" s="219"/>
      <c r="M519" s="219"/>
      <c r="N519" s="219"/>
      <c r="O519" s="219"/>
      <c r="P519" s="219"/>
      <c r="Q519" s="219"/>
      <c r="R519" s="219"/>
      <c r="S519" s="219"/>
      <c r="T519" s="219"/>
      <c r="U519" s="219"/>
      <c r="V519" s="219"/>
      <c r="W519" s="219"/>
      <c r="X519" s="219"/>
      <c r="Y519" s="219"/>
      <c r="Z519" s="219"/>
    </row>
    <row r="520">
      <c r="A520" s="244"/>
      <c r="B520" s="219"/>
      <c r="C520" s="219"/>
      <c r="D520" s="219"/>
      <c r="E520" s="213"/>
      <c r="F520" s="213"/>
      <c r="G520" s="213"/>
      <c r="H520" s="219"/>
      <c r="I520" s="219"/>
      <c r="J520" s="219"/>
      <c r="K520" s="219"/>
      <c r="L520" s="219"/>
      <c r="M520" s="219"/>
      <c r="N520" s="219"/>
      <c r="O520" s="219"/>
      <c r="P520" s="219"/>
      <c r="Q520" s="219"/>
      <c r="R520" s="219"/>
      <c r="S520" s="219"/>
      <c r="T520" s="219"/>
      <c r="U520" s="219"/>
      <c r="V520" s="219"/>
      <c r="W520" s="219"/>
      <c r="X520" s="219"/>
      <c r="Y520" s="219"/>
      <c r="Z520" s="219"/>
    </row>
    <row r="521">
      <c r="A521" s="244"/>
      <c r="B521" s="219"/>
      <c r="C521" s="219"/>
      <c r="D521" s="219"/>
      <c r="E521" s="213"/>
      <c r="F521" s="213"/>
      <c r="G521" s="213"/>
      <c r="H521" s="219"/>
      <c r="I521" s="219"/>
      <c r="J521" s="219"/>
      <c r="K521" s="219"/>
      <c r="L521" s="219"/>
      <c r="M521" s="219"/>
      <c r="N521" s="219"/>
      <c r="O521" s="219"/>
      <c r="P521" s="219"/>
      <c r="Q521" s="219"/>
      <c r="R521" s="219"/>
      <c r="S521" s="219"/>
      <c r="T521" s="219"/>
      <c r="U521" s="219"/>
      <c r="V521" s="219"/>
      <c r="W521" s="219"/>
      <c r="X521" s="219"/>
      <c r="Y521" s="219"/>
      <c r="Z521" s="219"/>
    </row>
    <row r="522">
      <c r="A522" s="244"/>
      <c r="B522" s="219"/>
      <c r="C522" s="219"/>
      <c r="D522" s="219"/>
      <c r="E522" s="213"/>
      <c r="F522" s="213"/>
      <c r="G522" s="213"/>
      <c r="H522" s="219"/>
      <c r="I522" s="219"/>
      <c r="J522" s="219"/>
      <c r="K522" s="219"/>
      <c r="L522" s="219"/>
      <c r="M522" s="219"/>
      <c r="N522" s="219"/>
      <c r="O522" s="219"/>
      <c r="P522" s="219"/>
      <c r="Q522" s="219"/>
      <c r="R522" s="219"/>
      <c r="S522" s="219"/>
      <c r="T522" s="219"/>
      <c r="U522" s="219"/>
      <c r="V522" s="219"/>
      <c r="W522" s="219"/>
      <c r="X522" s="219"/>
      <c r="Y522" s="219"/>
      <c r="Z522" s="219"/>
    </row>
    <row r="523">
      <c r="A523" s="244"/>
      <c r="B523" s="219"/>
      <c r="C523" s="219"/>
      <c r="D523" s="219"/>
      <c r="E523" s="213"/>
      <c r="F523" s="213"/>
      <c r="G523" s="213"/>
      <c r="H523" s="219"/>
      <c r="I523" s="219"/>
      <c r="J523" s="219"/>
      <c r="K523" s="219"/>
      <c r="L523" s="219"/>
      <c r="M523" s="219"/>
      <c r="N523" s="219"/>
      <c r="O523" s="219"/>
      <c r="P523" s="219"/>
      <c r="Q523" s="219"/>
      <c r="R523" s="219"/>
      <c r="S523" s="219"/>
      <c r="T523" s="219"/>
      <c r="U523" s="219"/>
      <c r="V523" s="219"/>
      <c r="W523" s="219"/>
      <c r="X523" s="219"/>
      <c r="Y523" s="219"/>
      <c r="Z523" s="219"/>
    </row>
    <row r="524">
      <c r="A524" s="244"/>
      <c r="B524" s="219"/>
      <c r="C524" s="219"/>
      <c r="D524" s="219"/>
      <c r="E524" s="213"/>
      <c r="F524" s="213"/>
      <c r="G524" s="213"/>
      <c r="H524" s="219"/>
      <c r="I524" s="219"/>
      <c r="J524" s="219"/>
      <c r="K524" s="219"/>
      <c r="L524" s="219"/>
      <c r="M524" s="219"/>
      <c r="N524" s="219"/>
      <c r="O524" s="219"/>
      <c r="P524" s="219"/>
      <c r="Q524" s="219"/>
      <c r="R524" s="219"/>
      <c r="S524" s="219"/>
      <c r="T524" s="219"/>
      <c r="U524" s="219"/>
      <c r="V524" s="219"/>
      <c r="W524" s="219"/>
      <c r="X524" s="219"/>
      <c r="Y524" s="219"/>
      <c r="Z524" s="219"/>
    </row>
    <row r="525">
      <c r="A525" s="244"/>
      <c r="B525" s="219"/>
      <c r="C525" s="219"/>
      <c r="D525" s="219"/>
      <c r="E525" s="213"/>
      <c r="F525" s="213"/>
      <c r="G525" s="213"/>
      <c r="H525" s="219"/>
      <c r="I525" s="219"/>
      <c r="J525" s="219"/>
      <c r="K525" s="219"/>
      <c r="L525" s="219"/>
      <c r="M525" s="219"/>
      <c r="N525" s="219"/>
      <c r="O525" s="219"/>
      <c r="P525" s="219"/>
      <c r="Q525" s="219"/>
      <c r="R525" s="219"/>
      <c r="S525" s="219"/>
      <c r="T525" s="219"/>
      <c r="U525" s="219"/>
      <c r="V525" s="219"/>
      <c r="W525" s="219"/>
      <c r="X525" s="219"/>
      <c r="Y525" s="219"/>
      <c r="Z525" s="219"/>
    </row>
    <row r="526">
      <c r="A526" s="244"/>
      <c r="B526" s="219"/>
      <c r="C526" s="219"/>
      <c r="D526" s="219"/>
      <c r="E526" s="213"/>
      <c r="F526" s="213"/>
      <c r="G526" s="213"/>
      <c r="H526" s="219"/>
      <c r="I526" s="219"/>
      <c r="J526" s="219"/>
      <c r="K526" s="219"/>
      <c r="L526" s="219"/>
      <c r="M526" s="219"/>
      <c r="N526" s="219"/>
      <c r="O526" s="219"/>
      <c r="P526" s="219"/>
      <c r="Q526" s="219"/>
      <c r="R526" s="219"/>
      <c r="S526" s="219"/>
      <c r="T526" s="219"/>
      <c r="U526" s="219"/>
      <c r="V526" s="219"/>
      <c r="W526" s="219"/>
      <c r="X526" s="219"/>
      <c r="Y526" s="219"/>
      <c r="Z526" s="219"/>
    </row>
    <row r="527">
      <c r="A527" s="244"/>
      <c r="B527" s="219"/>
      <c r="C527" s="219"/>
      <c r="D527" s="219"/>
      <c r="E527" s="213"/>
      <c r="F527" s="213"/>
      <c r="G527" s="213"/>
      <c r="H527" s="219"/>
      <c r="I527" s="219"/>
      <c r="J527" s="219"/>
      <c r="K527" s="219"/>
      <c r="L527" s="219"/>
      <c r="M527" s="219"/>
      <c r="N527" s="219"/>
      <c r="O527" s="219"/>
      <c r="P527" s="219"/>
      <c r="Q527" s="219"/>
      <c r="R527" s="219"/>
      <c r="S527" s="219"/>
      <c r="T527" s="219"/>
      <c r="U527" s="219"/>
      <c r="V527" s="219"/>
      <c r="W527" s="219"/>
      <c r="X527" s="219"/>
      <c r="Y527" s="219"/>
      <c r="Z527" s="219"/>
    </row>
    <row r="528">
      <c r="A528" s="244"/>
      <c r="B528" s="219"/>
      <c r="C528" s="219"/>
      <c r="D528" s="219"/>
      <c r="E528" s="213"/>
      <c r="F528" s="213"/>
      <c r="G528" s="213"/>
      <c r="H528" s="219"/>
      <c r="I528" s="219"/>
      <c r="J528" s="219"/>
      <c r="K528" s="219"/>
      <c r="L528" s="219"/>
      <c r="M528" s="219"/>
      <c r="N528" s="219"/>
      <c r="O528" s="219"/>
      <c r="P528" s="219"/>
      <c r="Q528" s="219"/>
      <c r="R528" s="219"/>
      <c r="S528" s="219"/>
      <c r="T528" s="219"/>
      <c r="U528" s="219"/>
      <c r="V528" s="219"/>
      <c r="W528" s="219"/>
      <c r="X528" s="219"/>
      <c r="Y528" s="219"/>
      <c r="Z528" s="219"/>
    </row>
    <row r="529">
      <c r="A529" s="244"/>
      <c r="B529" s="219"/>
      <c r="C529" s="219"/>
      <c r="D529" s="219"/>
      <c r="E529" s="213"/>
      <c r="F529" s="213"/>
      <c r="G529" s="213"/>
      <c r="H529" s="219"/>
      <c r="I529" s="219"/>
      <c r="J529" s="219"/>
      <c r="K529" s="219"/>
      <c r="L529" s="219"/>
      <c r="M529" s="219"/>
      <c r="N529" s="219"/>
      <c r="O529" s="219"/>
      <c r="P529" s="219"/>
      <c r="Q529" s="219"/>
      <c r="R529" s="219"/>
      <c r="S529" s="219"/>
      <c r="T529" s="219"/>
      <c r="U529" s="219"/>
      <c r="V529" s="219"/>
      <c r="W529" s="219"/>
      <c r="X529" s="219"/>
      <c r="Y529" s="219"/>
      <c r="Z529" s="219"/>
    </row>
    <row r="530">
      <c r="A530" s="244"/>
      <c r="B530" s="219"/>
      <c r="C530" s="219"/>
      <c r="D530" s="219"/>
      <c r="E530" s="213"/>
      <c r="F530" s="213"/>
      <c r="G530" s="213"/>
      <c r="H530" s="219"/>
      <c r="I530" s="219"/>
      <c r="J530" s="219"/>
      <c r="K530" s="219"/>
      <c r="L530" s="219"/>
      <c r="M530" s="219"/>
      <c r="N530" s="219"/>
      <c r="O530" s="219"/>
      <c r="P530" s="219"/>
      <c r="Q530" s="219"/>
      <c r="R530" s="219"/>
      <c r="S530" s="219"/>
      <c r="T530" s="219"/>
      <c r="U530" s="219"/>
      <c r="V530" s="219"/>
      <c r="W530" s="219"/>
      <c r="X530" s="219"/>
      <c r="Y530" s="219"/>
      <c r="Z530" s="219"/>
    </row>
    <row r="531">
      <c r="A531" s="244"/>
      <c r="B531" s="219"/>
      <c r="C531" s="219"/>
      <c r="D531" s="219"/>
      <c r="E531" s="213"/>
      <c r="F531" s="213"/>
      <c r="G531" s="213"/>
      <c r="H531" s="219"/>
      <c r="I531" s="219"/>
      <c r="J531" s="219"/>
      <c r="K531" s="219"/>
      <c r="L531" s="219"/>
      <c r="M531" s="219"/>
      <c r="N531" s="219"/>
      <c r="O531" s="219"/>
      <c r="P531" s="219"/>
      <c r="Q531" s="219"/>
      <c r="R531" s="219"/>
      <c r="S531" s="219"/>
      <c r="T531" s="219"/>
      <c r="U531" s="219"/>
      <c r="V531" s="219"/>
      <c r="W531" s="219"/>
      <c r="X531" s="219"/>
      <c r="Y531" s="219"/>
      <c r="Z531" s="219"/>
    </row>
    <row r="532">
      <c r="A532" s="244"/>
      <c r="B532" s="219"/>
      <c r="C532" s="219"/>
      <c r="D532" s="219"/>
      <c r="E532" s="213"/>
      <c r="F532" s="213"/>
      <c r="G532" s="213"/>
      <c r="H532" s="219"/>
      <c r="I532" s="219"/>
      <c r="J532" s="219"/>
      <c r="K532" s="219"/>
      <c r="L532" s="219"/>
      <c r="M532" s="219"/>
      <c r="N532" s="219"/>
      <c r="O532" s="219"/>
      <c r="P532" s="219"/>
      <c r="Q532" s="219"/>
      <c r="R532" s="219"/>
      <c r="S532" s="219"/>
      <c r="T532" s="219"/>
      <c r="U532" s="219"/>
      <c r="V532" s="219"/>
      <c r="W532" s="219"/>
      <c r="X532" s="219"/>
      <c r="Y532" s="219"/>
      <c r="Z532" s="219"/>
    </row>
    <row r="533">
      <c r="A533" s="244"/>
      <c r="B533" s="219"/>
      <c r="C533" s="219"/>
      <c r="D533" s="219"/>
      <c r="E533" s="213"/>
      <c r="F533" s="213"/>
      <c r="G533" s="213"/>
      <c r="H533" s="219"/>
      <c r="I533" s="219"/>
      <c r="J533" s="219"/>
      <c r="K533" s="219"/>
      <c r="L533" s="219"/>
      <c r="M533" s="219"/>
      <c r="N533" s="219"/>
      <c r="O533" s="219"/>
      <c r="P533" s="219"/>
      <c r="Q533" s="219"/>
      <c r="R533" s="219"/>
      <c r="S533" s="219"/>
      <c r="T533" s="219"/>
      <c r="U533" s="219"/>
      <c r="V533" s="219"/>
      <c r="W533" s="219"/>
      <c r="X533" s="219"/>
      <c r="Y533" s="219"/>
      <c r="Z533" s="219"/>
    </row>
    <row r="534">
      <c r="A534" s="244"/>
      <c r="B534" s="219"/>
      <c r="C534" s="219"/>
      <c r="D534" s="219"/>
      <c r="E534" s="213"/>
      <c r="F534" s="213"/>
      <c r="G534" s="213"/>
      <c r="H534" s="219"/>
      <c r="I534" s="219"/>
      <c r="J534" s="219"/>
      <c r="K534" s="219"/>
      <c r="L534" s="219"/>
      <c r="M534" s="219"/>
      <c r="N534" s="219"/>
      <c r="O534" s="219"/>
      <c r="P534" s="219"/>
      <c r="Q534" s="219"/>
      <c r="R534" s="219"/>
      <c r="S534" s="219"/>
      <c r="T534" s="219"/>
      <c r="U534" s="219"/>
      <c r="V534" s="219"/>
      <c r="W534" s="219"/>
      <c r="X534" s="219"/>
      <c r="Y534" s="219"/>
      <c r="Z534" s="219"/>
    </row>
    <row r="535">
      <c r="A535" s="244"/>
      <c r="B535" s="219"/>
      <c r="C535" s="219"/>
      <c r="D535" s="219"/>
      <c r="E535" s="213"/>
      <c r="F535" s="213"/>
      <c r="G535" s="213"/>
      <c r="H535" s="219"/>
      <c r="I535" s="219"/>
      <c r="J535" s="219"/>
      <c r="K535" s="219"/>
      <c r="L535" s="219"/>
      <c r="M535" s="219"/>
      <c r="N535" s="219"/>
      <c r="O535" s="219"/>
      <c r="P535" s="219"/>
      <c r="Q535" s="219"/>
      <c r="R535" s="219"/>
      <c r="S535" s="219"/>
      <c r="T535" s="219"/>
      <c r="U535" s="219"/>
      <c r="V535" s="219"/>
      <c r="W535" s="219"/>
      <c r="X535" s="219"/>
      <c r="Y535" s="219"/>
      <c r="Z535" s="219"/>
    </row>
    <row r="536">
      <c r="A536" s="244"/>
      <c r="B536" s="219"/>
      <c r="C536" s="219"/>
      <c r="D536" s="219"/>
      <c r="E536" s="213"/>
      <c r="F536" s="213"/>
      <c r="G536" s="213"/>
      <c r="H536" s="219"/>
      <c r="I536" s="219"/>
      <c r="J536" s="219"/>
      <c r="K536" s="219"/>
      <c r="L536" s="219"/>
      <c r="M536" s="219"/>
      <c r="N536" s="219"/>
      <c r="O536" s="219"/>
      <c r="P536" s="219"/>
      <c r="Q536" s="219"/>
      <c r="R536" s="219"/>
      <c r="S536" s="219"/>
      <c r="T536" s="219"/>
      <c r="U536" s="219"/>
      <c r="V536" s="219"/>
      <c r="W536" s="219"/>
      <c r="X536" s="219"/>
      <c r="Y536" s="219"/>
      <c r="Z536" s="219"/>
    </row>
    <row r="537">
      <c r="A537" s="244"/>
      <c r="B537" s="219"/>
      <c r="C537" s="219"/>
      <c r="D537" s="219"/>
      <c r="E537" s="213"/>
      <c r="F537" s="213"/>
      <c r="G537" s="213"/>
      <c r="H537" s="219"/>
      <c r="I537" s="219"/>
      <c r="J537" s="219"/>
      <c r="K537" s="219"/>
      <c r="L537" s="219"/>
      <c r="M537" s="219"/>
      <c r="N537" s="219"/>
      <c r="O537" s="219"/>
      <c r="P537" s="219"/>
      <c r="Q537" s="219"/>
      <c r="R537" s="219"/>
      <c r="S537" s="219"/>
      <c r="T537" s="219"/>
      <c r="U537" s="219"/>
      <c r="V537" s="219"/>
      <c r="W537" s="219"/>
      <c r="X537" s="219"/>
      <c r="Y537" s="219"/>
      <c r="Z537" s="219"/>
    </row>
    <row r="538">
      <c r="A538" s="244"/>
      <c r="B538" s="219"/>
      <c r="C538" s="219"/>
      <c r="D538" s="219"/>
      <c r="E538" s="213"/>
      <c r="F538" s="213"/>
      <c r="G538" s="213"/>
      <c r="H538" s="219"/>
      <c r="I538" s="219"/>
      <c r="J538" s="219"/>
      <c r="K538" s="219"/>
      <c r="L538" s="219"/>
      <c r="M538" s="219"/>
      <c r="N538" s="219"/>
      <c r="O538" s="219"/>
      <c r="P538" s="219"/>
      <c r="Q538" s="219"/>
      <c r="R538" s="219"/>
      <c r="S538" s="219"/>
      <c r="T538" s="219"/>
      <c r="U538" s="219"/>
      <c r="V538" s="219"/>
      <c r="W538" s="219"/>
      <c r="X538" s="219"/>
      <c r="Y538" s="219"/>
      <c r="Z538" s="219"/>
    </row>
    <row r="539">
      <c r="A539" s="244"/>
      <c r="B539" s="219"/>
      <c r="C539" s="219"/>
      <c r="D539" s="219"/>
      <c r="E539" s="213"/>
      <c r="F539" s="213"/>
      <c r="G539" s="213"/>
      <c r="H539" s="219"/>
      <c r="I539" s="219"/>
      <c r="J539" s="219"/>
      <c r="K539" s="219"/>
      <c r="L539" s="219"/>
      <c r="M539" s="219"/>
      <c r="N539" s="219"/>
      <c r="O539" s="219"/>
      <c r="P539" s="219"/>
      <c r="Q539" s="219"/>
      <c r="R539" s="219"/>
      <c r="S539" s="219"/>
      <c r="T539" s="219"/>
      <c r="U539" s="219"/>
      <c r="V539" s="219"/>
      <c r="W539" s="219"/>
      <c r="X539" s="219"/>
      <c r="Y539" s="219"/>
      <c r="Z539" s="219"/>
    </row>
    <row r="540">
      <c r="A540" s="244"/>
      <c r="B540" s="219"/>
      <c r="C540" s="219"/>
      <c r="D540" s="219"/>
      <c r="E540" s="213"/>
      <c r="F540" s="213"/>
      <c r="G540" s="213"/>
      <c r="H540" s="219"/>
      <c r="I540" s="219"/>
      <c r="J540" s="219"/>
      <c r="K540" s="219"/>
      <c r="L540" s="219"/>
      <c r="M540" s="219"/>
      <c r="N540" s="219"/>
      <c r="O540" s="219"/>
      <c r="P540" s="219"/>
      <c r="Q540" s="219"/>
      <c r="R540" s="219"/>
      <c r="S540" s="219"/>
      <c r="T540" s="219"/>
      <c r="U540" s="219"/>
      <c r="V540" s="219"/>
      <c r="W540" s="219"/>
      <c r="X540" s="219"/>
      <c r="Y540" s="219"/>
      <c r="Z540" s="219"/>
    </row>
    <row r="541">
      <c r="A541" s="244"/>
      <c r="B541" s="219"/>
      <c r="C541" s="219"/>
      <c r="D541" s="219"/>
      <c r="E541" s="213"/>
      <c r="F541" s="213"/>
      <c r="G541" s="213"/>
      <c r="H541" s="219"/>
      <c r="I541" s="219"/>
      <c r="J541" s="219"/>
      <c r="K541" s="219"/>
      <c r="L541" s="219"/>
      <c r="M541" s="219"/>
      <c r="N541" s="219"/>
      <c r="O541" s="219"/>
      <c r="P541" s="219"/>
      <c r="Q541" s="219"/>
      <c r="R541" s="219"/>
      <c r="S541" s="219"/>
      <c r="T541" s="219"/>
      <c r="U541" s="219"/>
      <c r="V541" s="219"/>
      <c r="W541" s="219"/>
      <c r="X541" s="219"/>
      <c r="Y541" s="219"/>
      <c r="Z541" s="219"/>
    </row>
    <row r="542">
      <c r="A542" s="244"/>
      <c r="B542" s="219"/>
      <c r="C542" s="219"/>
      <c r="D542" s="219"/>
      <c r="E542" s="213"/>
      <c r="F542" s="213"/>
      <c r="G542" s="213"/>
      <c r="H542" s="219"/>
      <c r="I542" s="219"/>
      <c r="J542" s="219"/>
      <c r="K542" s="219"/>
      <c r="L542" s="219"/>
      <c r="M542" s="219"/>
      <c r="N542" s="219"/>
      <c r="O542" s="219"/>
      <c r="P542" s="219"/>
      <c r="Q542" s="219"/>
      <c r="R542" s="219"/>
      <c r="S542" s="219"/>
      <c r="T542" s="219"/>
      <c r="U542" s="219"/>
      <c r="V542" s="219"/>
      <c r="W542" s="219"/>
      <c r="X542" s="219"/>
      <c r="Y542" s="219"/>
      <c r="Z542" s="219"/>
    </row>
    <row r="543">
      <c r="A543" s="244"/>
      <c r="B543" s="219"/>
      <c r="C543" s="219"/>
      <c r="D543" s="219"/>
      <c r="E543" s="213"/>
      <c r="F543" s="213"/>
      <c r="G543" s="213"/>
      <c r="H543" s="219"/>
      <c r="I543" s="219"/>
      <c r="J543" s="219"/>
      <c r="K543" s="219"/>
      <c r="L543" s="219"/>
      <c r="M543" s="219"/>
      <c r="N543" s="219"/>
      <c r="O543" s="219"/>
      <c r="P543" s="219"/>
      <c r="Q543" s="219"/>
      <c r="R543" s="219"/>
      <c r="S543" s="219"/>
      <c r="T543" s="219"/>
      <c r="U543" s="219"/>
      <c r="V543" s="219"/>
      <c r="W543" s="219"/>
      <c r="X543" s="219"/>
      <c r="Y543" s="219"/>
      <c r="Z543" s="219"/>
    </row>
    <row r="544">
      <c r="A544" s="244"/>
      <c r="B544" s="219"/>
      <c r="C544" s="219"/>
      <c r="D544" s="219"/>
      <c r="E544" s="213"/>
      <c r="F544" s="213"/>
      <c r="G544" s="213"/>
      <c r="H544" s="219"/>
      <c r="I544" s="219"/>
      <c r="J544" s="219"/>
      <c r="K544" s="219"/>
      <c r="L544" s="219"/>
      <c r="M544" s="219"/>
      <c r="N544" s="219"/>
      <c r="O544" s="219"/>
      <c r="P544" s="219"/>
      <c r="Q544" s="219"/>
      <c r="R544" s="219"/>
      <c r="S544" s="219"/>
      <c r="T544" s="219"/>
      <c r="U544" s="219"/>
      <c r="V544" s="219"/>
      <c r="W544" s="219"/>
      <c r="X544" s="219"/>
      <c r="Y544" s="219"/>
      <c r="Z544" s="219"/>
    </row>
    <row r="545">
      <c r="A545" s="244"/>
      <c r="B545" s="219"/>
      <c r="C545" s="219"/>
      <c r="D545" s="219"/>
      <c r="E545" s="213"/>
      <c r="F545" s="213"/>
      <c r="G545" s="213"/>
      <c r="H545" s="219"/>
      <c r="I545" s="219"/>
      <c r="J545" s="219"/>
      <c r="K545" s="219"/>
      <c r="L545" s="219"/>
      <c r="M545" s="219"/>
      <c r="N545" s="219"/>
      <c r="O545" s="219"/>
      <c r="P545" s="219"/>
      <c r="Q545" s="219"/>
      <c r="R545" s="219"/>
      <c r="S545" s="219"/>
      <c r="T545" s="219"/>
      <c r="U545" s="219"/>
      <c r="V545" s="219"/>
      <c r="W545" s="219"/>
      <c r="X545" s="219"/>
      <c r="Y545" s="219"/>
      <c r="Z545" s="219"/>
    </row>
    <row r="546">
      <c r="A546" s="244"/>
      <c r="B546" s="219"/>
      <c r="C546" s="219"/>
      <c r="D546" s="219"/>
      <c r="E546" s="213"/>
      <c r="F546" s="213"/>
      <c r="G546" s="213"/>
      <c r="H546" s="219"/>
      <c r="I546" s="219"/>
      <c r="J546" s="219"/>
      <c r="K546" s="219"/>
      <c r="L546" s="219"/>
      <c r="M546" s="219"/>
      <c r="N546" s="219"/>
      <c r="O546" s="219"/>
      <c r="P546" s="219"/>
      <c r="Q546" s="219"/>
      <c r="R546" s="219"/>
      <c r="S546" s="219"/>
      <c r="T546" s="219"/>
      <c r="U546" s="219"/>
      <c r="V546" s="219"/>
      <c r="W546" s="219"/>
      <c r="X546" s="219"/>
      <c r="Y546" s="219"/>
      <c r="Z546" s="219"/>
    </row>
    <row r="547">
      <c r="A547" s="244"/>
      <c r="B547" s="219"/>
      <c r="C547" s="219"/>
      <c r="D547" s="219"/>
      <c r="E547" s="213"/>
      <c r="F547" s="213"/>
      <c r="G547" s="213"/>
      <c r="H547" s="219"/>
      <c r="I547" s="219"/>
      <c r="J547" s="219"/>
      <c r="K547" s="219"/>
      <c r="L547" s="219"/>
      <c r="M547" s="219"/>
      <c r="N547" s="219"/>
      <c r="O547" s="219"/>
      <c r="P547" s="219"/>
      <c r="Q547" s="219"/>
      <c r="R547" s="219"/>
      <c r="S547" s="219"/>
      <c r="T547" s="219"/>
      <c r="U547" s="219"/>
      <c r="V547" s="219"/>
      <c r="W547" s="219"/>
      <c r="X547" s="219"/>
      <c r="Y547" s="219"/>
      <c r="Z547" s="219"/>
    </row>
    <row r="548">
      <c r="A548" s="244"/>
      <c r="B548" s="219"/>
      <c r="C548" s="219"/>
      <c r="D548" s="219"/>
      <c r="E548" s="213"/>
      <c r="F548" s="213"/>
      <c r="G548" s="213"/>
      <c r="H548" s="219"/>
      <c r="I548" s="219"/>
      <c r="J548" s="219"/>
      <c r="K548" s="219"/>
      <c r="L548" s="219"/>
      <c r="M548" s="219"/>
      <c r="N548" s="219"/>
      <c r="O548" s="219"/>
      <c r="P548" s="219"/>
      <c r="Q548" s="219"/>
      <c r="R548" s="219"/>
      <c r="S548" s="219"/>
      <c r="T548" s="219"/>
      <c r="U548" s="219"/>
      <c r="V548" s="219"/>
      <c r="W548" s="219"/>
      <c r="X548" s="219"/>
      <c r="Y548" s="219"/>
      <c r="Z548" s="219"/>
    </row>
    <row r="549">
      <c r="A549" s="244"/>
      <c r="B549" s="219"/>
      <c r="C549" s="219"/>
      <c r="D549" s="219"/>
      <c r="E549" s="213"/>
      <c r="F549" s="213"/>
      <c r="G549" s="213"/>
      <c r="H549" s="219"/>
      <c r="I549" s="219"/>
      <c r="J549" s="219"/>
      <c r="K549" s="219"/>
      <c r="L549" s="219"/>
      <c r="M549" s="219"/>
      <c r="N549" s="219"/>
      <c r="O549" s="219"/>
      <c r="P549" s="219"/>
      <c r="Q549" s="219"/>
      <c r="R549" s="219"/>
      <c r="S549" s="219"/>
      <c r="T549" s="219"/>
      <c r="U549" s="219"/>
      <c r="V549" s="219"/>
      <c r="W549" s="219"/>
      <c r="X549" s="219"/>
      <c r="Y549" s="219"/>
      <c r="Z549" s="219"/>
    </row>
    <row r="550">
      <c r="A550" s="244"/>
      <c r="B550" s="219"/>
      <c r="C550" s="219"/>
      <c r="D550" s="219"/>
      <c r="E550" s="213"/>
      <c r="F550" s="213"/>
      <c r="G550" s="213"/>
      <c r="H550" s="219"/>
      <c r="I550" s="219"/>
      <c r="J550" s="219"/>
      <c r="K550" s="219"/>
      <c r="L550" s="219"/>
      <c r="M550" s="219"/>
      <c r="N550" s="219"/>
      <c r="O550" s="219"/>
      <c r="P550" s="219"/>
      <c r="Q550" s="219"/>
      <c r="R550" s="219"/>
      <c r="S550" s="219"/>
      <c r="T550" s="219"/>
      <c r="U550" s="219"/>
      <c r="V550" s="219"/>
      <c r="W550" s="219"/>
      <c r="X550" s="219"/>
      <c r="Y550" s="219"/>
      <c r="Z550" s="219"/>
    </row>
    <row r="551">
      <c r="A551" s="244"/>
      <c r="B551" s="219"/>
      <c r="C551" s="219"/>
      <c r="D551" s="219"/>
      <c r="E551" s="213"/>
      <c r="F551" s="213"/>
      <c r="G551" s="213"/>
      <c r="H551" s="219"/>
      <c r="I551" s="219"/>
      <c r="J551" s="219"/>
      <c r="K551" s="219"/>
      <c r="L551" s="219"/>
      <c r="M551" s="219"/>
      <c r="N551" s="219"/>
      <c r="O551" s="219"/>
      <c r="P551" s="219"/>
      <c r="Q551" s="219"/>
      <c r="R551" s="219"/>
      <c r="S551" s="219"/>
      <c r="T551" s="219"/>
      <c r="U551" s="219"/>
      <c r="V551" s="219"/>
      <c r="W551" s="219"/>
      <c r="X551" s="219"/>
      <c r="Y551" s="219"/>
      <c r="Z551" s="219"/>
    </row>
    <row r="552">
      <c r="A552" s="244"/>
      <c r="B552" s="219"/>
      <c r="C552" s="219"/>
      <c r="D552" s="219"/>
      <c r="E552" s="213"/>
      <c r="F552" s="213"/>
      <c r="G552" s="213"/>
      <c r="H552" s="219"/>
      <c r="I552" s="219"/>
      <c r="J552" s="219"/>
      <c r="K552" s="219"/>
      <c r="L552" s="219"/>
      <c r="M552" s="219"/>
      <c r="N552" s="219"/>
      <c r="O552" s="219"/>
      <c r="P552" s="219"/>
      <c r="Q552" s="219"/>
      <c r="R552" s="219"/>
      <c r="S552" s="219"/>
      <c r="T552" s="219"/>
      <c r="U552" s="219"/>
      <c r="V552" s="219"/>
      <c r="W552" s="219"/>
      <c r="X552" s="219"/>
      <c r="Y552" s="219"/>
      <c r="Z552" s="219"/>
    </row>
    <row r="553">
      <c r="A553" s="244"/>
      <c r="B553" s="219"/>
      <c r="C553" s="219"/>
      <c r="D553" s="219"/>
      <c r="E553" s="213"/>
      <c r="F553" s="213"/>
      <c r="G553" s="213"/>
      <c r="H553" s="219"/>
      <c r="I553" s="219"/>
      <c r="J553" s="219"/>
      <c r="K553" s="219"/>
      <c r="L553" s="219"/>
      <c r="M553" s="219"/>
      <c r="N553" s="219"/>
      <c r="O553" s="219"/>
      <c r="P553" s="219"/>
      <c r="Q553" s="219"/>
      <c r="R553" s="219"/>
      <c r="S553" s="219"/>
      <c r="T553" s="219"/>
      <c r="U553" s="219"/>
      <c r="V553" s="219"/>
      <c r="W553" s="219"/>
      <c r="X553" s="219"/>
      <c r="Y553" s="219"/>
      <c r="Z553" s="219"/>
    </row>
    <row r="554">
      <c r="A554" s="244"/>
      <c r="B554" s="219"/>
      <c r="C554" s="219"/>
      <c r="D554" s="219"/>
      <c r="E554" s="213"/>
      <c r="F554" s="213"/>
      <c r="G554" s="213"/>
      <c r="H554" s="219"/>
      <c r="I554" s="219"/>
      <c r="J554" s="219"/>
      <c r="K554" s="219"/>
      <c r="L554" s="219"/>
      <c r="M554" s="219"/>
      <c r="N554" s="219"/>
      <c r="O554" s="219"/>
      <c r="P554" s="219"/>
      <c r="Q554" s="219"/>
      <c r="R554" s="219"/>
      <c r="S554" s="219"/>
      <c r="T554" s="219"/>
      <c r="U554" s="219"/>
      <c r="V554" s="219"/>
      <c r="W554" s="219"/>
      <c r="X554" s="219"/>
      <c r="Y554" s="219"/>
      <c r="Z554" s="219"/>
    </row>
    <row r="555">
      <c r="A555" s="244"/>
      <c r="B555" s="219"/>
      <c r="C555" s="219"/>
      <c r="D555" s="219"/>
      <c r="E555" s="213"/>
      <c r="F555" s="213"/>
      <c r="G555" s="213"/>
      <c r="H555" s="219"/>
      <c r="I555" s="219"/>
      <c r="J555" s="219"/>
      <c r="K555" s="219"/>
      <c r="L555" s="219"/>
      <c r="M555" s="219"/>
      <c r="N555" s="219"/>
      <c r="O555" s="219"/>
      <c r="P555" s="219"/>
      <c r="Q555" s="219"/>
      <c r="R555" s="219"/>
      <c r="S555" s="219"/>
      <c r="T555" s="219"/>
      <c r="U555" s="219"/>
      <c r="V555" s="219"/>
      <c r="W555" s="219"/>
      <c r="X555" s="219"/>
      <c r="Y555" s="219"/>
      <c r="Z555" s="219"/>
    </row>
    <row r="556">
      <c r="A556" s="244"/>
      <c r="B556" s="219"/>
      <c r="C556" s="219"/>
      <c r="D556" s="219"/>
      <c r="E556" s="213"/>
      <c r="F556" s="213"/>
      <c r="G556" s="213"/>
      <c r="H556" s="219"/>
      <c r="I556" s="219"/>
      <c r="J556" s="219"/>
      <c r="K556" s="219"/>
      <c r="L556" s="219"/>
      <c r="M556" s="219"/>
      <c r="N556" s="219"/>
      <c r="O556" s="219"/>
      <c r="P556" s="219"/>
      <c r="Q556" s="219"/>
      <c r="R556" s="219"/>
      <c r="S556" s="219"/>
      <c r="T556" s="219"/>
      <c r="U556" s="219"/>
      <c r="V556" s="219"/>
      <c r="W556" s="219"/>
      <c r="X556" s="219"/>
      <c r="Y556" s="219"/>
      <c r="Z556" s="219"/>
    </row>
    <row r="557">
      <c r="A557" s="244"/>
      <c r="B557" s="219"/>
      <c r="C557" s="219"/>
      <c r="D557" s="219"/>
      <c r="E557" s="213"/>
      <c r="F557" s="213"/>
      <c r="G557" s="213"/>
      <c r="H557" s="219"/>
      <c r="I557" s="219"/>
      <c r="J557" s="219"/>
      <c r="K557" s="219"/>
      <c r="L557" s="219"/>
      <c r="M557" s="219"/>
      <c r="N557" s="219"/>
      <c r="O557" s="219"/>
      <c r="P557" s="219"/>
      <c r="Q557" s="219"/>
      <c r="R557" s="219"/>
      <c r="S557" s="219"/>
      <c r="T557" s="219"/>
      <c r="U557" s="219"/>
      <c r="V557" s="219"/>
      <c r="W557" s="219"/>
      <c r="X557" s="219"/>
      <c r="Y557" s="219"/>
      <c r="Z557" s="219"/>
    </row>
    <row r="558">
      <c r="A558" s="244"/>
      <c r="B558" s="219"/>
      <c r="C558" s="219"/>
      <c r="D558" s="219"/>
      <c r="E558" s="213"/>
      <c r="F558" s="213"/>
      <c r="G558" s="213"/>
      <c r="H558" s="219"/>
      <c r="I558" s="219"/>
      <c r="J558" s="219"/>
      <c r="K558" s="219"/>
      <c r="L558" s="219"/>
      <c r="M558" s="219"/>
      <c r="N558" s="219"/>
      <c r="O558" s="219"/>
      <c r="P558" s="219"/>
      <c r="Q558" s="219"/>
      <c r="R558" s="219"/>
      <c r="S558" s="219"/>
      <c r="T558" s="219"/>
      <c r="U558" s="219"/>
      <c r="V558" s="219"/>
      <c r="W558" s="219"/>
      <c r="X558" s="219"/>
      <c r="Y558" s="219"/>
      <c r="Z558" s="219"/>
    </row>
    <row r="559">
      <c r="A559" s="244"/>
      <c r="B559" s="219"/>
      <c r="C559" s="219"/>
      <c r="D559" s="219"/>
      <c r="E559" s="213"/>
      <c r="F559" s="213"/>
      <c r="G559" s="213"/>
      <c r="H559" s="219"/>
      <c r="I559" s="219"/>
      <c r="J559" s="219"/>
      <c r="K559" s="219"/>
      <c r="L559" s="219"/>
      <c r="M559" s="219"/>
      <c r="N559" s="219"/>
      <c r="O559" s="219"/>
      <c r="P559" s="219"/>
      <c r="Q559" s="219"/>
      <c r="R559" s="219"/>
      <c r="S559" s="219"/>
      <c r="T559" s="219"/>
      <c r="U559" s="219"/>
      <c r="V559" s="219"/>
      <c r="W559" s="219"/>
      <c r="X559" s="219"/>
      <c r="Y559" s="219"/>
      <c r="Z559" s="219"/>
    </row>
    <row r="560">
      <c r="A560" s="244"/>
      <c r="B560" s="219"/>
      <c r="C560" s="219"/>
      <c r="D560" s="219"/>
      <c r="E560" s="213"/>
      <c r="F560" s="213"/>
      <c r="G560" s="213"/>
      <c r="H560" s="219"/>
      <c r="I560" s="219"/>
      <c r="J560" s="219"/>
      <c r="K560" s="219"/>
      <c r="L560" s="219"/>
      <c r="M560" s="219"/>
      <c r="N560" s="219"/>
      <c r="O560" s="219"/>
      <c r="P560" s="219"/>
      <c r="Q560" s="219"/>
      <c r="R560" s="219"/>
      <c r="S560" s="219"/>
      <c r="T560" s="219"/>
      <c r="U560" s="219"/>
      <c r="V560" s="219"/>
      <c r="W560" s="219"/>
      <c r="X560" s="219"/>
      <c r="Y560" s="219"/>
      <c r="Z560" s="219"/>
    </row>
    <row r="561">
      <c r="A561" s="244"/>
      <c r="B561" s="219"/>
      <c r="C561" s="219"/>
      <c r="D561" s="219"/>
      <c r="E561" s="213"/>
      <c r="F561" s="213"/>
      <c r="G561" s="213"/>
      <c r="H561" s="219"/>
      <c r="I561" s="219"/>
      <c r="J561" s="219"/>
      <c r="K561" s="219"/>
      <c r="L561" s="219"/>
      <c r="M561" s="219"/>
      <c r="N561" s="219"/>
      <c r="O561" s="219"/>
      <c r="P561" s="219"/>
      <c r="Q561" s="219"/>
      <c r="R561" s="219"/>
      <c r="S561" s="219"/>
      <c r="T561" s="219"/>
      <c r="U561" s="219"/>
      <c r="V561" s="219"/>
      <c r="W561" s="219"/>
      <c r="X561" s="219"/>
      <c r="Y561" s="219"/>
      <c r="Z561" s="219"/>
    </row>
    <row r="562">
      <c r="A562" s="244"/>
      <c r="B562" s="219"/>
      <c r="C562" s="219"/>
      <c r="D562" s="219"/>
      <c r="E562" s="213"/>
      <c r="F562" s="213"/>
      <c r="G562" s="213"/>
      <c r="H562" s="219"/>
      <c r="I562" s="219"/>
      <c r="J562" s="219"/>
      <c r="K562" s="219"/>
      <c r="L562" s="219"/>
      <c r="M562" s="219"/>
      <c r="N562" s="219"/>
      <c r="O562" s="219"/>
      <c r="P562" s="219"/>
      <c r="Q562" s="219"/>
      <c r="R562" s="219"/>
      <c r="S562" s="219"/>
      <c r="T562" s="219"/>
      <c r="U562" s="219"/>
      <c r="V562" s="219"/>
      <c r="W562" s="219"/>
      <c r="X562" s="219"/>
      <c r="Y562" s="219"/>
      <c r="Z562" s="219"/>
    </row>
    <row r="563">
      <c r="A563" s="244"/>
      <c r="B563" s="219"/>
      <c r="C563" s="219"/>
      <c r="D563" s="219"/>
      <c r="E563" s="213"/>
      <c r="F563" s="213"/>
      <c r="G563" s="213"/>
      <c r="H563" s="219"/>
      <c r="I563" s="219"/>
      <c r="J563" s="219"/>
      <c r="K563" s="219"/>
      <c r="L563" s="219"/>
      <c r="M563" s="219"/>
      <c r="N563" s="219"/>
      <c r="O563" s="219"/>
      <c r="P563" s="219"/>
      <c r="Q563" s="219"/>
      <c r="R563" s="219"/>
      <c r="S563" s="219"/>
      <c r="T563" s="219"/>
      <c r="U563" s="219"/>
      <c r="V563" s="219"/>
      <c r="W563" s="219"/>
      <c r="X563" s="219"/>
      <c r="Y563" s="219"/>
      <c r="Z563" s="219"/>
    </row>
    <row r="564">
      <c r="A564" s="244"/>
      <c r="B564" s="219"/>
      <c r="C564" s="219"/>
      <c r="D564" s="219"/>
      <c r="E564" s="213"/>
      <c r="F564" s="213"/>
      <c r="G564" s="213"/>
      <c r="H564" s="219"/>
      <c r="I564" s="219"/>
      <c r="J564" s="219"/>
      <c r="K564" s="219"/>
      <c r="L564" s="219"/>
      <c r="M564" s="219"/>
      <c r="N564" s="219"/>
      <c r="O564" s="219"/>
      <c r="P564" s="219"/>
      <c r="Q564" s="219"/>
      <c r="R564" s="219"/>
      <c r="S564" s="219"/>
      <c r="T564" s="219"/>
      <c r="U564" s="219"/>
      <c r="V564" s="219"/>
      <c r="W564" s="219"/>
      <c r="X564" s="219"/>
      <c r="Y564" s="219"/>
      <c r="Z564" s="219"/>
    </row>
    <row r="565">
      <c r="A565" s="244"/>
      <c r="B565" s="219"/>
      <c r="C565" s="219"/>
      <c r="D565" s="219"/>
      <c r="E565" s="213"/>
      <c r="F565" s="213"/>
      <c r="G565" s="213"/>
      <c r="H565" s="219"/>
      <c r="I565" s="219"/>
      <c r="J565" s="219"/>
      <c r="K565" s="219"/>
      <c r="L565" s="219"/>
      <c r="M565" s="219"/>
      <c r="N565" s="219"/>
      <c r="O565" s="219"/>
      <c r="P565" s="219"/>
      <c r="Q565" s="219"/>
      <c r="R565" s="219"/>
      <c r="S565" s="219"/>
      <c r="T565" s="219"/>
      <c r="U565" s="219"/>
      <c r="V565" s="219"/>
      <c r="W565" s="219"/>
      <c r="X565" s="219"/>
      <c r="Y565" s="219"/>
      <c r="Z565" s="219"/>
    </row>
    <row r="566">
      <c r="A566" s="244"/>
      <c r="B566" s="219"/>
      <c r="C566" s="219"/>
      <c r="D566" s="219"/>
      <c r="E566" s="213"/>
      <c r="F566" s="213"/>
      <c r="G566" s="213"/>
      <c r="H566" s="219"/>
      <c r="I566" s="219"/>
      <c r="J566" s="219"/>
      <c r="K566" s="219"/>
      <c r="L566" s="219"/>
      <c r="M566" s="219"/>
      <c r="N566" s="219"/>
      <c r="O566" s="219"/>
      <c r="P566" s="219"/>
      <c r="Q566" s="219"/>
      <c r="R566" s="219"/>
      <c r="S566" s="219"/>
      <c r="T566" s="219"/>
      <c r="U566" s="219"/>
      <c r="V566" s="219"/>
      <c r="W566" s="219"/>
      <c r="X566" s="219"/>
      <c r="Y566" s="219"/>
      <c r="Z566" s="219"/>
    </row>
    <row r="567">
      <c r="A567" s="244"/>
      <c r="B567" s="219"/>
      <c r="C567" s="219"/>
      <c r="D567" s="219"/>
      <c r="E567" s="213"/>
      <c r="F567" s="213"/>
      <c r="G567" s="213"/>
      <c r="H567" s="219"/>
      <c r="I567" s="219"/>
      <c r="J567" s="219"/>
      <c r="K567" s="219"/>
      <c r="L567" s="219"/>
      <c r="M567" s="219"/>
      <c r="N567" s="219"/>
      <c r="O567" s="219"/>
      <c r="P567" s="219"/>
      <c r="Q567" s="219"/>
      <c r="R567" s="219"/>
      <c r="S567" s="219"/>
      <c r="T567" s="219"/>
      <c r="U567" s="219"/>
      <c r="V567" s="219"/>
      <c r="W567" s="219"/>
      <c r="X567" s="219"/>
      <c r="Y567" s="219"/>
      <c r="Z567" s="219"/>
    </row>
    <row r="568">
      <c r="A568" s="244"/>
      <c r="B568" s="219"/>
      <c r="C568" s="219"/>
      <c r="D568" s="219"/>
      <c r="E568" s="213"/>
      <c r="F568" s="213"/>
      <c r="G568" s="213"/>
      <c r="H568" s="219"/>
      <c r="I568" s="219"/>
      <c r="J568" s="219"/>
      <c r="K568" s="219"/>
      <c r="L568" s="219"/>
      <c r="M568" s="219"/>
      <c r="N568" s="219"/>
      <c r="O568" s="219"/>
      <c r="P568" s="219"/>
      <c r="Q568" s="219"/>
      <c r="R568" s="219"/>
      <c r="S568" s="219"/>
      <c r="T568" s="219"/>
      <c r="U568" s="219"/>
      <c r="V568" s="219"/>
      <c r="W568" s="219"/>
      <c r="X568" s="219"/>
      <c r="Y568" s="219"/>
      <c r="Z568" s="219"/>
    </row>
    <row r="569">
      <c r="A569" s="244"/>
      <c r="B569" s="219"/>
      <c r="C569" s="219"/>
      <c r="D569" s="219"/>
      <c r="E569" s="213"/>
      <c r="F569" s="213"/>
      <c r="G569" s="213"/>
      <c r="H569" s="219"/>
      <c r="I569" s="219"/>
      <c r="J569" s="219"/>
      <c r="K569" s="219"/>
      <c r="L569" s="219"/>
      <c r="M569" s="219"/>
      <c r="N569" s="219"/>
      <c r="O569" s="219"/>
      <c r="P569" s="219"/>
      <c r="Q569" s="219"/>
      <c r="R569" s="219"/>
      <c r="S569" s="219"/>
      <c r="T569" s="219"/>
      <c r="U569" s="219"/>
      <c r="V569" s="219"/>
      <c r="W569" s="219"/>
      <c r="X569" s="219"/>
      <c r="Y569" s="219"/>
      <c r="Z569" s="219"/>
    </row>
    <row r="570">
      <c r="A570" s="244"/>
      <c r="B570" s="219"/>
      <c r="C570" s="219"/>
      <c r="D570" s="219"/>
      <c r="E570" s="213"/>
      <c r="F570" s="213"/>
      <c r="G570" s="213"/>
      <c r="H570" s="219"/>
      <c r="I570" s="219"/>
      <c r="J570" s="219"/>
      <c r="K570" s="219"/>
      <c r="L570" s="219"/>
      <c r="M570" s="219"/>
      <c r="N570" s="219"/>
      <c r="O570" s="219"/>
      <c r="P570" s="219"/>
      <c r="Q570" s="219"/>
      <c r="R570" s="219"/>
      <c r="S570" s="219"/>
      <c r="T570" s="219"/>
      <c r="U570" s="219"/>
      <c r="V570" s="219"/>
      <c r="W570" s="219"/>
      <c r="X570" s="219"/>
      <c r="Y570" s="219"/>
      <c r="Z570" s="219"/>
    </row>
    <row r="571">
      <c r="A571" s="244"/>
      <c r="B571" s="219"/>
      <c r="C571" s="219"/>
      <c r="D571" s="219"/>
      <c r="E571" s="213"/>
      <c r="F571" s="213"/>
      <c r="G571" s="213"/>
      <c r="H571" s="219"/>
      <c r="I571" s="219"/>
      <c r="J571" s="219"/>
      <c r="K571" s="219"/>
      <c r="L571" s="219"/>
      <c r="M571" s="219"/>
      <c r="N571" s="219"/>
      <c r="O571" s="219"/>
      <c r="P571" s="219"/>
      <c r="Q571" s="219"/>
      <c r="R571" s="219"/>
      <c r="S571" s="219"/>
      <c r="T571" s="219"/>
      <c r="U571" s="219"/>
      <c r="V571" s="219"/>
      <c r="W571" s="219"/>
      <c r="X571" s="219"/>
      <c r="Y571" s="219"/>
      <c r="Z571" s="219"/>
    </row>
    <row r="572">
      <c r="A572" s="244"/>
      <c r="B572" s="219"/>
      <c r="C572" s="219"/>
      <c r="D572" s="219"/>
      <c r="E572" s="213"/>
      <c r="F572" s="213"/>
      <c r="G572" s="213"/>
      <c r="H572" s="219"/>
      <c r="I572" s="219"/>
      <c r="J572" s="219"/>
      <c r="K572" s="219"/>
      <c r="L572" s="219"/>
      <c r="M572" s="219"/>
      <c r="N572" s="219"/>
      <c r="O572" s="219"/>
      <c r="P572" s="219"/>
      <c r="Q572" s="219"/>
      <c r="R572" s="219"/>
      <c r="S572" s="219"/>
      <c r="T572" s="219"/>
      <c r="U572" s="219"/>
      <c r="V572" s="219"/>
      <c r="W572" s="219"/>
      <c r="X572" s="219"/>
      <c r="Y572" s="219"/>
      <c r="Z572" s="219"/>
    </row>
    <row r="573">
      <c r="A573" s="244"/>
      <c r="B573" s="219"/>
      <c r="C573" s="219"/>
      <c r="D573" s="219"/>
      <c r="E573" s="213"/>
      <c r="F573" s="213"/>
      <c r="G573" s="213"/>
      <c r="H573" s="219"/>
      <c r="I573" s="219"/>
      <c r="J573" s="219"/>
      <c r="K573" s="219"/>
      <c r="L573" s="219"/>
      <c r="M573" s="219"/>
      <c r="N573" s="219"/>
      <c r="O573" s="219"/>
      <c r="P573" s="219"/>
      <c r="Q573" s="219"/>
      <c r="R573" s="219"/>
      <c r="S573" s="219"/>
      <c r="T573" s="219"/>
      <c r="U573" s="219"/>
      <c r="V573" s="219"/>
      <c r="W573" s="219"/>
      <c r="X573" s="219"/>
      <c r="Y573" s="219"/>
      <c r="Z573" s="219"/>
    </row>
    <row r="574">
      <c r="A574" s="244"/>
      <c r="B574" s="219"/>
      <c r="C574" s="219"/>
      <c r="D574" s="219"/>
      <c r="E574" s="213"/>
      <c r="F574" s="213"/>
      <c r="G574" s="213"/>
      <c r="H574" s="219"/>
      <c r="I574" s="219"/>
      <c r="J574" s="219"/>
      <c r="K574" s="219"/>
      <c r="L574" s="219"/>
      <c r="M574" s="219"/>
      <c r="N574" s="219"/>
      <c r="O574" s="219"/>
      <c r="P574" s="219"/>
      <c r="Q574" s="219"/>
      <c r="R574" s="219"/>
      <c r="S574" s="219"/>
      <c r="T574" s="219"/>
      <c r="U574" s="219"/>
      <c r="V574" s="219"/>
      <c r="W574" s="219"/>
      <c r="X574" s="219"/>
      <c r="Y574" s="219"/>
      <c r="Z574" s="219"/>
    </row>
    <row r="575">
      <c r="A575" s="244"/>
      <c r="B575" s="219"/>
      <c r="C575" s="219"/>
      <c r="D575" s="219"/>
      <c r="E575" s="213"/>
      <c r="F575" s="213"/>
      <c r="G575" s="213"/>
      <c r="H575" s="219"/>
      <c r="I575" s="219"/>
      <c r="J575" s="219"/>
      <c r="K575" s="219"/>
      <c r="L575" s="219"/>
      <c r="M575" s="219"/>
      <c r="N575" s="219"/>
      <c r="O575" s="219"/>
      <c r="P575" s="219"/>
      <c r="Q575" s="219"/>
      <c r="R575" s="219"/>
      <c r="S575" s="219"/>
      <c r="T575" s="219"/>
      <c r="U575" s="219"/>
      <c r="V575" s="219"/>
      <c r="W575" s="219"/>
      <c r="X575" s="219"/>
      <c r="Y575" s="219"/>
      <c r="Z575" s="219"/>
    </row>
    <row r="576">
      <c r="A576" s="244"/>
      <c r="B576" s="219"/>
      <c r="C576" s="219"/>
      <c r="D576" s="219"/>
      <c r="E576" s="213"/>
      <c r="F576" s="213"/>
      <c r="G576" s="213"/>
      <c r="H576" s="219"/>
      <c r="I576" s="219"/>
      <c r="J576" s="219"/>
      <c r="K576" s="219"/>
      <c r="L576" s="219"/>
      <c r="M576" s="219"/>
      <c r="N576" s="219"/>
      <c r="O576" s="219"/>
      <c r="P576" s="219"/>
      <c r="Q576" s="219"/>
      <c r="R576" s="219"/>
      <c r="S576" s="219"/>
      <c r="T576" s="219"/>
      <c r="U576" s="219"/>
      <c r="V576" s="219"/>
      <c r="W576" s="219"/>
      <c r="X576" s="219"/>
      <c r="Y576" s="219"/>
      <c r="Z576" s="219"/>
    </row>
    <row r="577">
      <c r="A577" s="244"/>
      <c r="B577" s="219"/>
      <c r="C577" s="219"/>
      <c r="D577" s="219"/>
      <c r="E577" s="213"/>
      <c r="F577" s="213"/>
      <c r="G577" s="213"/>
      <c r="H577" s="219"/>
      <c r="I577" s="219"/>
      <c r="J577" s="219"/>
      <c r="K577" s="219"/>
      <c r="L577" s="219"/>
      <c r="M577" s="219"/>
      <c r="N577" s="219"/>
      <c r="O577" s="219"/>
      <c r="P577" s="219"/>
      <c r="Q577" s="219"/>
      <c r="R577" s="219"/>
      <c r="S577" s="219"/>
      <c r="T577" s="219"/>
      <c r="U577" s="219"/>
      <c r="V577" s="219"/>
      <c r="W577" s="219"/>
      <c r="X577" s="219"/>
      <c r="Y577" s="219"/>
      <c r="Z577" s="219"/>
    </row>
    <row r="578">
      <c r="A578" s="244"/>
      <c r="B578" s="219"/>
      <c r="C578" s="219"/>
      <c r="D578" s="219"/>
      <c r="E578" s="213"/>
      <c r="F578" s="213"/>
      <c r="G578" s="213"/>
      <c r="H578" s="219"/>
      <c r="I578" s="219"/>
      <c r="J578" s="219"/>
      <c r="K578" s="219"/>
      <c r="L578" s="219"/>
      <c r="M578" s="219"/>
      <c r="N578" s="219"/>
      <c r="O578" s="219"/>
      <c r="P578" s="219"/>
      <c r="Q578" s="219"/>
      <c r="R578" s="219"/>
      <c r="S578" s="219"/>
      <c r="T578" s="219"/>
      <c r="U578" s="219"/>
      <c r="V578" s="219"/>
      <c r="W578" s="219"/>
      <c r="X578" s="219"/>
      <c r="Y578" s="219"/>
      <c r="Z578" s="219"/>
    </row>
    <row r="579">
      <c r="A579" s="244"/>
      <c r="B579" s="219"/>
      <c r="C579" s="219"/>
      <c r="D579" s="219"/>
      <c r="E579" s="213"/>
      <c r="F579" s="213"/>
      <c r="G579" s="213"/>
      <c r="H579" s="219"/>
      <c r="I579" s="219"/>
      <c r="J579" s="219"/>
      <c r="K579" s="219"/>
      <c r="L579" s="219"/>
      <c r="M579" s="219"/>
      <c r="N579" s="219"/>
      <c r="O579" s="219"/>
      <c r="P579" s="219"/>
      <c r="Q579" s="219"/>
      <c r="R579" s="219"/>
      <c r="S579" s="219"/>
      <c r="T579" s="219"/>
      <c r="U579" s="219"/>
      <c r="V579" s="219"/>
      <c r="W579" s="219"/>
      <c r="X579" s="219"/>
      <c r="Y579" s="219"/>
      <c r="Z579" s="219"/>
    </row>
    <row r="580">
      <c r="A580" s="244"/>
      <c r="B580" s="219"/>
      <c r="C580" s="219"/>
      <c r="D580" s="219"/>
      <c r="E580" s="213"/>
      <c r="F580" s="213"/>
      <c r="G580" s="213"/>
      <c r="H580" s="219"/>
      <c r="I580" s="219"/>
      <c r="J580" s="219"/>
      <c r="K580" s="219"/>
      <c r="L580" s="219"/>
      <c r="M580" s="219"/>
      <c r="N580" s="219"/>
      <c r="O580" s="219"/>
      <c r="P580" s="219"/>
      <c r="Q580" s="219"/>
      <c r="R580" s="219"/>
      <c r="S580" s="219"/>
      <c r="T580" s="219"/>
      <c r="U580" s="219"/>
      <c r="V580" s="219"/>
      <c r="W580" s="219"/>
      <c r="X580" s="219"/>
      <c r="Y580" s="219"/>
      <c r="Z580" s="219"/>
    </row>
    <row r="581">
      <c r="A581" s="244"/>
      <c r="B581" s="219"/>
      <c r="C581" s="219"/>
      <c r="D581" s="219"/>
      <c r="E581" s="213"/>
      <c r="F581" s="213"/>
      <c r="G581" s="213"/>
      <c r="H581" s="219"/>
      <c r="I581" s="219"/>
      <c r="J581" s="219"/>
      <c r="K581" s="219"/>
      <c r="L581" s="219"/>
      <c r="M581" s="219"/>
      <c r="N581" s="219"/>
      <c r="O581" s="219"/>
      <c r="P581" s="219"/>
      <c r="Q581" s="219"/>
      <c r="R581" s="219"/>
      <c r="S581" s="219"/>
      <c r="T581" s="219"/>
      <c r="U581" s="219"/>
      <c r="V581" s="219"/>
      <c r="W581" s="219"/>
      <c r="X581" s="219"/>
      <c r="Y581" s="219"/>
      <c r="Z581" s="219"/>
    </row>
    <row r="582">
      <c r="A582" s="244"/>
      <c r="B582" s="219"/>
      <c r="C582" s="219"/>
      <c r="D582" s="219"/>
      <c r="E582" s="213"/>
      <c r="F582" s="213"/>
      <c r="G582" s="213"/>
      <c r="H582" s="219"/>
      <c r="I582" s="219"/>
      <c r="J582" s="219"/>
      <c r="K582" s="219"/>
      <c r="L582" s="219"/>
      <c r="M582" s="219"/>
      <c r="N582" s="219"/>
      <c r="O582" s="219"/>
      <c r="P582" s="219"/>
      <c r="Q582" s="219"/>
      <c r="R582" s="219"/>
      <c r="S582" s="219"/>
      <c r="T582" s="219"/>
      <c r="U582" s="219"/>
      <c r="V582" s="219"/>
      <c r="W582" s="219"/>
      <c r="X582" s="219"/>
      <c r="Y582" s="219"/>
      <c r="Z582" s="219"/>
    </row>
    <row r="583">
      <c r="A583" s="244"/>
      <c r="B583" s="219"/>
      <c r="C583" s="219"/>
      <c r="D583" s="219"/>
      <c r="E583" s="213"/>
      <c r="F583" s="213"/>
      <c r="G583" s="213"/>
      <c r="H583" s="219"/>
      <c r="I583" s="219"/>
      <c r="J583" s="219"/>
      <c r="K583" s="219"/>
      <c r="L583" s="219"/>
      <c r="M583" s="219"/>
      <c r="N583" s="219"/>
      <c r="O583" s="219"/>
      <c r="P583" s="219"/>
      <c r="Q583" s="219"/>
      <c r="R583" s="219"/>
      <c r="S583" s="219"/>
      <c r="T583" s="219"/>
      <c r="U583" s="219"/>
      <c r="V583" s="219"/>
      <c r="W583" s="219"/>
      <c r="X583" s="219"/>
      <c r="Y583" s="219"/>
      <c r="Z583" s="219"/>
    </row>
    <row r="584">
      <c r="A584" s="244"/>
      <c r="B584" s="219"/>
      <c r="C584" s="219"/>
      <c r="D584" s="219"/>
      <c r="E584" s="213"/>
      <c r="F584" s="213"/>
      <c r="G584" s="213"/>
      <c r="H584" s="219"/>
      <c r="I584" s="219"/>
      <c r="J584" s="219"/>
      <c r="K584" s="219"/>
      <c r="L584" s="219"/>
      <c r="M584" s="219"/>
      <c r="N584" s="219"/>
      <c r="O584" s="219"/>
      <c r="P584" s="219"/>
      <c r="Q584" s="219"/>
      <c r="R584" s="219"/>
      <c r="S584" s="219"/>
      <c r="T584" s="219"/>
      <c r="U584" s="219"/>
      <c r="V584" s="219"/>
      <c r="W584" s="219"/>
      <c r="X584" s="219"/>
      <c r="Y584" s="219"/>
      <c r="Z584" s="219"/>
    </row>
    <row r="585">
      <c r="A585" s="244"/>
      <c r="B585" s="219"/>
      <c r="C585" s="219"/>
      <c r="D585" s="219"/>
      <c r="E585" s="213"/>
      <c r="F585" s="213"/>
      <c r="G585" s="213"/>
      <c r="H585" s="219"/>
      <c r="I585" s="219"/>
      <c r="J585" s="219"/>
      <c r="K585" s="219"/>
      <c r="L585" s="219"/>
      <c r="M585" s="219"/>
      <c r="N585" s="219"/>
      <c r="O585" s="219"/>
      <c r="P585" s="219"/>
      <c r="Q585" s="219"/>
      <c r="R585" s="219"/>
      <c r="S585" s="219"/>
      <c r="T585" s="219"/>
      <c r="U585" s="219"/>
      <c r="V585" s="219"/>
      <c r="W585" s="219"/>
      <c r="X585" s="219"/>
      <c r="Y585" s="219"/>
      <c r="Z585" s="219"/>
    </row>
    <row r="586">
      <c r="A586" s="244"/>
      <c r="B586" s="219"/>
      <c r="C586" s="219"/>
      <c r="D586" s="219"/>
      <c r="E586" s="213"/>
      <c r="F586" s="213"/>
      <c r="G586" s="213"/>
      <c r="H586" s="219"/>
      <c r="I586" s="219"/>
      <c r="J586" s="219"/>
      <c r="K586" s="219"/>
      <c r="L586" s="219"/>
      <c r="M586" s="219"/>
      <c r="N586" s="219"/>
      <c r="O586" s="219"/>
      <c r="P586" s="219"/>
      <c r="Q586" s="219"/>
      <c r="R586" s="219"/>
      <c r="S586" s="219"/>
      <c r="T586" s="219"/>
      <c r="U586" s="219"/>
      <c r="V586" s="219"/>
      <c r="W586" s="219"/>
      <c r="X586" s="219"/>
      <c r="Y586" s="219"/>
      <c r="Z586" s="219"/>
    </row>
    <row r="587">
      <c r="A587" s="244"/>
      <c r="B587" s="219"/>
      <c r="C587" s="219"/>
      <c r="D587" s="219"/>
      <c r="E587" s="213"/>
      <c r="F587" s="213"/>
      <c r="G587" s="213"/>
      <c r="H587" s="219"/>
      <c r="I587" s="219"/>
      <c r="J587" s="219"/>
      <c r="K587" s="219"/>
      <c r="L587" s="219"/>
      <c r="M587" s="219"/>
      <c r="N587" s="219"/>
      <c r="O587" s="219"/>
      <c r="P587" s="219"/>
      <c r="Q587" s="219"/>
      <c r="R587" s="219"/>
      <c r="S587" s="219"/>
      <c r="T587" s="219"/>
      <c r="U587" s="219"/>
      <c r="V587" s="219"/>
      <c r="W587" s="219"/>
      <c r="X587" s="219"/>
      <c r="Y587" s="219"/>
      <c r="Z587" s="219"/>
    </row>
    <row r="588">
      <c r="A588" s="244"/>
      <c r="B588" s="219"/>
      <c r="C588" s="219"/>
      <c r="D588" s="219"/>
      <c r="E588" s="213"/>
      <c r="F588" s="213"/>
      <c r="G588" s="213"/>
      <c r="H588" s="219"/>
      <c r="I588" s="219"/>
      <c r="J588" s="219"/>
      <c r="K588" s="219"/>
      <c r="L588" s="219"/>
      <c r="M588" s="219"/>
      <c r="N588" s="219"/>
      <c r="O588" s="219"/>
      <c r="P588" s="219"/>
      <c r="Q588" s="219"/>
      <c r="R588" s="219"/>
      <c r="S588" s="219"/>
      <c r="T588" s="219"/>
      <c r="U588" s="219"/>
      <c r="V588" s="219"/>
      <c r="W588" s="219"/>
      <c r="X588" s="219"/>
      <c r="Y588" s="219"/>
      <c r="Z588" s="219"/>
    </row>
    <row r="589">
      <c r="A589" s="244"/>
      <c r="B589" s="219"/>
      <c r="C589" s="219"/>
      <c r="D589" s="219"/>
      <c r="E589" s="213"/>
      <c r="F589" s="213"/>
      <c r="G589" s="213"/>
      <c r="H589" s="219"/>
      <c r="I589" s="219"/>
      <c r="J589" s="219"/>
      <c r="K589" s="219"/>
      <c r="L589" s="219"/>
      <c r="M589" s="219"/>
      <c r="N589" s="219"/>
      <c r="O589" s="219"/>
      <c r="P589" s="219"/>
      <c r="Q589" s="219"/>
      <c r="R589" s="219"/>
      <c r="S589" s="219"/>
      <c r="T589" s="219"/>
      <c r="U589" s="219"/>
      <c r="V589" s="219"/>
      <c r="W589" s="219"/>
      <c r="X589" s="219"/>
      <c r="Y589" s="219"/>
      <c r="Z589" s="219"/>
    </row>
    <row r="590">
      <c r="A590" s="244"/>
      <c r="B590" s="219"/>
      <c r="C590" s="219"/>
      <c r="D590" s="219"/>
      <c r="E590" s="213"/>
      <c r="F590" s="213"/>
      <c r="G590" s="213"/>
      <c r="H590" s="219"/>
      <c r="I590" s="219"/>
      <c r="J590" s="219"/>
      <c r="K590" s="219"/>
      <c r="L590" s="219"/>
      <c r="M590" s="219"/>
      <c r="N590" s="219"/>
      <c r="O590" s="219"/>
      <c r="P590" s="219"/>
      <c r="Q590" s="219"/>
      <c r="R590" s="219"/>
      <c r="S590" s="219"/>
      <c r="T590" s="219"/>
      <c r="U590" s="219"/>
      <c r="V590" s="219"/>
      <c r="W590" s="219"/>
      <c r="X590" s="219"/>
      <c r="Y590" s="219"/>
      <c r="Z590" s="219"/>
    </row>
    <row r="591">
      <c r="A591" s="244"/>
      <c r="B591" s="219"/>
      <c r="C591" s="219"/>
      <c r="D591" s="219"/>
      <c r="E591" s="213"/>
      <c r="F591" s="213"/>
      <c r="G591" s="213"/>
      <c r="H591" s="219"/>
      <c r="I591" s="219"/>
      <c r="J591" s="219"/>
      <c r="K591" s="219"/>
      <c r="L591" s="219"/>
      <c r="M591" s="219"/>
      <c r="N591" s="219"/>
      <c r="O591" s="219"/>
      <c r="P591" s="219"/>
      <c r="Q591" s="219"/>
      <c r="R591" s="219"/>
      <c r="S591" s="219"/>
      <c r="T591" s="219"/>
      <c r="U591" s="219"/>
      <c r="V591" s="219"/>
      <c r="W591" s="219"/>
      <c r="X591" s="219"/>
      <c r="Y591" s="219"/>
      <c r="Z591" s="219"/>
    </row>
    <row r="592">
      <c r="A592" s="244"/>
      <c r="B592" s="219"/>
      <c r="C592" s="219"/>
      <c r="D592" s="219"/>
      <c r="E592" s="213"/>
      <c r="F592" s="213"/>
      <c r="G592" s="213"/>
      <c r="H592" s="219"/>
      <c r="I592" s="219"/>
      <c r="J592" s="219"/>
      <c r="K592" s="219"/>
      <c r="L592" s="219"/>
      <c r="M592" s="219"/>
      <c r="N592" s="219"/>
      <c r="O592" s="219"/>
      <c r="P592" s="219"/>
      <c r="Q592" s="219"/>
      <c r="R592" s="219"/>
      <c r="S592" s="219"/>
      <c r="T592" s="219"/>
      <c r="U592" s="219"/>
      <c r="V592" s="219"/>
      <c r="W592" s="219"/>
      <c r="X592" s="219"/>
      <c r="Y592" s="219"/>
      <c r="Z592" s="219"/>
    </row>
    <row r="593">
      <c r="A593" s="244"/>
      <c r="B593" s="219"/>
      <c r="C593" s="219"/>
      <c r="D593" s="219"/>
      <c r="E593" s="213"/>
      <c r="F593" s="213"/>
      <c r="G593" s="213"/>
      <c r="H593" s="219"/>
      <c r="I593" s="219"/>
      <c r="J593" s="219"/>
      <c r="K593" s="219"/>
      <c r="L593" s="219"/>
      <c r="M593" s="219"/>
      <c r="N593" s="219"/>
      <c r="O593" s="219"/>
      <c r="P593" s="219"/>
      <c r="Q593" s="219"/>
      <c r="R593" s="219"/>
      <c r="S593" s="219"/>
      <c r="T593" s="219"/>
      <c r="U593" s="219"/>
      <c r="V593" s="219"/>
      <c r="W593" s="219"/>
      <c r="X593" s="219"/>
      <c r="Y593" s="219"/>
      <c r="Z593" s="219"/>
    </row>
    <row r="594">
      <c r="A594" s="244"/>
      <c r="B594" s="219"/>
      <c r="C594" s="219"/>
      <c r="D594" s="219"/>
      <c r="E594" s="213"/>
      <c r="F594" s="213"/>
      <c r="G594" s="213"/>
      <c r="H594" s="219"/>
      <c r="I594" s="219"/>
      <c r="J594" s="219"/>
      <c r="K594" s="219"/>
      <c r="L594" s="219"/>
      <c r="M594" s="219"/>
      <c r="N594" s="219"/>
      <c r="O594" s="219"/>
      <c r="P594" s="219"/>
      <c r="Q594" s="219"/>
      <c r="R594" s="219"/>
      <c r="S594" s="219"/>
      <c r="T594" s="219"/>
      <c r="U594" s="219"/>
      <c r="V594" s="219"/>
      <c r="W594" s="219"/>
      <c r="X594" s="219"/>
      <c r="Y594" s="219"/>
      <c r="Z594" s="219"/>
    </row>
    <row r="595">
      <c r="A595" s="244"/>
      <c r="B595" s="219"/>
      <c r="C595" s="219"/>
      <c r="D595" s="219"/>
      <c r="E595" s="213"/>
      <c r="F595" s="213"/>
      <c r="G595" s="213"/>
      <c r="H595" s="219"/>
      <c r="I595" s="219"/>
      <c r="J595" s="219"/>
      <c r="K595" s="219"/>
      <c r="L595" s="219"/>
      <c r="M595" s="219"/>
      <c r="N595" s="219"/>
      <c r="O595" s="219"/>
      <c r="P595" s="219"/>
      <c r="Q595" s="219"/>
      <c r="R595" s="219"/>
      <c r="S595" s="219"/>
      <c r="T595" s="219"/>
      <c r="U595" s="219"/>
      <c r="V595" s="219"/>
      <c r="W595" s="219"/>
      <c r="X595" s="219"/>
      <c r="Y595" s="219"/>
      <c r="Z595" s="219"/>
    </row>
    <row r="596">
      <c r="A596" s="244"/>
      <c r="B596" s="219"/>
      <c r="C596" s="219"/>
      <c r="D596" s="219"/>
      <c r="E596" s="213"/>
      <c r="F596" s="213"/>
      <c r="G596" s="213"/>
      <c r="H596" s="219"/>
      <c r="I596" s="219"/>
      <c r="J596" s="219"/>
      <c r="K596" s="219"/>
      <c r="L596" s="219"/>
      <c r="M596" s="219"/>
      <c r="N596" s="219"/>
      <c r="O596" s="219"/>
      <c r="P596" s="219"/>
      <c r="Q596" s="219"/>
      <c r="R596" s="219"/>
      <c r="S596" s="219"/>
      <c r="T596" s="219"/>
      <c r="U596" s="219"/>
      <c r="V596" s="219"/>
      <c r="W596" s="219"/>
      <c r="X596" s="219"/>
      <c r="Y596" s="219"/>
      <c r="Z596" s="219"/>
    </row>
    <row r="597">
      <c r="A597" s="244"/>
      <c r="B597" s="219"/>
      <c r="C597" s="219"/>
      <c r="D597" s="219"/>
      <c r="E597" s="213"/>
      <c r="F597" s="213"/>
      <c r="G597" s="213"/>
      <c r="H597" s="219"/>
      <c r="I597" s="219"/>
      <c r="J597" s="219"/>
      <c r="K597" s="219"/>
      <c r="L597" s="219"/>
      <c r="M597" s="219"/>
      <c r="N597" s="219"/>
      <c r="O597" s="219"/>
      <c r="P597" s="219"/>
      <c r="Q597" s="219"/>
      <c r="R597" s="219"/>
      <c r="S597" s="219"/>
      <c r="T597" s="219"/>
      <c r="U597" s="219"/>
      <c r="V597" s="219"/>
      <c r="W597" s="219"/>
      <c r="X597" s="219"/>
      <c r="Y597" s="219"/>
      <c r="Z597" s="219"/>
    </row>
    <row r="598">
      <c r="A598" s="244"/>
      <c r="B598" s="219"/>
      <c r="C598" s="219"/>
      <c r="D598" s="219"/>
      <c r="E598" s="213"/>
      <c r="F598" s="213"/>
      <c r="G598" s="213"/>
      <c r="H598" s="219"/>
      <c r="I598" s="219"/>
      <c r="J598" s="219"/>
      <c r="K598" s="219"/>
      <c r="L598" s="219"/>
      <c r="M598" s="219"/>
      <c r="N598" s="219"/>
      <c r="O598" s="219"/>
      <c r="P598" s="219"/>
      <c r="Q598" s="219"/>
      <c r="R598" s="219"/>
      <c r="S598" s="219"/>
      <c r="T598" s="219"/>
      <c r="U598" s="219"/>
      <c r="V598" s="219"/>
      <c r="W598" s="219"/>
      <c r="X598" s="219"/>
      <c r="Y598" s="219"/>
      <c r="Z598" s="219"/>
    </row>
    <row r="599">
      <c r="A599" s="244"/>
      <c r="B599" s="219"/>
      <c r="C599" s="219"/>
      <c r="D599" s="219"/>
      <c r="E599" s="213"/>
      <c r="F599" s="213"/>
      <c r="G599" s="213"/>
      <c r="H599" s="219"/>
      <c r="I599" s="219"/>
      <c r="J599" s="219"/>
      <c r="K599" s="219"/>
      <c r="L599" s="219"/>
      <c r="M599" s="219"/>
      <c r="N599" s="219"/>
      <c r="O599" s="219"/>
      <c r="P599" s="219"/>
      <c r="Q599" s="219"/>
      <c r="R599" s="219"/>
      <c r="S599" s="219"/>
      <c r="T599" s="219"/>
      <c r="U599" s="219"/>
      <c r="V599" s="219"/>
      <c r="W599" s="219"/>
      <c r="X599" s="219"/>
      <c r="Y599" s="219"/>
      <c r="Z599" s="219"/>
    </row>
    <row r="600">
      <c r="A600" s="244"/>
      <c r="B600" s="219"/>
      <c r="C600" s="219"/>
      <c r="D600" s="219"/>
      <c r="E600" s="213"/>
      <c r="F600" s="213"/>
      <c r="G600" s="213"/>
      <c r="H600" s="219"/>
      <c r="I600" s="219"/>
      <c r="J600" s="219"/>
      <c r="K600" s="219"/>
      <c r="L600" s="219"/>
      <c r="M600" s="219"/>
      <c r="N600" s="219"/>
      <c r="O600" s="219"/>
      <c r="P600" s="219"/>
      <c r="Q600" s="219"/>
      <c r="R600" s="219"/>
      <c r="S600" s="219"/>
      <c r="T600" s="219"/>
      <c r="U600" s="219"/>
      <c r="V600" s="219"/>
      <c r="W600" s="219"/>
      <c r="X600" s="219"/>
      <c r="Y600" s="219"/>
      <c r="Z600" s="219"/>
    </row>
    <row r="601">
      <c r="A601" s="244"/>
      <c r="B601" s="219"/>
      <c r="C601" s="219"/>
      <c r="D601" s="219"/>
      <c r="E601" s="213"/>
      <c r="F601" s="213"/>
      <c r="G601" s="213"/>
      <c r="H601" s="219"/>
      <c r="I601" s="219"/>
      <c r="J601" s="219"/>
      <c r="K601" s="219"/>
      <c r="L601" s="219"/>
      <c r="M601" s="219"/>
      <c r="N601" s="219"/>
      <c r="O601" s="219"/>
      <c r="P601" s="219"/>
      <c r="Q601" s="219"/>
      <c r="R601" s="219"/>
      <c r="S601" s="219"/>
      <c r="T601" s="219"/>
      <c r="U601" s="219"/>
      <c r="V601" s="219"/>
      <c r="W601" s="219"/>
      <c r="X601" s="219"/>
      <c r="Y601" s="219"/>
      <c r="Z601" s="219"/>
    </row>
    <row r="602">
      <c r="A602" s="244"/>
      <c r="B602" s="219"/>
      <c r="C602" s="219"/>
      <c r="D602" s="219"/>
      <c r="E602" s="213"/>
      <c r="F602" s="213"/>
      <c r="G602" s="213"/>
      <c r="H602" s="219"/>
      <c r="I602" s="219"/>
      <c r="J602" s="219"/>
      <c r="K602" s="219"/>
      <c r="L602" s="219"/>
      <c r="M602" s="219"/>
      <c r="N602" s="219"/>
      <c r="O602" s="219"/>
      <c r="P602" s="219"/>
      <c r="Q602" s="219"/>
      <c r="R602" s="219"/>
      <c r="S602" s="219"/>
      <c r="T602" s="219"/>
      <c r="U602" s="219"/>
      <c r="V602" s="219"/>
      <c r="W602" s="219"/>
      <c r="X602" s="219"/>
      <c r="Y602" s="219"/>
      <c r="Z602" s="219"/>
    </row>
    <row r="603">
      <c r="A603" s="244"/>
      <c r="B603" s="219"/>
      <c r="C603" s="219"/>
      <c r="D603" s="219"/>
      <c r="E603" s="213"/>
      <c r="F603" s="213"/>
      <c r="G603" s="213"/>
      <c r="H603" s="219"/>
      <c r="I603" s="219"/>
      <c r="J603" s="219"/>
      <c r="K603" s="219"/>
      <c r="L603" s="219"/>
      <c r="M603" s="219"/>
      <c r="N603" s="219"/>
      <c r="O603" s="219"/>
      <c r="P603" s="219"/>
      <c r="Q603" s="219"/>
      <c r="R603" s="219"/>
      <c r="S603" s="219"/>
      <c r="T603" s="219"/>
      <c r="U603" s="219"/>
      <c r="V603" s="219"/>
      <c r="W603" s="219"/>
      <c r="X603" s="219"/>
      <c r="Y603" s="219"/>
      <c r="Z603" s="219"/>
    </row>
    <row r="604">
      <c r="A604" s="244"/>
      <c r="B604" s="219"/>
      <c r="C604" s="219"/>
      <c r="D604" s="219"/>
      <c r="E604" s="213"/>
      <c r="F604" s="213"/>
      <c r="G604" s="213"/>
      <c r="H604" s="219"/>
      <c r="I604" s="219"/>
      <c r="J604" s="219"/>
      <c r="K604" s="219"/>
      <c r="L604" s="219"/>
      <c r="M604" s="219"/>
      <c r="N604" s="219"/>
      <c r="O604" s="219"/>
      <c r="P604" s="219"/>
      <c r="Q604" s="219"/>
      <c r="R604" s="219"/>
      <c r="S604" s="219"/>
      <c r="T604" s="219"/>
      <c r="U604" s="219"/>
      <c r="V604" s="219"/>
      <c r="W604" s="219"/>
      <c r="X604" s="219"/>
      <c r="Y604" s="219"/>
      <c r="Z604" s="219"/>
    </row>
    <row r="605">
      <c r="A605" s="244"/>
      <c r="B605" s="219"/>
      <c r="C605" s="219"/>
      <c r="D605" s="219"/>
      <c r="E605" s="213"/>
      <c r="F605" s="213"/>
      <c r="G605" s="213"/>
      <c r="H605" s="219"/>
      <c r="I605" s="219"/>
      <c r="J605" s="219"/>
      <c r="K605" s="219"/>
      <c r="L605" s="219"/>
      <c r="M605" s="219"/>
      <c r="N605" s="219"/>
      <c r="O605" s="219"/>
      <c r="P605" s="219"/>
      <c r="Q605" s="219"/>
      <c r="R605" s="219"/>
      <c r="S605" s="219"/>
      <c r="T605" s="219"/>
      <c r="U605" s="219"/>
      <c r="V605" s="219"/>
      <c r="W605" s="219"/>
      <c r="X605" s="219"/>
      <c r="Y605" s="219"/>
      <c r="Z605" s="219"/>
    </row>
    <row r="606">
      <c r="A606" s="244"/>
      <c r="B606" s="219"/>
      <c r="C606" s="219"/>
      <c r="D606" s="219"/>
      <c r="E606" s="213"/>
      <c r="F606" s="213"/>
      <c r="G606" s="213"/>
      <c r="H606" s="219"/>
      <c r="I606" s="219"/>
      <c r="J606" s="219"/>
      <c r="K606" s="219"/>
      <c r="L606" s="219"/>
      <c r="M606" s="219"/>
      <c r="N606" s="219"/>
      <c r="O606" s="219"/>
      <c r="P606" s="219"/>
      <c r="Q606" s="219"/>
      <c r="R606" s="219"/>
      <c r="S606" s="219"/>
      <c r="T606" s="219"/>
      <c r="U606" s="219"/>
      <c r="V606" s="219"/>
      <c r="W606" s="219"/>
      <c r="X606" s="219"/>
      <c r="Y606" s="219"/>
      <c r="Z606" s="219"/>
    </row>
    <row r="607">
      <c r="A607" s="244"/>
      <c r="B607" s="219"/>
      <c r="C607" s="219"/>
      <c r="D607" s="219"/>
      <c r="E607" s="213"/>
      <c r="F607" s="213"/>
      <c r="G607" s="213"/>
      <c r="H607" s="219"/>
      <c r="I607" s="219"/>
      <c r="J607" s="219"/>
      <c r="K607" s="219"/>
      <c r="L607" s="219"/>
      <c r="M607" s="219"/>
      <c r="N607" s="219"/>
      <c r="O607" s="219"/>
      <c r="P607" s="219"/>
      <c r="Q607" s="219"/>
      <c r="R607" s="219"/>
      <c r="S607" s="219"/>
      <c r="T607" s="219"/>
      <c r="U607" s="219"/>
      <c r="V607" s="219"/>
      <c r="W607" s="219"/>
      <c r="X607" s="219"/>
      <c r="Y607" s="219"/>
      <c r="Z607" s="219"/>
    </row>
    <row r="608">
      <c r="A608" s="244"/>
      <c r="B608" s="219"/>
      <c r="C608" s="219"/>
      <c r="D608" s="219"/>
      <c r="E608" s="213"/>
      <c r="F608" s="213"/>
      <c r="G608" s="213"/>
      <c r="H608" s="219"/>
      <c r="I608" s="219"/>
      <c r="J608" s="219"/>
      <c r="K608" s="219"/>
      <c r="L608" s="219"/>
      <c r="M608" s="219"/>
      <c r="N608" s="219"/>
      <c r="O608" s="219"/>
      <c r="P608" s="219"/>
      <c r="Q608" s="219"/>
      <c r="R608" s="219"/>
      <c r="S608" s="219"/>
      <c r="T608" s="219"/>
      <c r="U608" s="219"/>
      <c r="V608" s="219"/>
      <c r="W608" s="219"/>
      <c r="X608" s="219"/>
      <c r="Y608" s="219"/>
      <c r="Z608" s="219"/>
    </row>
    <row r="609">
      <c r="A609" s="244"/>
      <c r="B609" s="219"/>
      <c r="C609" s="219"/>
      <c r="D609" s="219"/>
      <c r="E609" s="213"/>
      <c r="F609" s="213"/>
      <c r="G609" s="213"/>
      <c r="H609" s="219"/>
      <c r="I609" s="219"/>
      <c r="J609" s="219"/>
      <c r="K609" s="219"/>
      <c r="L609" s="219"/>
      <c r="M609" s="219"/>
      <c r="N609" s="219"/>
      <c r="O609" s="219"/>
      <c r="P609" s="219"/>
      <c r="Q609" s="219"/>
      <c r="R609" s="219"/>
      <c r="S609" s="219"/>
      <c r="T609" s="219"/>
      <c r="U609" s="219"/>
      <c r="V609" s="219"/>
      <c r="W609" s="219"/>
      <c r="X609" s="219"/>
      <c r="Y609" s="219"/>
      <c r="Z609" s="219"/>
    </row>
    <row r="610">
      <c r="A610" s="244"/>
      <c r="B610" s="219"/>
      <c r="C610" s="219"/>
      <c r="D610" s="219"/>
      <c r="E610" s="213"/>
      <c r="F610" s="213"/>
      <c r="G610" s="213"/>
      <c r="H610" s="219"/>
      <c r="I610" s="219"/>
      <c r="J610" s="219"/>
      <c r="K610" s="219"/>
      <c r="L610" s="219"/>
      <c r="M610" s="219"/>
      <c r="N610" s="219"/>
      <c r="O610" s="219"/>
      <c r="P610" s="219"/>
      <c r="Q610" s="219"/>
      <c r="R610" s="219"/>
      <c r="S610" s="219"/>
      <c r="T610" s="219"/>
      <c r="U610" s="219"/>
      <c r="V610" s="219"/>
      <c r="W610" s="219"/>
      <c r="X610" s="219"/>
      <c r="Y610" s="219"/>
      <c r="Z610" s="219"/>
    </row>
    <row r="611">
      <c r="A611" s="244"/>
      <c r="B611" s="219"/>
      <c r="C611" s="219"/>
      <c r="D611" s="219"/>
      <c r="E611" s="213"/>
      <c r="F611" s="213"/>
      <c r="G611" s="213"/>
      <c r="H611" s="219"/>
      <c r="I611" s="219"/>
      <c r="J611" s="219"/>
      <c r="K611" s="219"/>
      <c r="L611" s="219"/>
      <c r="M611" s="219"/>
      <c r="N611" s="219"/>
      <c r="O611" s="219"/>
      <c r="P611" s="219"/>
      <c r="Q611" s="219"/>
      <c r="R611" s="219"/>
      <c r="S611" s="219"/>
      <c r="T611" s="219"/>
      <c r="U611" s="219"/>
      <c r="V611" s="219"/>
      <c r="W611" s="219"/>
      <c r="X611" s="219"/>
      <c r="Y611" s="219"/>
      <c r="Z611" s="219"/>
    </row>
    <row r="612">
      <c r="A612" s="244"/>
      <c r="B612" s="219"/>
      <c r="C612" s="219"/>
      <c r="D612" s="219"/>
      <c r="E612" s="213"/>
      <c r="F612" s="213"/>
      <c r="G612" s="213"/>
      <c r="H612" s="219"/>
      <c r="I612" s="219"/>
      <c r="J612" s="219"/>
      <c r="K612" s="219"/>
      <c r="L612" s="219"/>
      <c r="M612" s="219"/>
      <c r="N612" s="219"/>
      <c r="O612" s="219"/>
      <c r="P612" s="219"/>
      <c r="Q612" s="219"/>
      <c r="R612" s="219"/>
      <c r="S612" s="219"/>
      <c r="T612" s="219"/>
      <c r="U612" s="219"/>
      <c r="V612" s="219"/>
      <c r="W612" s="219"/>
      <c r="X612" s="219"/>
      <c r="Y612" s="219"/>
      <c r="Z612" s="219"/>
    </row>
    <row r="613">
      <c r="A613" s="244"/>
      <c r="B613" s="219"/>
      <c r="C613" s="219"/>
      <c r="D613" s="219"/>
      <c r="E613" s="213"/>
      <c r="F613" s="213"/>
      <c r="G613" s="213"/>
      <c r="H613" s="219"/>
      <c r="I613" s="219"/>
      <c r="J613" s="219"/>
      <c r="K613" s="219"/>
      <c r="L613" s="219"/>
      <c r="M613" s="219"/>
      <c r="N613" s="219"/>
      <c r="O613" s="219"/>
      <c r="P613" s="219"/>
      <c r="Q613" s="219"/>
      <c r="R613" s="219"/>
      <c r="S613" s="219"/>
      <c r="T613" s="219"/>
      <c r="U613" s="219"/>
      <c r="V613" s="219"/>
      <c r="W613" s="219"/>
      <c r="X613" s="219"/>
      <c r="Y613" s="219"/>
      <c r="Z613" s="219"/>
    </row>
    <row r="614">
      <c r="A614" s="244"/>
      <c r="B614" s="219"/>
      <c r="C614" s="219"/>
      <c r="D614" s="219"/>
      <c r="E614" s="213"/>
      <c r="F614" s="213"/>
      <c r="G614" s="213"/>
      <c r="H614" s="219"/>
      <c r="I614" s="219"/>
      <c r="J614" s="219"/>
      <c r="K614" s="219"/>
      <c r="L614" s="219"/>
      <c r="M614" s="219"/>
      <c r="N614" s="219"/>
      <c r="O614" s="219"/>
      <c r="P614" s="219"/>
      <c r="Q614" s="219"/>
      <c r="R614" s="219"/>
      <c r="S614" s="219"/>
      <c r="T614" s="219"/>
      <c r="U614" s="219"/>
      <c r="V614" s="219"/>
      <c r="W614" s="219"/>
      <c r="X614" s="219"/>
      <c r="Y614" s="219"/>
      <c r="Z614" s="219"/>
    </row>
    <row r="615">
      <c r="A615" s="244"/>
      <c r="B615" s="219"/>
      <c r="C615" s="219"/>
      <c r="D615" s="219"/>
      <c r="E615" s="213"/>
      <c r="F615" s="213"/>
      <c r="G615" s="213"/>
      <c r="H615" s="219"/>
      <c r="I615" s="219"/>
      <c r="J615" s="219"/>
      <c r="K615" s="219"/>
      <c r="L615" s="219"/>
      <c r="M615" s="219"/>
      <c r="N615" s="219"/>
      <c r="O615" s="219"/>
      <c r="P615" s="219"/>
      <c r="Q615" s="219"/>
      <c r="R615" s="219"/>
      <c r="S615" s="219"/>
      <c r="T615" s="219"/>
      <c r="U615" s="219"/>
      <c r="V615" s="219"/>
      <c r="W615" s="219"/>
      <c r="X615" s="219"/>
      <c r="Y615" s="219"/>
      <c r="Z615" s="219"/>
    </row>
    <row r="616">
      <c r="A616" s="244"/>
      <c r="B616" s="219"/>
      <c r="C616" s="219"/>
      <c r="D616" s="219"/>
      <c r="E616" s="213"/>
      <c r="F616" s="213"/>
      <c r="G616" s="213"/>
      <c r="H616" s="219"/>
      <c r="I616" s="219"/>
      <c r="J616" s="219"/>
      <c r="K616" s="219"/>
      <c r="L616" s="219"/>
      <c r="M616" s="219"/>
      <c r="N616" s="219"/>
      <c r="O616" s="219"/>
      <c r="P616" s="219"/>
      <c r="Q616" s="219"/>
      <c r="R616" s="219"/>
      <c r="S616" s="219"/>
      <c r="T616" s="219"/>
      <c r="U616" s="219"/>
      <c r="V616" s="219"/>
      <c r="W616" s="219"/>
      <c r="X616" s="219"/>
      <c r="Y616" s="219"/>
      <c r="Z616" s="219"/>
    </row>
    <row r="617">
      <c r="A617" s="244"/>
      <c r="B617" s="219"/>
      <c r="C617" s="219"/>
      <c r="D617" s="219"/>
      <c r="E617" s="213"/>
      <c r="F617" s="213"/>
      <c r="G617" s="213"/>
      <c r="H617" s="219"/>
      <c r="I617" s="219"/>
      <c r="J617" s="219"/>
      <c r="K617" s="219"/>
      <c r="L617" s="219"/>
      <c r="M617" s="219"/>
      <c r="N617" s="219"/>
      <c r="O617" s="219"/>
      <c r="P617" s="219"/>
      <c r="Q617" s="219"/>
      <c r="R617" s="219"/>
      <c r="S617" s="219"/>
      <c r="T617" s="219"/>
      <c r="U617" s="219"/>
      <c r="V617" s="219"/>
      <c r="W617" s="219"/>
      <c r="X617" s="219"/>
      <c r="Y617" s="219"/>
      <c r="Z617" s="219"/>
    </row>
    <row r="618">
      <c r="A618" s="244"/>
      <c r="B618" s="219"/>
      <c r="C618" s="219"/>
      <c r="D618" s="219"/>
      <c r="E618" s="213"/>
      <c r="F618" s="213"/>
      <c r="G618" s="213"/>
      <c r="H618" s="219"/>
      <c r="I618" s="219"/>
      <c r="J618" s="219"/>
      <c r="K618" s="219"/>
      <c r="L618" s="219"/>
      <c r="M618" s="219"/>
      <c r="N618" s="219"/>
      <c r="O618" s="219"/>
      <c r="P618" s="219"/>
      <c r="Q618" s="219"/>
      <c r="R618" s="219"/>
      <c r="S618" s="219"/>
      <c r="T618" s="219"/>
      <c r="U618" s="219"/>
      <c r="V618" s="219"/>
      <c r="W618" s="219"/>
      <c r="X618" s="219"/>
      <c r="Y618" s="219"/>
      <c r="Z618" s="219"/>
    </row>
    <row r="619">
      <c r="A619" s="244"/>
      <c r="B619" s="219"/>
      <c r="C619" s="219"/>
      <c r="D619" s="219"/>
      <c r="E619" s="213"/>
      <c r="F619" s="213"/>
      <c r="G619" s="213"/>
      <c r="H619" s="219"/>
      <c r="I619" s="219"/>
      <c r="J619" s="219"/>
      <c r="K619" s="219"/>
      <c r="L619" s="219"/>
      <c r="M619" s="219"/>
      <c r="N619" s="219"/>
      <c r="O619" s="219"/>
      <c r="P619" s="219"/>
      <c r="Q619" s="219"/>
      <c r="R619" s="219"/>
      <c r="S619" s="219"/>
      <c r="T619" s="219"/>
      <c r="U619" s="219"/>
      <c r="V619" s="219"/>
      <c r="W619" s="219"/>
      <c r="X619" s="219"/>
      <c r="Y619" s="219"/>
      <c r="Z619" s="219"/>
    </row>
    <row r="620">
      <c r="A620" s="244"/>
      <c r="B620" s="219"/>
      <c r="C620" s="219"/>
      <c r="D620" s="219"/>
      <c r="E620" s="213"/>
      <c r="F620" s="213"/>
      <c r="G620" s="213"/>
      <c r="H620" s="219"/>
      <c r="I620" s="219"/>
      <c r="J620" s="219"/>
      <c r="K620" s="219"/>
      <c r="L620" s="219"/>
      <c r="M620" s="219"/>
      <c r="N620" s="219"/>
      <c r="O620" s="219"/>
      <c r="P620" s="219"/>
      <c r="Q620" s="219"/>
      <c r="R620" s="219"/>
      <c r="S620" s="219"/>
      <c r="T620" s="219"/>
      <c r="U620" s="219"/>
      <c r="V620" s="219"/>
      <c r="W620" s="219"/>
      <c r="X620" s="219"/>
      <c r="Y620" s="219"/>
      <c r="Z620" s="219"/>
    </row>
    <row r="621">
      <c r="A621" s="244"/>
      <c r="B621" s="219"/>
      <c r="C621" s="219"/>
      <c r="D621" s="219"/>
      <c r="E621" s="213"/>
      <c r="F621" s="213"/>
      <c r="G621" s="213"/>
      <c r="H621" s="219"/>
      <c r="I621" s="219"/>
      <c r="J621" s="219"/>
      <c r="K621" s="219"/>
      <c r="L621" s="219"/>
      <c r="M621" s="219"/>
      <c r="N621" s="219"/>
      <c r="O621" s="219"/>
      <c r="P621" s="219"/>
      <c r="Q621" s="219"/>
      <c r="R621" s="219"/>
      <c r="S621" s="219"/>
      <c r="T621" s="219"/>
      <c r="U621" s="219"/>
      <c r="V621" s="219"/>
      <c r="W621" s="219"/>
      <c r="X621" s="219"/>
      <c r="Y621" s="219"/>
      <c r="Z621" s="219"/>
    </row>
    <row r="622">
      <c r="A622" s="244"/>
      <c r="B622" s="219"/>
      <c r="C622" s="219"/>
      <c r="D622" s="219"/>
      <c r="E622" s="213"/>
      <c r="F622" s="213"/>
      <c r="G622" s="213"/>
      <c r="H622" s="219"/>
      <c r="I622" s="219"/>
      <c r="J622" s="219"/>
      <c r="K622" s="219"/>
      <c r="L622" s="219"/>
      <c r="M622" s="219"/>
      <c r="N622" s="219"/>
      <c r="O622" s="219"/>
      <c r="P622" s="219"/>
      <c r="Q622" s="219"/>
      <c r="R622" s="219"/>
      <c r="S622" s="219"/>
      <c r="T622" s="219"/>
      <c r="U622" s="219"/>
      <c r="V622" s="219"/>
      <c r="W622" s="219"/>
      <c r="X622" s="219"/>
      <c r="Y622" s="219"/>
      <c r="Z622" s="219"/>
    </row>
    <row r="623">
      <c r="A623" s="244"/>
      <c r="B623" s="219"/>
      <c r="C623" s="219"/>
      <c r="D623" s="219"/>
      <c r="E623" s="213"/>
      <c r="F623" s="213"/>
      <c r="G623" s="213"/>
      <c r="H623" s="219"/>
      <c r="I623" s="219"/>
      <c r="J623" s="219"/>
      <c r="K623" s="219"/>
      <c r="L623" s="219"/>
      <c r="M623" s="219"/>
      <c r="N623" s="219"/>
      <c r="O623" s="219"/>
      <c r="P623" s="219"/>
      <c r="Q623" s="219"/>
      <c r="R623" s="219"/>
      <c r="S623" s="219"/>
      <c r="T623" s="219"/>
      <c r="U623" s="219"/>
      <c r="V623" s="219"/>
      <c r="W623" s="219"/>
      <c r="X623" s="219"/>
      <c r="Y623" s="219"/>
      <c r="Z623" s="219"/>
    </row>
    <row r="624">
      <c r="A624" s="244"/>
      <c r="B624" s="219"/>
      <c r="C624" s="219"/>
      <c r="D624" s="219"/>
      <c r="E624" s="213"/>
      <c r="F624" s="213"/>
      <c r="G624" s="213"/>
      <c r="H624" s="219"/>
      <c r="I624" s="219"/>
      <c r="J624" s="219"/>
      <c r="K624" s="219"/>
      <c r="L624" s="219"/>
      <c r="M624" s="219"/>
      <c r="N624" s="219"/>
      <c r="O624" s="219"/>
      <c r="P624" s="219"/>
      <c r="Q624" s="219"/>
      <c r="R624" s="219"/>
      <c r="S624" s="219"/>
      <c r="T624" s="219"/>
      <c r="U624" s="219"/>
      <c r="V624" s="219"/>
      <c r="W624" s="219"/>
      <c r="X624" s="219"/>
      <c r="Y624" s="219"/>
      <c r="Z624" s="219"/>
    </row>
    <row r="625">
      <c r="A625" s="244"/>
      <c r="B625" s="219"/>
      <c r="C625" s="219"/>
      <c r="D625" s="219"/>
      <c r="E625" s="213"/>
      <c r="F625" s="213"/>
      <c r="G625" s="213"/>
      <c r="H625" s="219"/>
      <c r="I625" s="219"/>
      <c r="J625" s="219"/>
      <c r="K625" s="219"/>
      <c r="L625" s="219"/>
      <c r="M625" s="219"/>
      <c r="N625" s="219"/>
      <c r="O625" s="219"/>
      <c r="P625" s="219"/>
      <c r="Q625" s="219"/>
      <c r="R625" s="219"/>
      <c r="S625" s="219"/>
      <c r="T625" s="219"/>
      <c r="U625" s="219"/>
      <c r="V625" s="219"/>
      <c r="W625" s="219"/>
      <c r="X625" s="219"/>
      <c r="Y625" s="219"/>
      <c r="Z625" s="219"/>
    </row>
    <row r="626">
      <c r="A626" s="244"/>
      <c r="B626" s="219"/>
      <c r="C626" s="219"/>
      <c r="D626" s="219"/>
      <c r="E626" s="213"/>
      <c r="F626" s="213"/>
      <c r="G626" s="213"/>
      <c r="H626" s="219"/>
      <c r="I626" s="219"/>
      <c r="J626" s="219"/>
      <c r="K626" s="219"/>
      <c r="L626" s="219"/>
      <c r="M626" s="219"/>
      <c r="N626" s="219"/>
      <c r="O626" s="219"/>
      <c r="P626" s="219"/>
      <c r="Q626" s="219"/>
      <c r="R626" s="219"/>
      <c r="S626" s="219"/>
      <c r="T626" s="219"/>
      <c r="U626" s="219"/>
      <c r="V626" s="219"/>
      <c r="W626" s="219"/>
      <c r="X626" s="219"/>
      <c r="Y626" s="219"/>
      <c r="Z626" s="219"/>
    </row>
    <row r="627">
      <c r="A627" s="244"/>
      <c r="B627" s="219"/>
      <c r="C627" s="219"/>
      <c r="D627" s="219"/>
      <c r="E627" s="213"/>
      <c r="F627" s="213"/>
      <c r="G627" s="213"/>
      <c r="H627" s="219"/>
      <c r="I627" s="219"/>
      <c r="J627" s="219"/>
      <c r="K627" s="219"/>
      <c r="L627" s="219"/>
      <c r="M627" s="219"/>
      <c r="N627" s="219"/>
      <c r="O627" s="219"/>
      <c r="P627" s="219"/>
      <c r="Q627" s="219"/>
      <c r="R627" s="219"/>
      <c r="S627" s="219"/>
      <c r="T627" s="219"/>
      <c r="U627" s="219"/>
      <c r="V627" s="219"/>
      <c r="W627" s="219"/>
      <c r="X627" s="219"/>
      <c r="Y627" s="219"/>
      <c r="Z627" s="219"/>
    </row>
    <row r="628">
      <c r="A628" s="244"/>
      <c r="B628" s="219"/>
      <c r="C628" s="219"/>
      <c r="D628" s="219"/>
      <c r="E628" s="213"/>
      <c r="F628" s="213"/>
      <c r="G628" s="213"/>
      <c r="H628" s="219"/>
      <c r="I628" s="219"/>
      <c r="J628" s="219"/>
      <c r="K628" s="219"/>
      <c r="L628" s="219"/>
      <c r="M628" s="219"/>
      <c r="N628" s="219"/>
      <c r="O628" s="219"/>
      <c r="P628" s="219"/>
      <c r="Q628" s="219"/>
      <c r="R628" s="219"/>
      <c r="S628" s="219"/>
      <c r="T628" s="219"/>
      <c r="U628" s="219"/>
      <c r="V628" s="219"/>
      <c r="W628" s="219"/>
      <c r="X628" s="219"/>
      <c r="Y628" s="219"/>
      <c r="Z628" s="219"/>
    </row>
    <row r="629">
      <c r="A629" s="244"/>
      <c r="B629" s="219"/>
      <c r="C629" s="219"/>
      <c r="D629" s="219"/>
      <c r="E629" s="213"/>
      <c r="F629" s="213"/>
      <c r="G629" s="213"/>
      <c r="H629" s="219"/>
      <c r="I629" s="219"/>
      <c r="J629" s="219"/>
      <c r="K629" s="219"/>
      <c r="L629" s="219"/>
      <c r="M629" s="219"/>
      <c r="N629" s="219"/>
      <c r="O629" s="219"/>
      <c r="P629" s="219"/>
      <c r="Q629" s="219"/>
      <c r="R629" s="219"/>
      <c r="S629" s="219"/>
      <c r="T629" s="219"/>
      <c r="U629" s="219"/>
      <c r="V629" s="219"/>
      <c r="W629" s="219"/>
      <c r="X629" s="219"/>
      <c r="Y629" s="219"/>
      <c r="Z629" s="219"/>
    </row>
    <row r="630">
      <c r="A630" s="244"/>
      <c r="B630" s="219"/>
      <c r="C630" s="219"/>
      <c r="D630" s="219"/>
      <c r="E630" s="213"/>
      <c r="F630" s="213"/>
      <c r="G630" s="213"/>
      <c r="H630" s="219"/>
      <c r="I630" s="219"/>
      <c r="J630" s="219"/>
      <c r="K630" s="219"/>
      <c r="L630" s="219"/>
      <c r="M630" s="219"/>
      <c r="N630" s="219"/>
      <c r="O630" s="219"/>
      <c r="P630" s="219"/>
      <c r="Q630" s="219"/>
      <c r="R630" s="219"/>
      <c r="S630" s="219"/>
      <c r="T630" s="219"/>
      <c r="U630" s="219"/>
      <c r="V630" s="219"/>
      <c r="W630" s="219"/>
      <c r="X630" s="219"/>
      <c r="Y630" s="219"/>
      <c r="Z630" s="219"/>
    </row>
    <row r="631">
      <c r="A631" s="244"/>
      <c r="B631" s="219"/>
      <c r="C631" s="219"/>
      <c r="D631" s="219"/>
      <c r="E631" s="213"/>
      <c r="F631" s="213"/>
      <c r="G631" s="213"/>
      <c r="H631" s="219"/>
      <c r="I631" s="219"/>
      <c r="J631" s="219"/>
      <c r="K631" s="219"/>
      <c r="L631" s="219"/>
      <c r="M631" s="219"/>
      <c r="N631" s="219"/>
      <c r="O631" s="219"/>
      <c r="P631" s="219"/>
      <c r="Q631" s="219"/>
      <c r="R631" s="219"/>
      <c r="S631" s="219"/>
      <c r="T631" s="219"/>
      <c r="U631" s="219"/>
      <c r="V631" s="219"/>
      <c r="W631" s="219"/>
      <c r="X631" s="219"/>
      <c r="Y631" s="219"/>
      <c r="Z631" s="219"/>
    </row>
    <row r="632">
      <c r="A632" s="244"/>
      <c r="B632" s="219"/>
      <c r="C632" s="219"/>
      <c r="D632" s="219"/>
      <c r="E632" s="213"/>
      <c r="F632" s="213"/>
      <c r="G632" s="213"/>
      <c r="H632" s="219"/>
      <c r="I632" s="219"/>
      <c r="J632" s="219"/>
      <c r="K632" s="219"/>
      <c r="L632" s="219"/>
      <c r="M632" s="219"/>
      <c r="N632" s="219"/>
      <c r="O632" s="219"/>
      <c r="P632" s="219"/>
      <c r="Q632" s="219"/>
      <c r="R632" s="219"/>
      <c r="S632" s="219"/>
      <c r="T632" s="219"/>
      <c r="U632" s="219"/>
      <c r="V632" s="219"/>
      <c r="W632" s="219"/>
      <c r="X632" s="219"/>
      <c r="Y632" s="219"/>
      <c r="Z632" s="219"/>
    </row>
    <row r="633">
      <c r="A633" s="244"/>
      <c r="B633" s="219"/>
      <c r="C633" s="219"/>
      <c r="D633" s="219"/>
      <c r="E633" s="213"/>
      <c r="F633" s="213"/>
      <c r="G633" s="213"/>
      <c r="H633" s="219"/>
      <c r="I633" s="219"/>
      <c r="J633" s="219"/>
      <c r="K633" s="219"/>
      <c r="L633" s="219"/>
      <c r="M633" s="219"/>
      <c r="N633" s="219"/>
      <c r="O633" s="219"/>
      <c r="P633" s="219"/>
      <c r="Q633" s="219"/>
      <c r="R633" s="219"/>
      <c r="S633" s="219"/>
      <c r="T633" s="219"/>
      <c r="U633" s="219"/>
      <c r="V633" s="219"/>
      <c r="W633" s="219"/>
      <c r="X633" s="219"/>
      <c r="Y633" s="219"/>
      <c r="Z633" s="219"/>
    </row>
    <row r="634">
      <c r="A634" s="244"/>
      <c r="B634" s="219"/>
      <c r="C634" s="219"/>
      <c r="D634" s="219"/>
      <c r="E634" s="213"/>
      <c r="F634" s="213"/>
      <c r="G634" s="213"/>
      <c r="H634" s="219"/>
      <c r="I634" s="219"/>
      <c r="J634" s="219"/>
      <c r="K634" s="219"/>
      <c r="L634" s="219"/>
      <c r="M634" s="219"/>
      <c r="N634" s="219"/>
      <c r="O634" s="219"/>
      <c r="P634" s="219"/>
      <c r="Q634" s="219"/>
      <c r="R634" s="219"/>
      <c r="S634" s="219"/>
      <c r="T634" s="219"/>
      <c r="U634" s="219"/>
      <c r="V634" s="219"/>
      <c r="W634" s="219"/>
      <c r="X634" s="219"/>
      <c r="Y634" s="219"/>
      <c r="Z634" s="219"/>
    </row>
    <row r="635">
      <c r="A635" s="244"/>
      <c r="B635" s="219"/>
      <c r="C635" s="219"/>
      <c r="D635" s="219"/>
      <c r="E635" s="213"/>
      <c r="F635" s="213"/>
      <c r="G635" s="213"/>
      <c r="H635" s="219"/>
      <c r="I635" s="219"/>
      <c r="J635" s="219"/>
      <c r="K635" s="219"/>
      <c r="L635" s="219"/>
      <c r="M635" s="219"/>
      <c r="N635" s="219"/>
      <c r="O635" s="219"/>
      <c r="P635" s="219"/>
      <c r="Q635" s="219"/>
      <c r="R635" s="219"/>
      <c r="S635" s="219"/>
      <c r="T635" s="219"/>
      <c r="U635" s="219"/>
      <c r="V635" s="219"/>
      <c r="W635" s="219"/>
      <c r="X635" s="219"/>
      <c r="Y635" s="219"/>
      <c r="Z635" s="219"/>
    </row>
    <row r="636">
      <c r="A636" s="244"/>
      <c r="B636" s="219"/>
      <c r="C636" s="219"/>
      <c r="D636" s="219"/>
      <c r="E636" s="213"/>
      <c r="F636" s="213"/>
      <c r="G636" s="213"/>
      <c r="H636" s="219"/>
      <c r="I636" s="219"/>
      <c r="J636" s="219"/>
      <c r="K636" s="219"/>
      <c r="L636" s="219"/>
      <c r="M636" s="219"/>
      <c r="N636" s="219"/>
      <c r="O636" s="219"/>
      <c r="P636" s="219"/>
      <c r="Q636" s="219"/>
      <c r="R636" s="219"/>
      <c r="S636" s="219"/>
      <c r="T636" s="219"/>
      <c r="U636" s="219"/>
      <c r="V636" s="219"/>
      <c r="W636" s="219"/>
      <c r="X636" s="219"/>
      <c r="Y636" s="219"/>
      <c r="Z636" s="219"/>
    </row>
    <row r="637">
      <c r="A637" s="244"/>
      <c r="B637" s="219"/>
      <c r="C637" s="219"/>
      <c r="D637" s="219"/>
      <c r="E637" s="213"/>
      <c r="F637" s="213"/>
      <c r="G637" s="213"/>
      <c r="H637" s="219"/>
      <c r="I637" s="219"/>
      <c r="J637" s="219"/>
      <c r="K637" s="219"/>
      <c r="L637" s="219"/>
      <c r="M637" s="219"/>
      <c r="N637" s="219"/>
      <c r="O637" s="219"/>
      <c r="P637" s="219"/>
      <c r="Q637" s="219"/>
      <c r="R637" s="219"/>
      <c r="S637" s="219"/>
      <c r="T637" s="219"/>
      <c r="U637" s="219"/>
      <c r="V637" s="219"/>
      <c r="W637" s="219"/>
      <c r="X637" s="219"/>
      <c r="Y637" s="219"/>
      <c r="Z637" s="219"/>
    </row>
    <row r="638">
      <c r="A638" s="244"/>
      <c r="B638" s="219"/>
      <c r="C638" s="219"/>
      <c r="D638" s="219"/>
      <c r="E638" s="213"/>
      <c r="F638" s="213"/>
      <c r="G638" s="213"/>
      <c r="H638" s="219"/>
      <c r="I638" s="219"/>
      <c r="J638" s="219"/>
      <c r="K638" s="219"/>
      <c r="L638" s="219"/>
      <c r="M638" s="219"/>
      <c r="N638" s="219"/>
      <c r="O638" s="219"/>
      <c r="P638" s="219"/>
      <c r="Q638" s="219"/>
      <c r="R638" s="219"/>
      <c r="S638" s="219"/>
      <c r="T638" s="219"/>
      <c r="U638" s="219"/>
      <c r="V638" s="219"/>
      <c r="W638" s="219"/>
      <c r="X638" s="219"/>
      <c r="Y638" s="219"/>
      <c r="Z638" s="219"/>
    </row>
    <row r="639">
      <c r="A639" s="244"/>
      <c r="B639" s="219"/>
      <c r="C639" s="219"/>
      <c r="D639" s="219"/>
      <c r="E639" s="213"/>
      <c r="F639" s="213"/>
      <c r="G639" s="213"/>
      <c r="H639" s="219"/>
      <c r="I639" s="219"/>
      <c r="J639" s="219"/>
      <c r="K639" s="219"/>
      <c r="L639" s="219"/>
      <c r="M639" s="219"/>
      <c r="N639" s="219"/>
      <c r="O639" s="219"/>
      <c r="P639" s="219"/>
      <c r="Q639" s="219"/>
      <c r="R639" s="219"/>
      <c r="S639" s="219"/>
      <c r="T639" s="219"/>
      <c r="U639" s="219"/>
      <c r="V639" s="219"/>
      <c r="W639" s="219"/>
      <c r="X639" s="219"/>
      <c r="Y639" s="219"/>
      <c r="Z639" s="219"/>
    </row>
    <row r="640">
      <c r="A640" s="244"/>
      <c r="B640" s="219"/>
      <c r="C640" s="219"/>
      <c r="D640" s="219"/>
      <c r="E640" s="213"/>
      <c r="F640" s="213"/>
      <c r="G640" s="213"/>
      <c r="H640" s="219"/>
      <c r="I640" s="219"/>
      <c r="J640" s="219"/>
      <c r="K640" s="219"/>
      <c r="L640" s="219"/>
      <c r="M640" s="219"/>
      <c r="N640" s="219"/>
      <c r="O640" s="219"/>
      <c r="P640" s="219"/>
      <c r="Q640" s="219"/>
      <c r="R640" s="219"/>
      <c r="S640" s="219"/>
      <c r="T640" s="219"/>
      <c r="U640" s="219"/>
      <c r="V640" s="219"/>
      <c r="W640" s="219"/>
      <c r="X640" s="219"/>
      <c r="Y640" s="219"/>
      <c r="Z640" s="219"/>
    </row>
    <row r="641">
      <c r="A641" s="244"/>
      <c r="B641" s="219"/>
      <c r="C641" s="219"/>
      <c r="D641" s="219"/>
      <c r="E641" s="213"/>
      <c r="F641" s="213"/>
      <c r="G641" s="213"/>
      <c r="H641" s="219"/>
      <c r="I641" s="219"/>
      <c r="J641" s="219"/>
      <c r="K641" s="219"/>
      <c r="L641" s="219"/>
      <c r="M641" s="219"/>
      <c r="N641" s="219"/>
      <c r="O641" s="219"/>
      <c r="P641" s="219"/>
      <c r="Q641" s="219"/>
      <c r="R641" s="219"/>
      <c r="S641" s="219"/>
      <c r="T641" s="219"/>
      <c r="U641" s="219"/>
      <c r="V641" s="219"/>
      <c r="W641" s="219"/>
      <c r="X641" s="219"/>
      <c r="Y641" s="219"/>
      <c r="Z641" s="219"/>
    </row>
    <row r="642">
      <c r="A642" s="244"/>
      <c r="B642" s="219"/>
      <c r="C642" s="219"/>
      <c r="D642" s="219"/>
      <c r="E642" s="213"/>
      <c r="F642" s="213"/>
      <c r="G642" s="213"/>
      <c r="H642" s="219"/>
      <c r="I642" s="219"/>
      <c r="J642" s="219"/>
      <c r="K642" s="219"/>
      <c r="L642" s="219"/>
      <c r="M642" s="219"/>
      <c r="N642" s="219"/>
      <c r="O642" s="219"/>
      <c r="P642" s="219"/>
      <c r="Q642" s="219"/>
      <c r="R642" s="219"/>
      <c r="S642" s="219"/>
      <c r="T642" s="219"/>
      <c r="U642" s="219"/>
      <c r="V642" s="219"/>
      <c r="W642" s="219"/>
      <c r="X642" s="219"/>
      <c r="Y642" s="219"/>
      <c r="Z642" s="219"/>
    </row>
    <row r="643">
      <c r="A643" s="244"/>
      <c r="B643" s="219"/>
      <c r="C643" s="219"/>
      <c r="D643" s="219"/>
      <c r="E643" s="213"/>
      <c r="F643" s="213"/>
      <c r="G643" s="213"/>
      <c r="H643" s="219"/>
      <c r="I643" s="219"/>
      <c r="J643" s="219"/>
      <c r="K643" s="219"/>
      <c r="L643" s="219"/>
      <c r="M643" s="219"/>
      <c r="N643" s="219"/>
      <c r="O643" s="219"/>
      <c r="P643" s="219"/>
      <c r="Q643" s="219"/>
      <c r="R643" s="219"/>
      <c r="S643" s="219"/>
      <c r="T643" s="219"/>
      <c r="U643" s="219"/>
      <c r="V643" s="219"/>
      <c r="W643" s="219"/>
      <c r="X643" s="219"/>
      <c r="Y643" s="219"/>
      <c r="Z643" s="219"/>
    </row>
    <row r="644">
      <c r="A644" s="244"/>
      <c r="B644" s="219"/>
      <c r="C644" s="219"/>
      <c r="D644" s="219"/>
      <c r="E644" s="213"/>
      <c r="F644" s="213"/>
      <c r="G644" s="213"/>
      <c r="H644" s="219"/>
      <c r="I644" s="219"/>
      <c r="J644" s="219"/>
      <c r="K644" s="219"/>
      <c r="L644" s="219"/>
      <c r="M644" s="219"/>
      <c r="N644" s="219"/>
      <c r="O644" s="219"/>
      <c r="P644" s="219"/>
      <c r="Q644" s="219"/>
      <c r="R644" s="219"/>
      <c r="S644" s="219"/>
      <c r="T644" s="219"/>
      <c r="U644" s="219"/>
      <c r="V644" s="219"/>
      <c r="W644" s="219"/>
      <c r="X644" s="219"/>
      <c r="Y644" s="219"/>
      <c r="Z644" s="219"/>
    </row>
    <row r="645">
      <c r="A645" s="244"/>
      <c r="B645" s="219"/>
      <c r="C645" s="219"/>
      <c r="D645" s="219"/>
      <c r="E645" s="213"/>
      <c r="F645" s="213"/>
      <c r="G645" s="213"/>
      <c r="H645" s="219"/>
      <c r="I645" s="219"/>
      <c r="J645" s="219"/>
      <c r="K645" s="219"/>
      <c r="L645" s="219"/>
      <c r="M645" s="219"/>
      <c r="N645" s="219"/>
      <c r="O645" s="219"/>
      <c r="P645" s="219"/>
      <c r="Q645" s="219"/>
      <c r="R645" s="219"/>
      <c r="S645" s="219"/>
      <c r="T645" s="219"/>
      <c r="U645" s="219"/>
      <c r="V645" s="219"/>
      <c r="W645" s="219"/>
      <c r="X645" s="219"/>
      <c r="Y645" s="219"/>
      <c r="Z645" s="219"/>
    </row>
    <row r="646">
      <c r="A646" s="244"/>
      <c r="B646" s="219"/>
      <c r="C646" s="219"/>
      <c r="D646" s="219"/>
      <c r="E646" s="213"/>
      <c r="F646" s="213"/>
      <c r="G646" s="213"/>
      <c r="H646" s="219"/>
      <c r="I646" s="219"/>
      <c r="J646" s="219"/>
      <c r="K646" s="219"/>
      <c r="L646" s="219"/>
      <c r="M646" s="219"/>
      <c r="N646" s="219"/>
      <c r="O646" s="219"/>
      <c r="P646" s="219"/>
      <c r="Q646" s="219"/>
      <c r="R646" s="219"/>
      <c r="S646" s="219"/>
      <c r="T646" s="219"/>
      <c r="U646" s="219"/>
      <c r="V646" s="219"/>
      <c r="W646" s="219"/>
      <c r="X646" s="219"/>
      <c r="Y646" s="219"/>
      <c r="Z646" s="219"/>
    </row>
    <row r="647">
      <c r="A647" s="244"/>
      <c r="B647" s="219"/>
      <c r="C647" s="219"/>
      <c r="D647" s="219"/>
      <c r="E647" s="213"/>
      <c r="F647" s="213"/>
      <c r="G647" s="213"/>
      <c r="H647" s="219"/>
      <c r="I647" s="219"/>
      <c r="J647" s="219"/>
      <c r="K647" s="219"/>
      <c r="L647" s="219"/>
      <c r="M647" s="219"/>
      <c r="N647" s="219"/>
      <c r="O647" s="219"/>
      <c r="P647" s="219"/>
      <c r="Q647" s="219"/>
      <c r="R647" s="219"/>
      <c r="S647" s="219"/>
      <c r="T647" s="219"/>
      <c r="U647" s="219"/>
      <c r="V647" s="219"/>
      <c r="W647" s="219"/>
      <c r="X647" s="219"/>
      <c r="Y647" s="219"/>
      <c r="Z647" s="219"/>
    </row>
    <row r="648">
      <c r="A648" s="244"/>
      <c r="B648" s="219"/>
      <c r="C648" s="219"/>
      <c r="D648" s="219"/>
      <c r="E648" s="213"/>
      <c r="F648" s="213"/>
      <c r="G648" s="213"/>
      <c r="H648" s="219"/>
      <c r="I648" s="219"/>
      <c r="J648" s="219"/>
      <c r="K648" s="219"/>
      <c r="L648" s="219"/>
      <c r="M648" s="219"/>
      <c r="N648" s="219"/>
      <c r="O648" s="219"/>
      <c r="P648" s="219"/>
      <c r="Q648" s="219"/>
      <c r="R648" s="219"/>
      <c r="S648" s="219"/>
      <c r="T648" s="219"/>
      <c r="U648" s="219"/>
      <c r="V648" s="219"/>
      <c r="W648" s="219"/>
      <c r="X648" s="219"/>
      <c r="Y648" s="219"/>
      <c r="Z648" s="219"/>
    </row>
    <row r="649">
      <c r="A649" s="244"/>
      <c r="B649" s="219"/>
      <c r="C649" s="219"/>
      <c r="D649" s="219"/>
      <c r="E649" s="213"/>
      <c r="F649" s="213"/>
      <c r="G649" s="213"/>
      <c r="H649" s="219"/>
      <c r="I649" s="219"/>
      <c r="J649" s="219"/>
      <c r="K649" s="219"/>
      <c r="L649" s="219"/>
      <c r="M649" s="219"/>
      <c r="N649" s="219"/>
      <c r="O649" s="219"/>
      <c r="P649" s="219"/>
      <c r="Q649" s="219"/>
      <c r="R649" s="219"/>
      <c r="S649" s="219"/>
      <c r="T649" s="219"/>
      <c r="U649" s="219"/>
      <c r="V649" s="219"/>
      <c r="W649" s="219"/>
      <c r="X649" s="219"/>
      <c r="Y649" s="219"/>
      <c r="Z649" s="219"/>
    </row>
    <row r="650">
      <c r="A650" s="244"/>
      <c r="B650" s="219"/>
      <c r="C650" s="219"/>
      <c r="D650" s="219"/>
      <c r="E650" s="213"/>
      <c r="F650" s="213"/>
      <c r="G650" s="213"/>
      <c r="H650" s="219"/>
      <c r="I650" s="219"/>
      <c r="J650" s="219"/>
      <c r="K650" s="219"/>
      <c r="L650" s="219"/>
      <c r="M650" s="219"/>
      <c r="N650" s="219"/>
      <c r="O650" s="219"/>
      <c r="P650" s="219"/>
      <c r="Q650" s="219"/>
      <c r="R650" s="219"/>
      <c r="S650" s="219"/>
      <c r="T650" s="219"/>
      <c r="U650" s="219"/>
      <c r="V650" s="219"/>
      <c r="W650" s="219"/>
      <c r="X650" s="219"/>
      <c r="Y650" s="219"/>
      <c r="Z650" s="219"/>
    </row>
    <row r="651">
      <c r="A651" s="244"/>
      <c r="B651" s="219"/>
      <c r="C651" s="219"/>
      <c r="D651" s="219"/>
      <c r="E651" s="213"/>
      <c r="F651" s="213"/>
      <c r="G651" s="213"/>
      <c r="H651" s="219"/>
      <c r="I651" s="219"/>
      <c r="J651" s="219"/>
      <c r="K651" s="219"/>
      <c r="L651" s="219"/>
      <c r="M651" s="219"/>
      <c r="N651" s="219"/>
      <c r="O651" s="219"/>
      <c r="P651" s="219"/>
      <c r="Q651" s="219"/>
      <c r="R651" s="219"/>
      <c r="S651" s="219"/>
      <c r="T651" s="219"/>
      <c r="U651" s="219"/>
      <c r="V651" s="219"/>
      <c r="W651" s="219"/>
      <c r="X651" s="219"/>
      <c r="Y651" s="219"/>
      <c r="Z651" s="219"/>
    </row>
    <row r="652">
      <c r="A652" s="244"/>
      <c r="B652" s="219"/>
      <c r="C652" s="219"/>
      <c r="D652" s="219"/>
      <c r="E652" s="213"/>
      <c r="F652" s="213"/>
      <c r="G652" s="213"/>
      <c r="H652" s="219"/>
      <c r="I652" s="219"/>
      <c r="J652" s="219"/>
      <c r="K652" s="219"/>
      <c r="L652" s="219"/>
      <c r="M652" s="219"/>
      <c r="N652" s="219"/>
      <c r="O652" s="219"/>
      <c r="P652" s="219"/>
      <c r="Q652" s="219"/>
      <c r="R652" s="219"/>
      <c r="S652" s="219"/>
      <c r="T652" s="219"/>
      <c r="U652" s="219"/>
      <c r="V652" s="219"/>
      <c r="W652" s="219"/>
      <c r="X652" s="219"/>
      <c r="Y652" s="219"/>
      <c r="Z652" s="219"/>
    </row>
    <row r="653">
      <c r="A653" s="244"/>
      <c r="B653" s="219"/>
      <c r="C653" s="219"/>
      <c r="D653" s="219"/>
      <c r="E653" s="213"/>
      <c r="F653" s="213"/>
      <c r="G653" s="213"/>
      <c r="H653" s="219"/>
      <c r="I653" s="219"/>
      <c r="J653" s="219"/>
      <c r="K653" s="219"/>
      <c r="L653" s="219"/>
      <c r="M653" s="219"/>
      <c r="N653" s="219"/>
      <c r="O653" s="219"/>
      <c r="P653" s="219"/>
      <c r="Q653" s="219"/>
      <c r="R653" s="219"/>
      <c r="S653" s="219"/>
      <c r="T653" s="219"/>
      <c r="U653" s="219"/>
      <c r="V653" s="219"/>
      <c r="W653" s="219"/>
      <c r="X653" s="219"/>
      <c r="Y653" s="219"/>
      <c r="Z653" s="219"/>
    </row>
    <row r="654">
      <c r="A654" s="244"/>
      <c r="B654" s="219"/>
      <c r="C654" s="219"/>
      <c r="D654" s="219"/>
      <c r="E654" s="213"/>
      <c r="F654" s="213"/>
      <c r="G654" s="213"/>
      <c r="H654" s="219"/>
      <c r="I654" s="219"/>
      <c r="J654" s="219"/>
      <c r="K654" s="219"/>
      <c r="L654" s="219"/>
      <c r="M654" s="219"/>
      <c r="N654" s="219"/>
      <c r="O654" s="219"/>
      <c r="P654" s="219"/>
      <c r="Q654" s="219"/>
      <c r="R654" s="219"/>
      <c r="S654" s="219"/>
      <c r="T654" s="219"/>
      <c r="U654" s="219"/>
      <c r="V654" s="219"/>
      <c r="W654" s="219"/>
      <c r="X654" s="219"/>
      <c r="Y654" s="219"/>
      <c r="Z654" s="219"/>
    </row>
    <row r="655">
      <c r="A655" s="244"/>
      <c r="B655" s="219"/>
      <c r="C655" s="219"/>
      <c r="D655" s="219"/>
      <c r="E655" s="213"/>
      <c r="F655" s="213"/>
      <c r="G655" s="213"/>
      <c r="H655" s="219"/>
      <c r="I655" s="219"/>
      <c r="J655" s="219"/>
      <c r="K655" s="219"/>
      <c r="L655" s="219"/>
      <c r="M655" s="219"/>
      <c r="N655" s="219"/>
      <c r="O655" s="219"/>
      <c r="P655" s="219"/>
      <c r="Q655" s="219"/>
      <c r="R655" s="219"/>
      <c r="S655" s="219"/>
      <c r="T655" s="219"/>
      <c r="U655" s="219"/>
      <c r="V655" s="219"/>
      <c r="W655" s="219"/>
      <c r="X655" s="219"/>
      <c r="Y655" s="219"/>
      <c r="Z655" s="219"/>
    </row>
    <row r="656">
      <c r="A656" s="244"/>
      <c r="B656" s="219"/>
      <c r="C656" s="219"/>
      <c r="D656" s="219"/>
      <c r="E656" s="213"/>
      <c r="F656" s="213"/>
      <c r="G656" s="213"/>
      <c r="H656" s="219"/>
      <c r="I656" s="219"/>
      <c r="J656" s="219"/>
      <c r="K656" s="219"/>
      <c r="L656" s="219"/>
      <c r="M656" s="219"/>
      <c r="N656" s="219"/>
      <c r="O656" s="219"/>
      <c r="P656" s="219"/>
      <c r="Q656" s="219"/>
      <c r="R656" s="219"/>
      <c r="S656" s="219"/>
      <c r="T656" s="219"/>
      <c r="U656" s="219"/>
      <c r="V656" s="219"/>
      <c r="W656" s="219"/>
      <c r="X656" s="219"/>
      <c r="Y656" s="219"/>
      <c r="Z656" s="219"/>
    </row>
    <row r="657">
      <c r="A657" s="244"/>
      <c r="B657" s="219"/>
      <c r="C657" s="219"/>
      <c r="D657" s="219"/>
      <c r="E657" s="213"/>
      <c r="F657" s="213"/>
      <c r="G657" s="213"/>
      <c r="H657" s="219"/>
      <c r="I657" s="219"/>
      <c r="J657" s="219"/>
      <c r="K657" s="219"/>
      <c r="L657" s="219"/>
      <c r="M657" s="219"/>
      <c r="N657" s="219"/>
      <c r="O657" s="219"/>
      <c r="P657" s="219"/>
      <c r="Q657" s="219"/>
      <c r="R657" s="219"/>
      <c r="S657" s="219"/>
      <c r="T657" s="219"/>
      <c r="U657" s="219"/>
      <c r="V657" s="219"/>
      <c r="W657" s="219"/>
      <c r="X657" s="219"/>
      <c r="Y657" s="219"/>
      <c r="Z657" s="219"/>
    </row>
    <row r="658">
      <c r="A658" s="244"/>
      <c r="B658" s="219"/>
      <c r="C658" s="219"/>
      <c r="D658" s="219"/>
      <c r="E658" s="213"/>
      <c r="F658" s="213"/>
      <c r="G658" s="213"/>
      <c r="H658" s="219"/>
      <c r="I658" s="219"/>
      <c r="J658" s="219"/>
      <c r="K658" s="219"/>
      <c r="L658" s="219"/>
      <c r="M658" s="219"/>
      <c r="N658" s="219"/>
      <c r="O658" s="219"/>
      <c r="P658" s="219"/>
      <c r="Q658" s="219"/>
      <c r="R658" s="219"/>
      <c r="S658" s="219"/>
      <c r="T658" s="219"/>
      <c r="U658" s="219"/>
      <c r="V658" s="219"/>
      <c r="W658" s="219"/>
      <c r="X658" s="219"/>
      <c r="Y658" s="219"/>
      <c r="Z658" s="219"/>
    </row>
    <row r="659">
      <c r="A659" s="244"/>
      <c r="B659" s="219"/>
      <c r="C659" s="219"/>
      <c r="D659" s="219"/>
      <c r="E659" s="213"/>
      <c r="F659" s="213"/>
      <c r="G659" s="213"/>
      <c r="H659" s="219"/>
      <c r="I659" s="219"/>
      <c r="J659" s="219"/>
      <c r="K659" s="219"/>
      <c r="L659" s="219"/>
      <c r="M659" s="219"/>
      <c r="N659" s="219"/>
      <c r="O659" s="219"/>
      <c r="P659" s="219"/>
      <c r="Q659" s="219"/>
      <c r="R659" s="219"/>
      <c r="S659" s="219"/>
      <c r="T659" s="219"/>
      <c r="U659" s="219"/>
      <c r="V659" s="219"/>
      <c r="W659" s="219"/>
      <c r="X659" s="219"/>
      <c r="Y659" s="219"/>
      <c r="Z659" s="219"/>
    </row>
    <row r="660">
      <c r="A660" s="244"/>
      <c r="B660" s="219"/>
      <c r="C660" s="219"/>
      <c r="D660" s="219"/>
      <c r="E660" s="213"/>
      <c r="F660" s="213"/>
      <c r="G660" s="213"/>
      <c r="H660" s="219"/>
      <c r="I660" s="219"/>
      <c r="J660" s="219"/>
      <c r="K660" s="219"/>
      <c r="L660" s="219"/>
      <c r="M660" s="219"/>
      <c r="N660" s="219"/>
      <c r="O660" s="219"/>
      <c r="P660" s="219"/>
      <c r="Q660" s="219"/>
      <c r="R660" s="219"/>
      <c r="S660" s="219"/>
      <c r="T660" s="219"/>
      <c r="U660" s="219"/>
      <c r="V660" s="219"/>
      <c r="W660" s="219"/>
      <c r="X660" s="219"/>
      <c r="Y660" s="219"/>
      <c r="Z660" s="219"/>
    </row>
    <row r="661">
      <c r="A661" s="244"/>
      <c r="B661" s="219"/>
      <c r="C661" s="219"/>
      <c r="D661" s="219"/>
      <c r="E661" s="213"/>
      <c r="F661" s="213"/>
      <c r="G661" s="213"/>
      <c r="H661" s="219"/>
      <c r="I661" s="219"/>
      <c r="J661" s="219"/>
      <c r="K661" s="219"/>
      <c r="L661" s="219"/>
      <c r="M661" s="219"/>
      <c r="N661" s="219"/>
      <c r="O661" s="219"/>
      <c r="P661" s="219"/>
      <c r="Q661" s="219"/>
      <c r="R661" s="219"/>
      <c r="S661" s="219"/>
      <c r="T661" s="219"/>
      <c r="U661" s="219"/>
      <c r="V661" s="219"/>
      <c r="W661" s="219"/>
      <c r="X661" s="219"/>
      <c r="Y661" s="219"/>
      <c r="Z661" s="219"/>
    </row>
    <row r="662">
      <c r="A662" s="244"/>
      <c r="B662" s="219"/>
      <c r="C662" s="219"/>
      <c r="D662" s="219"/>
      <c r="E662" s="213"/>
      <c r="F662" s="213"/>
      <c r="G662" s="213"/>
      <c r="H662" s="219"/>
      <c r="I662" s="219"/>
      <c r="J662" s="219"/>
      <c r="K662" s="219"/>
      <c r="L662" s="219"/>
      <c r="M662" s="219"/>
      <c r="N662" s="219"/>
      <c r="O662" s="219"/>
      <c r="P662" s="219"/>
      <c r="Q662" s="219"/>
      <c r="R662" s="219"/>
      <c r="S662" s="219"/>
      <c r="T662" s="219"/>
      <c r="U662" s="219"/>
      <c r="V662" s="219"/>
      <c r="W662" s="219"/>
      <c r="X662" s="219"/>
      <c r="Y662" s="219"/>
      <c r="Z662" s="219"/>
    </row>
    <row r="663">
      <c r="A663" s="244"/>
      <c r="B663" s="219"/>
      <c r="C663" s="219"/>
      <c r="D663" s="219"/>
      <c r="E663" s="213"/>
      <c r="F663" s="213"/>
      <c r="G663" s="213"/>
      <c r="H663" s="219"/>
      <c r="I663" s="219"/>
      <c r="J663" s="219"/>
      <c r="K663" s="219"/>
      <c r="L663" s="219"/>
      <c r="M663" s="219"/>
      <c r="N663" s="219"/>
      <c r="O663" s="219"/>
      <c r="P663" s="219"/>
      <c r="Q663" s="219"/>
      <c r="R663" s="219"/>
      <c r="S663" s="219"/>
      <c r="T663" s="219"/>
      <c r="U663" s="219"/>
      <c r="V663" s="219"/>
      <c r="W663" s="219"/>
      <c r="X663" s="219"/>
      <c r="Y663" s="219"/>
      <c r="Z663" s="219"/>
    </row>
    <row r="664">
      <c r="A664" s="244"/>
      <c r="B664" s="219"/>
      <c r="C664" s="219"/>
      <c r="D664" s="219"/>
      <c r="E664" s="213"/>
      <c r="F664" s="213"/>
      <c r="G664" s="213"/>
      <c r="H664" s="219"/>
      <c r="I664" s="219"/>
      <c r="J664" s="219"/>
      <c r="K664" s="219"/>
      <c r="L664" s="219"/>
      <c r="M664" s="219"/>
      <c r="N664" s="219"/>
      <c r="O664" s="219"/>
      <c r="P664" s="219"/>
      <c r="Q664" s="219"/>
      <c r="R664" s="219"/>
      <c r="S664" s="219"/>
      <c r="T664" s="219"/>
      <c r="U664" s="219"/>
      <c r="V664" s="219"/>
      <c r="W664" s="219"/>
      <c r="X664" s="219"/>
      <c r="Y664" s="219"/>
      <c r="Z664" s="219"/>
    </row>
    <row r="665">
      <c r="A665" s="244"/>
      <c r="B665" s="219"/>
      <c r="C665" s="219"/>
      <c r="D665" s="219"/>
      <c r="E665" s="213"/>
      <c r="F665" s="213"/>
      <c r="G665" s="213"/>
      <c r="H665" s="219"/>
      <c r="I665" s="219"/>
      <c r="J665" s="219"/>
      <c r="K665" s="219"/>
      <c r="L665" s="219"/>
      <c r="M665" s="219"/>
      <c r="N665" s="219"/>
      <c r="O665" s="219"/>
      <c r="P665" s="219"/>
      <c r="Q665" s="219"/>
      <c r="R665" s="219"/>
      <c r="S665" s="219"/>
      <c r="T665" s="219"/>
      <c r="U665" s="219"/>
      <c r="V665" s="219"/>
      <c r="W665" s="219"/>
      <c r="X665" s="219"/>
      <c r="Y665" s="219"/>
      <c r="Z665" s="219"/>
    </row>
    <row r="666">
      <c r="A666" s="244"/>
      <c r="B666" s="219"/>
      <c r="C666" s="219"/>
      <c r="D666" s="219"/>
      <c r="E666" s="213"/>
      <c r="F666" s="213"/>
      <c r="G666" s="213"/>
      <c r="H666" s="219"/>
      <c r="I666" s="219"/>
      <c r="J666" s="219"/>
      <c r="K666" s="219"/>
      <c r="L666" s="219"/>
      <c r="M666" s="219"/>
      <c r="N666" s="219"/>
      <c r="O666" s="219"/>
      <c r="P666" s="219"/>
      <c r="Q666" s="219"/>
      <c r="R666" s="219"/>
      <c r="S666" s="219"/>
      <c r="T666" s="219"/>
      <c r="U666" s="219"/>
      <c r="V666" s="219"/>
      <c r="W666" s="219"/>
      <c r="X666" s="219"/>
      <c r="Y666" s="219"/>
      <c r="Z666" s="219"/>
    </row>
    <row r="667">
      <c r="A667" s="244"/>
      <c r="B667" s="219"/>
      <c r="C667" s="219"/>
      <c r="D667" s="219"/>
      <c r="E667" s="213"/>
      <c r="F667" s="213"/>
      <c r="G667" s="213"/>
      <c r="H667" s="219"/>
      <c r="I667" s="219"/>
      <c r="J667" s="219"/>
      <c r="K667" s="219"/>
      <c r="L667" s="219"/>
      <c r="M667" s="219"/>
      <c r="N667" s="219"/>
      <c r="O667" s="219"/>
      <c r="P667" s="219"/>
      <c r="Q667" s="219"/>
      <c r="R667" s="219"/>
      <c r="S667" s="219"/>
      <c r="T667" s="219"/>
      <c r="U667" s="219"/>
      <c r="V667" s="219"/>
      <c r="W667" s="219"/>
      <c r="X667" s="219"/>
      <c r="Y667" s="219"/>
      <c r="Z667" s="219"/>
    </row>
    <row r="668">
      <c r="A668" s="244"/>
      <c r="B668" s="219"/>
      <c r="C668" s="219"/>
      <c r="D668" s="219"/>
      <c r="E668" s="213"/>
      <c r="F668" s="213"/>
      <c r="G668" s="213"/>
      <c r="H668" s="219"/>
      <c r="I668" s="219"/>
      <c r="J668" s="219"/>
      <c r="K668" s="219"/>
      <c r="L668" s="219"/>
      <c r="M668" s="219"/>
      <c r="N668" s="219"/>
      <c r="O668" s="219"/>
      <c r="P668" s="219"/>
      <c r="Q668" s="219"/>
      <c r="R668" s="219"/>
      <c r="S668" s="219"/>
      <c r="T668" s="219"/>
      <c r="U668" s="219"/>
      <c r="V668" s="219"/>
      <c r="W668" s="219"/>
      <c r="X668" s="219"/>
      <c r="Y668" s="219"/>
      <c r="Z668" s="219"/>
    </row>
    <row r="669">
      <c r="A669" s="244"/>
      <c r="B669" s="219"/>
      <c r="C669" s="219"/>
      <c r="D669" s="219"/>
      <c r="E669" s="213"/>
      <c r="F669" s="213"/>
      <c r="G669" s="213"/>
      <c r="H669" s="219"/>
      <c r="I669" s="219"/>
      <c r="J669" s="219"/>
      <c r="K669" s="219"/>
      <c r="L669" s="219"/>
      <c r="M669" s="219"/>
      <c r="N669" s="219"/>
      <c r="O669" s="219"/>
      <c r="P669" s="219"/>
      <c r="Q669" s="219"/>
      <c r="R669" s="219"/>
      <c r="S669" s="219"/>
      <c r="T669" s="219"/>
      <c r="U669" s="219"/>
      <c r="V669" s="219"/>
      <c r="W669" s="219"/>
      <c r="X669" s="219"/>
      <c r="Y669" s="219"/>
      <c r="Z669" s="219"/>
    </row>
    <row r="670">
      <c r="A670" s="244"/>
      <c r="B670" s="219"/>
      <c r="C670" s="219"/>
      <c r="D670" s="219"/>
      <c r="E670" s="213"/>
      <c r="F670" s="213"/>
      <c r="G670" s="213"/>
      <c r="H670" s="219"/>
      <c r="I670" s="219"/>
      <c r="J670" s="219"/>
      <c r="K670" s="219"/>
      <c r="L670" s="219"/>
      <c r="M670" s="219"/>
      <c r="N670" s="219"/>
      <c r="O670" s="219"/>
      <c r="P670" s="219"/>
      <c r="Q670" s="219"/>
      <c r="R670" s="219"/>
      <c r="S670" s="219"/>
      <c r="T670" s="219"/>
      <c r="U670" s="219"/>
      <c r="V670" s="219"/>
      <c r="W670" s="219"/>
      <c r="X670" s="219"/>
      <c r="Y670" s="219"/>
      <c r="Z670" s="219"/>
    </row>
    <row r="671">
      <c r="A671" s="244"/>
      <c r="B671" s="219"/>
      <c r="C671" s="219"/>
      <c r="D671" s="219"/>
      <c r="E671" s="213"/>
      <c r="F671" s="213"/>
      <c r="G671" s="213"/>
      <c r="H671" s="219"/>
      <c r="I671" s="219"/>
      <c r="J671" s="219"/>
      <c r="K671" s="219"/>
      <c r="L671" s="219"/>
      <c r="M671" s="219"/>
      <c r="N671" s="219"/>
      <c r="O671" s="219"/>
      <c r="P671" s="219"/>
      <c r="Q671" s="219"/>
      <c r="R671" s="219"/>
      <c r="S671" s="219"/>
      <c r="T671" s="219"/>
      <c r="U671" s="219"/>
      <c r="V671" s="219"/>
      <c r="W671" s="219"/>
      <c r="X671" s="219"/>
      <c r="Y671" s="219"/>
      <c r="Z671" s="219"/>
    </row>
    <row r="672">
      <c r="A672" s="244"/>
      <c r="B672" s="219"/>
      <c r="C672" s="219"/>
      <c r="D672" s="219"/>
      <c r="E672" s="213"/>
      <c r="F672" s="213"/>
      <c r="G672" s="213"/>
      <c r="H672" s="219"/>
      <c r="I672" s="219"/>
      <c r="J672" s="219"/>
      <c r="K672" s="219"/>
      <c r="L672" s="219"/>
      <c r="M672" s="219"/>
      <c r="N672" s="219"/>
      <c r="O672" s="219"/>
      <c r="P672" s="219"/>
      <c r="Q672" s="219"/>
      <c r="R672" s="219"/>
      <c r="S672" s="219"/>
      <c r="T672" s="219"/>
      <c r="U672" s="219"/>
      <c r="V672" s="219"/>
      <c r="W672" s="219"/>
      <c r="X672" s="219"/>
      <c r="Y672" s="219"/>
      <c r="Z672" s="219"/>
    </row>
    <row r="673">
      <c r="A673" s="244"/>
      <c r="B673" s="219"/>
      <c r="C673" s="219"/>
      <c r="D673" s="219"/>
      <c r="E673" s="213"/>
      <c r="F673" s="213"/>
      <c r="G673" s="213"/>
      <c r="H673" s="219"/>
      <c r="I673" s="219"/>
      <c r="J673" s="219"/>
      <c r="K673" s="219"/>
      <c r="L673" s="219"/>
      <c r="M673" s="219"/>
      <c r="N673" s="219"/>
      <c r="O673" s="219"/>
      <c r="P673" s="219"/>
      <c r="Q673" s="219"/>
      <c r="R673" s="219"/>
      <c r="S673" s="219"/>
      <c r="T673" s="219"/>
      <c r="U673" s="219"/>
      <c r="V673" s="219"/>
      <c r="W673" s="219"/>
      <c r="X673" s="219"/>
      <c r="Y673" s="219"/>
      <c r="Z673" s="219"/>
    </row>
    <row r="674">
      <c r="A674" s="244"/>
      <c r="B674" s="219"/>
      <c r="C674" s="219"/>
      <c r="D674" s="219"/>
      <c r="E674" s="213"/>
      <c r="F674" s="213"/>
      <c r="G674" s="213"/>
      <c r="H674" s="219"/>
      <c r="I674" s="219"/>
      <c r="J674" s="219"/>
      <c r="K674" s="219"/>
      <c r="L674" s="219"/>
      <c r="M674" s="219"/>
      <c r="N674" s="219"/>
      <c r="O674" s="219"/>
      <c r="P674" s="219"/>
      <c r="Q674" s="219"/>
      <c r="R674" s="219"/>
      <c r="S674" s="219"/>
      <c r="T674" s="219"/>
      <c r="U674" s="219"/>
      <c r="V674" s="219"/>
      <c r="W674" s="219"/>
      <c r="X674" s="219"/>
      <c r="Y674" s="219"/>
      <c r="Z674" s="219"/>
    </row>
    <row r="675">
      <c r="A675" s="244"/>
      <c r="B675" s="219"/>
      <c r="C675" s="219"/>
      <c r="D675" s="219"/>
      <c r="E675" s="213"/>
      <c r="F675" s="213"/>
      <c r="G675" s="213"/>
      <c r="H675" s="219"/>
      <c r="I675" s="219"/>
      <c r="J675" s="219"/>
      <c r="K675" s="219"/>
      <c r="L675" s="219"/>
      <c r="M675" s="219"/>
      <c r="N675" s="219"/>
      <c r="O675" s="219"/>
      <c r="P675" s="219"/>
      <c r="Q675" s="219"/>
      <c r="R675" s="219"/>
      <c r="S675" s="219"/>
      <c r="T675" s="219"/>
      <c r="U675" s="219"/>
      <c r="V675" s="219"/>
      <c r="W675" s="219"/>
      <c r="X675" s="219"/>
      <c r="Y675" s="219"/>
      <c r="Z675" s="219"/>
    </row>
    <row r="676">
      <c r="A676" s="244"/>
      <c r="B676" s="219"/>
      <c r="C676" s="219"/>
      <c r="D676" s="219"/>
      <c r="E676" s="213"/>
      <c r="F676" s="213"/>
      <c r="G676" s="213"/>
      <c r="H676" s="219"/>
      <c r="I676" s="219"/>
      <c r="J676" s="219"/>
      <c r="K676" s="219"/>
      <c r="L676" s="219"/>
      <c r="M676" s="219"/>
      <c r="N676" s="219"/>
      <c r="O676" s="219"/>
      <c r="P676" s="219"/>
      <c r="Q676" s="219"/>
      <c r="R676" s="219"/>
      <c r="S676" s="219"/>
      <c r="T676" s="219"/>
      <c r="U676" s="219"/>
      <c r="V676" s="219"/>
      <c r="W676" s="219"/>
      <c r="X676" s="219"/>
      <c r="Y676" s="219"/>
      <c r="Z676" s="219"/>
    </row>
    <row r="677">
      <c r="A677" s="244"/>
      <c r="B677" s="219"/>
      <c r="C677" s="219"/>
      <c r="D677" s="219"/>
      <c r="E677" s="213"/>
      <c r="F677" s="213"/>
      <c r="G677" s="213"/>
      <c r="H677" s="219"/>
      <c r="I677" s="219"/>
      <c r="J677" s="219"/>
      <c r="K677" s="219"/>
      <c r="L677" s="219"/>
      <c r="M677" s="219"/>
      <c r="N677" s="219"/>
      <c r="O677" s="219"/>
      <c r="P677" s="219"/>
      <c r="Q677" s="219"/>
      <c r="R677" s="219"/>
      <c r="S677" s="219"/>
      <c r="T677" s="219"/>
      <c r="U677" s="219"/>
      <c r="V677" s="219"/>
      <c r="W677" s="219"/>
      <c r="X677" s="219"/>
      <c r="Y677" s="219"/>
      <c r="Z677" s="219"/>
    </row>
    <row r="678">
      <c r="A678" s="244"/>
      <c r="B678" s="219"/>
      <c r="C678" s="219"/>
      <c r="D678" s="219"/>
      <c r="E678" s="213"/>
      <c r="F678" s="213"/>
      <c r="G678" s="213"/>
      <c r="H678" s="219"/>
      <c r="I678" s="219"/>
      <c r="J678" s="219"/>
      <c r="K678" s="219"/>
      <c r="L678" s="219"/>
      <c r="M678" s="219"/>
      <c r="N678" s="219"/>
      <c r="O678" s="219"/>
      <c r="P678" s="219"/>
      <c r="Q678" s="219"/>
      <c r="R678" s="219"/>
      <c r="S678" s="219"/>
      <c r="T678" s="219"/>
      <c r="U678" s="219"/>
      <c r="V678" s="219"/>
      <c r="W678" s="219"/>
      <c r="X678" s="219"/>
      <c r="Y678" s="219"/>
      <c r="Z678" s="219"/>
    </row>
    <row r="679">
      <c r="A679" s="244"/>
      <c r="B679" s="219"/>
      <c r="C679" s="219"/>
      <c r="D679" s="219"/>
      <c r="E679" s="213"/>
      <c r="F679" s="213"/>
      <c r="G679" s="213"/>
      <c r="H679" s="219"/>
      <c r="I679" s="219"/>
      <c r="J679" s="219"/>
      <c r="K679" s="219"/>
      <c r="L679" s="219"/>
      <c r="M679" s="219"/>
      <c r="N679" s="219"/>
      <c r="O679" s="219"/>
      <c r="P679" s="219"/>
      <c r="Q679" s="219"/>
      <c r="R679" s="219"/>
      <c r="S679" s="219"/>
      <c r="T679" s="219"/>
      <c r="U679" s="219"/>
      <c r="V679" s="219"/>
      <c r="W679" s="219"/>
      <c r="X679" s="219"/>
      <c r="Y679" s="219"/>
      <c r="Z679" s="219"/>
    </row>
    <row r="680">
      <c r="A680" s="244"/>
      <c r="B680" s="219"/>
      <c r="C680" s="219"/>
      <c r="D680" s="219"/>
      <c r="E680" s="213"/>
      <c r="F680" s="213"/>
      <c r="G680" s="213"/>
      <c r="H680" s="219"/>
      <c r="I680" s="219"/>
      <c r="J680" s="219"/>
      <c r="K680" s="219"/>
      <c r="L680" s="219"/>
      <c r="M680" s="219"/>
      <c r="N680" s="219"/>
      <c r="O680" s="219"/>
      <c r="P680" s="219"/>
      <c r="Q680" s="219"/>
      <c r="R680" s="219"/>
      <c r="S680" s="219"/>
      <c r="T680" s="219"/>
      <c r="U680" s="219"/>
      <c r="V680" s="219"/>
      <c r="W680" s="219"/>
      <c r="X680" s="219"/>
      <c r="Y680" s="219"/>
      <c r="Z680" s="219"/>
    </row>
    <row r="681">
      <c r="A681" s="244"/>
      <c r="B681" s="219"/>
      <c r="C681" s="219"/>
      <c r="D681" s="219"/>
      <c r="E681" s="213"/>
      <c r="F681" s="213"/>
      <c r="G681" s="213"/>
      <c r="H681" s="219"/>
      <c r="I681" s="219"/>
      <c r="J681" s="219"/>
      <c r="K681" s="219"/>
      <c r="L681" s="219"/>
      <c r="M681" s="219"/>
      <c r="N681" s="219"/>
      <c r="O681" s="219"/>
      <c r="P681" s="219"/>
      <c r="Q681" s="219"/>
      <c r="R681" s="219"/>
      <c r="S681" s="219"/>
      <c r="T681" s="219"/>
      <c r="U681" s="219"/>
      <c r="V681" s="219"/>
      <c r="W681" s="219"/>
      <c r="X681" s="219"/>
      <c r="Y681" s="219"/>
      <c r="Z681" s="219"/>
    </row>
    <row r="682">
      <c r="A682" s="244"/>
      <c r="B682" s="219"/>
      <c r="C682" s="219"/>
      <c r="D682" s="219"/>
      <c r="E682" s="213"/>
      <c r="F682" s="213"/>
      <c r="G682" s="213"/>
      <c r="H682" s="219"/>
      <c r="I682" s="219"/>
      <c r="J682" s="219"/>
      <c r="K682" s="219"/>
      <c r="L682" s="219"/>
      <c r="M682" s="219"/>
      <c r="N682" s="219"/>
      <c r="O682" s="219"/>
      <c r="P682" s="219"/>
      <c r="Q682" s="219"/>
      <c r="R682" s="219"/>
      <c r="S682" s="219"/>
      <c r="T682" s="219"/>
      <c r="U682" s="219"/>
      <c r="V682" s="219"/>
      <c r="W682" s="219"/>
      <c r="X682" s="219"/>
      <c r="Y682" s="219"/>
      <c r="Z682" s="219"/>
    </row>
    <row r="683">
      <c r="A683" s="244"/>
      <c r="B683" s="219"/>
      <c r="C683" s="219"/>
      <c r="D683" s="219"/>
      <c r="E683" s="213"/>
      <c r="F683" s="213"/>
      <c r="G683" s="213"/>
      <c r="H683" s="219"/>
      <c r="I683" s="219"/>
      <c r="J683" s="219"/>
      <c r="K683" s="219"/>
      <c r="L683" s="219"/>
      <c r="M683" s="219"/>
      <c r="N683" s="219"/>
      <c r="O683" s="219"/>
      <c r="P683" s="219"/>
      <c r="Q683" s="219"/>
      <c r="R683" s="219"/>
      <c r="S683" s="219"/>
      <c r="T683" s="219"/>
      <c r="U683" s="219"/>
      <c r="V683" s="219"/>
      <c r="W683" s="219"/>
      <c r="X683" s="219"/>
      <c r="Y683" s="219"/>
      <c r="Z683" s="219"/>
    </row>
    <row r="684">
      <c r="A684" s="244"/>
      <c r="B684" s="219"/>
      <c r="C684" s="219"/>
      <c r="D684" s="219"/>
      <c r="E684" s="213"/>
      <c r="F684" s="213"/>
      <c r="G684" s="213"/>
      <c r="H684" s="219"/>
      <c r="I684" s="219"/>
      <c r="J684" s="219"/>
      <c r="K684" s="219"/>
      <c r="L684" s="219"/>
      <c r="M684" s="219"/>
      <c r="N684" s="219"/>
      <c r="O684" s="219"/>
      <c r="P684" s="219"/>
      <c r="Q684" s="219"/>
      <c r="R684" s="219"/>
      <c r="S684" s="219"/>
      <c r="T684" s="219"/>
      <c r="U684" s="219"/>
      <c r="V684" s="219"/>
      <c r="W684" s="219"/>
      <c r="X684" s="219"/>
      <c r="Y684" s="219"/>
      <c r="Z684" s="219"/>
    </row>
    <row r="685">
      <c r="A685" s="244"/>
      <c r="B685" s="219"/>
      <c r="C685" s="219"/>
      <c r="D685" s="219"/>
      <c r="E685" s="213"/>
      <c r="F685" s="213"/>
      <c r="G685" s="213"/>
      <c r="H685" s="219"/>
      <c r="I685" s="219"/>
      <c r="J685" s="219"/>
      <c r="K685" s="219"/>
      <c r="L685" s="219"/>
      <c r="M685" s="219"/>
      <c r="N685" s="219"/>
      <c r="O685" s="219"/>
      <c r="P685" s="219"/>
      <c r="Q685" s="219"/>
      <c r="R685" s="219"/>
      <c r="S685" s="219"/>
      <c r="T685" s="219"/>
      <c r="U685" s="219"/>
      <c r="V685" s="219"/>
      <c r="W685" s="219"/>
      <c r="X685" s="219"/>
      <c r="Y685" s="219"/>
      <c r="Z685" s="219"/>
    </row>
    <row r="686">
      <c r="A686" s="244"/>
      <c r="B686" s="219"/>
      <c r="C686" s="219"/>
      <c r="D686" s="219"/>
      <c r="E686" s="213"/>
      <c r="F686" s="213"/>
      <c r="G686" s="213"/>
      <c r="H686" s="219"/>
      <c r="I686" s="219"/>
      <c r="J686" s="219"/>
      <c r="K686" s="219"/>
      <c r="L686" s="219"/>
      <c r="M686" s="219"/>
      <c r="N686" s="219"/>
      <c r="O686" s="219"/>
      <c r="P686" s="219"/>
      <c r="Q686" s="219"/>
      <c r="R686" s="219"/>
      <c r="S686" s="219"/>
      <c r="T686" s="219"/>
      <c r="U686" s="219"/>
      <c r="V686" s="219"/>
      <c r="W686" s="219"/>
      <c r="X686" s="219"/>
      <c r="Y686" s="219"/>
      <c r="Z686" s="219"/>
    </row>
    <row r="687">
      <c r="A687" s="244"/>
      <c r="B687" s="219"/>
      <c r="C687" s="219"/>
      <c r="D687" s="219"/>
      <c r="E687" s="213"/>
      <c r="F687" s="213"/>
      <c r="G687" s="213"/>
      <c r="H687" s="219"/>
      <c r="I687" s="219"/>
      <c r="J687" s="219"/>
      <c r="K687" s="219"/>
      <c r="L687" s="219"/>
      <c r="M687" s="219"/>
      <c r="N687" s="219"/>
      <c r="O687" s="219"/>
      <c r="P687" s="219"/>
      <c r="Q687" s="219"/>
      <c r="R687" s="219"/>
      <c r="S687" s="219"/>
      <c r="T687" s="219"/>
      <c r="U687" s="219"/>
      <c r="V687" s="219"/>
      <c r="W687" s="219"/>
      <c r="X687" s="219"/>
      <c r="Y687" s="219"/>
      <c r="Z687" s="219"/>
    </row>
    <row r="688">
      <c r="A688" s="244"/>
      <c r="B688" s="219"/>
      <c r="C688" s="219"/>
      <c r="D688" s="219"/>
      <c r="E688" s="213"/>
      <c r="F688" s="213"/>
      <c r="G688" s="213"/>
      <c r="H688" s="219"/>
      <c r="I688" s="219"/>
      <c r="J688" s="219"/>
      <c r="K688" s="219"/>
      <c r="L688" s="219"/>
      <c r="M688" s="219"/>
      <c r="N688" s="219"/>
      <c r="O688" s="219"/>
      <c r="P688" s="219"/>
      <c r="Q688" s="219"/>
      <c r="R688" s="219"/>
      <c r="S688" s="219"/>
      <c r="T688" s="219"/>
      <c r="U688" s="219"/>
      <c r="V688" s="219"/>
      <c r="W688" s="219"/>
      <c r="X688" s="219"/>
      <c r="Y688" s="219"/>
      <c r="Z688" s="219"/>
    </row>
    <row r="689">
      <c r="A689" s="244"/>
      <c r="B689" s="219"/>
      <c r="C689" s="219"/>
      <c r="D689" s="219"/>
      <c r="E689" s="213"/>
      <c r="F689" s="213"/>
      <c r="G689" s="213"/>
      <c r="H689" s="219"/>
      <c r="I689" s="219"/>
      <c r="J689" s="219"/>
      <c r="K689" s="219"/>
      <c r="L689" s="219"/>
      <c r="M689" s="219"/>
      <c r="N689" s="219"/>
      <c r="O689" s="219"/>
      <c r="P689" s="219"/>
      <c r="Q689" s="219"/>
      <c r="R689" s="219"/>
      <c r="S689" s="219"/>
      <c r="T689" s="219"/>
      <c r="U689" s="219"/>
      <c r="V689" s="219"/>
      <c r="W689" s="219"/>
      <c r="X689" s="219"/>
      <c r="Y689" s="219"/>
      <c r="Z689" s="219"/>
    </row>
    <row r="690">
      <c r="A690" s="244"/>
      <c r="B690" s="219"/>
      <c r="C690" s="219"/>
      <c r="D690" s="219"/>
      <c r="E690" s="213"/>
      <c r="F690" s="213"/>
      <c r="G690" s="213"/>
      <c r="H690" s="219"/>
      <c r="I690" s="219"/>
      <c r="J690" s="219"/>
      <c r="K690" s="219"/>
      <c r="L690" s="219"/>
      <c r="M690" s="219"/>
      <c r="N690" s="219"/>
      <c r="O690" s="219"/>
      <c r="P690" s="219"/>
      <c r="Q690" s="219"/>
      <c r="R690" s="219"/>
      <c r="S690" s="219"/>
      <c r="T690" s="219"/>
      <c r="U690" s="219"/>
      <c r="V690" s="219"/>
      <c r="W690" s="219"/>
      <c r="X690" s="219"/>
      <c r="Y690" s="219"/>
      <c r="Z690" s="219"/>
    </row>
    <row r="691">
      <c r="A691" s="244"/>
      <c r="B691" s="219"/>
      <c r="C691" s="219"/>
      <c r="D691" s="219"/>
      <c r="E691" s="213"/>
      <c r="F691" s="213"/>
      <c r="G691" s="213"/>
      <c r="H691" s="219"/>
      <c r="I691" s="219"/>
      <c r="J691" s="219"/>
      <c r="K691" s="219"/>
      <c r="L691" s="219"/>
      <c r="M691" s="219"/>
      <c r="N691" s="219"/>
      <c r="O691" s="219"/>
      <c r="P691" s="219"/>
      <c r="Q691" s="219"/>
      <c r="R691" s="219"/>
      <c r="S691" s="219"/>
      <c r="T691" s="219"/>
      <c r="U691" s="219"/>
      <c r="V691" s="219"/>
      <c r="W691" s="219"/>
      <c r="X691" s="219"/>
      <c r="Y691" s="219"/>
      <c r="Z691" s="219"/>
    </row>
    <row r="692">
      <c r="A692" s="244"/>
      <c r="B692" s="219"/>
      <c r="C692" s="219"/>
      <c r="D692" s="219"/>
      <c r="E692" s="213"/>
      <c r="F692" s="213"/>
      <c r="G692" s="213"/>
      <c r="H692" s="219"/>
      <c r="I692" s="219"/>
      <c r="J692" s="219"/>
      <c r="K692" s="219"/>
      <c r="L692" s="219"/>
      <c r="M692" s="219"/>
      <c r="N692" s="219"/>
      <c r="O692" s="219"/>
      <c r="P692" s="219"/>
      <c r="Q692" s="219"/>
      <c r="R692" s="219"/>
      <c r="S692" s="219"/>
      <c r="T692" s="219"/>
      <c r="U692" s="219"/>
      <c r="V692" s="219"/>
      <c r="W692" s="219"/>
      <c r="X692" s="219"/>
      <c r="Y692" s="219"/>
      <c r="Z692" s="219"/>
    </row>
    <row r="693">
      <c r="A693" s="244"/>
      <c r="B693" s="219"/>
      <c r="C693" s="219"/>
      <c r="D693" s="219"/>
      <c r="E693" s="213"/>
      <c r="F693" s="213"/>
      <c r="G693" s="213"/>
      <c r="H693" s="219"/>
      <c r="I693" s="219"/>
      <c r="J693" s="219"/>
      <c r="K693" s="219"/>
      <c r="L693" s="219"/>
      <c r="M693" s="219"/>
      <c r="N693" s="219"/>
      <c r="O693" s="219"/>
      <c r="P693" s="219"/>
      <c r="Q693" s="219"/>
      <c r="R693" s="219"/>
      <c r="S693" s="219"/>
      <c r="T693" s="219"/>
      <c r="U693" s="219"/>
      <c r="V693" s="219"/>
      <c r="W693" s="219"/>
      <c r="X693" s="219"/>
      <c r="Y693" s="219"/>
      <c r="Z693" s="219"/>
    </row>
    <row r="694">
      <c r="A694" s="244"/>
      <c r="B694" s="219"/>
      <c r="C694" s="219"/>
      <c r="D694" s="219"/>
      <c r="E694" s="213"/>
      <c r="F694" s="213"/>
      <c r="G694" s="213"/>
      <c r="H694" s="219"/>
      <c r="I694" s="219"/>
      <c r="J694" s="219"/>
      <c r="K694" s="219"/>
      <c r="L694" s="219"/>
      <c r="M694" s="219"/>
      <c r="N694" s="219"/>
      <c r="O694" s="219"/>
      <c r="P694" s="219"/>
      <c r="Q694" s="219"/>
      <c r="R694" s="219"/>
      <c r="S694" s="219"/>
      <c r="T694" s="219"/>
      <c r="U694" s="219"/>
      <c r="V694" s="219"/>
      <c r="W694" s="219"/>
      <c r="X694" s="219"/>
      <c r="Y694" s="219"/>
      <c r="Z694" s="219"/>
    </row>
    <row r="695">
      <c r="A695" s="244"/>
      <c r="B695" s="219"/>
      <c r="C695" s="219"/>
      <c r="D695" s="219"/>
      <c r="E695" s="213"/>
      <c r="F695" s="213"/>
      <c r="G695" s="213"/>
      <c r="H695" s="219"/>
      <c r="I695" s="219"/>
      <c r="J695" s="219"/>
      <c r="K695" s="219"/>
      <c r="L695" s="219"/>
      <c r="M695" s="219"/>
      <c r="N695" s="219"/>
      <c r="O695" s="219"/>
      <c r="P695" s="219"/>
      <c r="Q695" s="219"/>
      <c r="R695" s="219"/>
      <c r="S695" s="219"/>
      <c r="T695" s="219"/>
      <c r="U695" s="219"/>
      <c r="V695" s="219"/>
      <c r="W695" s="219"/>
      <c r="X695" s="219"/>
      <c r="Y695" s="219"/>
      <c r="Z695" s="219"/>
    </row>
    <row r="696">
      <c r="A696" s="244"/>
      <c r="B696" s="219"/>
      <c r="C696" s="219"/>
      <c r="D696" s="219"/>
      <c r="E696" s="213"/>
      <c r="F696" s="213"/>
      <c r="G696" s="213"/>
      <c r="H696" s="219"/>
      <c r="I696" s="219"/>
      <c r="J696" s="219"/>
      <c r="K696" s="219"/>
      <c r="L696" s="219"/>
      <c r="M696" s="219"/>
      <c r="N696" s="219"/>
      <c r="O696" s="219"/>
      <c r="P696" s="219"/>
      <c r="Q696" s="219"/>
      <c r="R696" s="219"/>
      <c r="S696" s="219"/>
      <c r="T696" s="219"/>
      <c r="U696" s="219"/>
      <c r="V696" s="219"/>
      <c r="W696" s="219"/>
      <c r="X696" s="219"/>
      <c r="Y696" s="219"/>
      <c r="Z696" s="219"/>
    </row>
    <row r="697">
      <c r="A697" s="244"/>
      <c r="B697" s="219"/>
      <c r="C697" s="219"/>
      <c r="D697" s="219"/>
      <c r="E697" s="213"/>
      <c r="F697" s="213"/>
      <c r="G697" s="213"/>
      <c r="H697" s="219"/>
      <c r="I697" s="219"/>
      <c r="J697" s="219"/>
      <c r="K697" s="219"/>
      <c r="L697" s="219"/>
      <c r="M697" s="219"/>
      <c r="N697" s="219"/>
      <c r="O697" s="219"/>
      <c r="P697" s="219"/>
      <c r="Q697" s="219"/>
      <c r="R697" s="219"/>
      <c r="S697" s="219"/>
      <c r="T697" s="219"/>
      <c r="U697" s="219"/>
      <c r="V697" s="219"/>
      <c r="W697" s="219"/>
      <c r="X697" s="219"/>
      <c r="Y697" s="219"/>
      <c r="Z697" s="219"/>
    </row>
    <row r="698">
      <c r="A698" s="244"/>
      <c r="B698" s="219"/>
      <c r="C698" s="219"/>
      <c r="D698" s="219"/>
      <c r="E698" s="213"/>
      <c r="F698" s="213"/>
      <c r="G698" s="213"/>
      <c r="H698" s="219"/>
      <c r="I698" s="219"/>
      <c r="J698" s="219"/>
      <c r="K698" s="219"/>
      <c r="L698" s="219"/>
      <c r="M698" s="219"/>
      <c r="N698" s="219"/>
      <c r="O698" s="219"/>
      <c r="P698" s="219"/>
      <c r="Q698" s="219"/>
      <c r="R698" s="219"/>
      <c r="S698" s="219"/>
      <c r="T698" s="219"/>
      <c r="U698" s="219"/>
      <c r="V698" s="219"/>
      <c r="W698" s="219"/>
      <c r="X698" s="219"/>
      <c r="Y698" s="219"/>
      <c r="Z698" s="219"/>
    </row>
    <row r="699">
      <c r="A699" s="244"/>
      <c r="B699" s="219"/>
      <c r="C699" s="219"/>
      <c r="D699" s="219"/>
      <c r="E699" s="213"/>
      <c r="F699" s="213"/>
      <c r="G699" s="213"/>
      <c r="H699" s="219"/>
      <c r="I699" s="219"/>
      <c r="J699" s="219"/>
      <c r="K699" s="219"/>
      <c r="L699" s="219"/>
      <c r="M699" s="219"/>
      <c r="N699" s="219"/>
      <c r="O699" s="219"/>
      <c r="P699" s="219"/>
      <c r="Q699" s="219"/>
      <c r="R699" s="219"/>
      <c r="S699" s="219"/>
      <c r="T699" s="219"/>
      <c r="U699" s="219"/>
      <c r="V699" s="219"/>
      <c r="W699" s="219"/>
      <c r="X699" s="219"/>
      <c r="Y699" s="219"/>
      <c r="Z699" s="219"/>
    </row>
    <row r="700">
      <c r="A700" s="244"/>
      <c r="B700" s="219"/>
      <c r="C700" s="219"/>
      <c r="D700" s="219"/>
      <c r="E700" s="213"/>
      <c r="F700" s="213"/>
      <c r="G700" s="213"/>
      <c r="H700" s="219"/>
      <c r="I700" s="219"/>
      <c r="J700" s="219"/>
      <c r="K700" s="219"/>
      <c r="L700" s="219"/>
      <c r="M700" s="219"/>
      <c r="N700" s="219"/>
      <c r="O700" s="219"/>
      <c r="P700" s="219"/>
      <c r="Q700" s="219"/>
      <c r="R700" s="219"/>
      <c r="S700" s="219"/>
      <c r="T700" s="219"/>
      <c r="U700" s="219"/>
      <c r="V700" s="219"/>
      <c r="W700" s="219"/>
      <c r="X700" s="219"/>
      <c r="Y700" s="219"/>
      <c r="Z700" s="219"/>
    </row>
    <row r="701">
      <c r="A701" s="244"/>
      <c r="B701" s="219"/>
      <c r="C701" s="219"/>
      <c r="D701" s="219"/>
      <c r="E701" s="213"/>
      <c r="F701" s="213"/>
      <c r="G701" s="213"/>
      <c r="H701" s="219"/>
      <c r="I701" s="219"/>
      <c r="J701" s="219"/>
      <c r="K701" s="219"/>
      <c r="L701" s="219"/>
      <c r="M701" s="219"/>
      <c r="N701" s="219"/>
      <c r="O701" s="219"/>
      <c r="P701" s="219"/>
      <c r="Q701" s="219"/>
      <c r="R701" s="219"/>
      <c r="S701" s="219"/>
      <c r="T701" s="219"/>
      <c r="U701" s="219"/>
      <c r="V701" s="219"/>
      <c r="W701" s="219"/>
      <c r="X701" s="219"/>
      <c r="Y701" s="219"/>
      <c r="Z701" s="219"/>
    </row>
    <row r="702">
      <c r="A702" s="244"/>
      <c r="B702" s="219"/>
      <c r="C702" s="219"/>
      <c r="D702" s="219"/>
      <c r="E702" s="213"/>
      <c r="F702" s="213"/>
      <c r="G702" s="213"/>
      <c r="H702" s="219"/>
      <c r="I702" s="219"/>
      <c r="J702" s="219"/>
      <c r="K702" s="219"/>
      <c r="L702" s="219"/>
      <c r="M702" s="219"/>
      <c r="N702" s="219"/>
      <c r="O702" s="219"/>
      <c r="P702" s="219"/>
      <c r="Q702" s="219"/>
      <c r="R702" s="219"/>
      <c r="S702" s="219"/>
      <c r="T702" s="219"/>
      <c r="U702" s="219"/>
      <c r="V702" s="219"/>
      <c r="W702" s="219"/>
      <c r="X702" s="219"/>
      <c r="Y702" s="219"/>
      <c r="Z702" s="219"/>
    </row>
    <row r="703">
      <c r="A703" s="244"/>
      <c r="B703" s="219"/>
      <c r="C703" s="219"/>
      <c r="D703" s="219"/>
      <c r="E703" s="213"/>
      <c r="F703" s="213"/>
      <c r="G703" s="213"/>
      <c r="H703" s="219"/>
      <c r="I703" s="219"/>
      <c r="J703" s="219"/>
      <c r="K703" s="219"/>
      <c r="L703" s="219"/>
      <c r="M703" s="219"/>
      <c r="N703" s="219"/>
      <c r="O703" s="219"/>
      <c r="P703" s="219"/>
      <c r="Q703" s="219"/>
      <c r="R703" s="219"/>
      <c r="S703" s="219"/>
      <c r="T703" s="219"/>
      <c r="U703" s="219"/>
      <c r="V703" s="219"/>
      <c r="W703" s="219"/>
      <c r="X703" s="219"/>
      <c r="Y703" s="219"/>
      <c r="Z703" s="219"/>
    </row>
    <row r="704">
      <c r="A704" s="244"/>
      <c r="B704" s="219"/>
      <c r="C704" s="219"/>
      <c r="D704" s="219"/>
      <c r="E704" s="213"/>
      <c r="F704" s="213"/>
      <c r="G704" s="213"/>
      <c r="H704" s="219"/>
      <c r="I704" s="219"/>
      <c r="J704" s="219"/>
      <c r="K704" s="219"/>
      <c r="L704" s="219"/>
      <c r="M704" s="219"/>
      <c r="N704" s="219"/>
      <c r="O704" s="219"/>
      <c r="P704" s="219"/>
      <c r="Q704" s="219"/>
      <c r="R704" s="219"/>
      <c r="S704" s="219"/>
      <c r="T704" s="219"/>
      <c r="U704" s="219"/>
      <c r="V704" s="219"/>
      <c r="W704" s="219"/>
      <c r="X704" s="219"/>
      <c r="Y704" s="219"/>
      <c r="Z704" s="219"/>
    </row>
    <row r="705">
      <c r="A705" s="244"/>
      <c r="B705" s="219"/>
      <c r="C705" s="219"/>
      <c r="D705" s="219"/>
      <c r="E705" s="213"/>
      <c r="F705" s="213"/>
      <c r="G705" s="213"/>
      <c r="H705" s="219"/>
      <c r="I705" s="219"/>
      <c r="J705" s="219"/>
      <c r="K705" s="219"/>
      <c r="L705" s="219"/>
      <c r="M705" s="219"/>
      <c r="N705" s="219"/>
      <c r="O705" s="219"/>
      <c r="P705" s="219"/>
      <c r="Q705" s="219"/>
      <c r="R705" s="219"/>
      <c r="S705" s="219"/>
      <c r="T705" s="219"/>
      <c r="U705" s="219"/>
      <c r="V705" s="219"/>
      <c r="W705" s="219"/>
      <c r="X705" s="219"/>
      <c r="Y705" s="219"/>
      <c r="Z705" s="219"/>
    </row>
    <row r="706">
      <c r="A706" s="244"/>
      <c r="B706" s="219"/>
      <c r="C706" s="219"/>
      <c r="D706" s="219"/>
      <c r="E706" s="213"/>
      <c r="F706" s="213"/>
      <c r="G706" s="213"/>
      <c r="H706" s="219"/>
      <c r="I706" s="219"/>
      <c r="J706" s="219"/>
      <c r="K706" s="219"/>
      <c r="L706" s="219"/>
      <c r="M706" s="219"/>
      <c r="N706" s="219"/>
      <c r="O706" s="219"/>
      <c r="P706" s="219"/>
      <c r="Q706" s="219"/>
      <c r="R706" s="219"/>
      <c r="S706" s="219"/>
      <c r="T706" s="219"/>
      <c r="U706" s="219"/>
      <c r="V706" s="219"/>
      <c r="W706" s="219"/>
      <c r="X706" s="219"/>
      <c r="Y706" s="219"/>
      <c r="Z706" s="219"/>
    </row>
    <row r="707">
      <c r="A707" s="244"/>
      <c r="B707" s="219"/>
      <c r="C707" s="219"/>
      <c r="D707" s="219"/>
      <c r="E707" s="213"/>
      <c r="F707" s="213"/>
      <c r="G707" s="213"/>
      <c r="H707" s="219"/>
      <c r="I707" s="219"/>
      <c r="J707" s="219"/>
      <c r="K707" s="219"/>
      <c r="L707" s="219"/>
      <c r="M707" s="219"/>
      <c r="N707" s="219"/>
      <c r="O707" s="219"/>
      <c r="P707" s="219"/>
      <c r="Q707" s="219"/>
      <c r="R707" s="219"/>
      <c r="S707" s="219"/>
      <c r="T707" s="219"/>
      <c r="U707" s="219"/>
      <c r="V707" s="219"/>
      <c r="W707" s="219"/>
      <c r="X707" s="219"/>
      <c r="Y707" s="219"/>
      <c r="Z707" s="219"/>
    </row>
    <row r="708">
      <c r="A708" s="244"/>
      <c r="B708" s="219"/>
      <c r="C708" s="219"/>
      <c r="D708" s="219"/>
      <c r="E708" s="213"/>
      <c r="F708" s="213"/>
      <c r="G708" s="213"/>
      <c r="H708" s="219"/>
      <c r="I708" s="219"/>
      <c r="J708" s="219"/>
      <c r="K708" s="219"/>
      <c r="L708" s="219"/>
      <c r="M708" s="219"/>
      <c r="N708" s="219"/>
      <c r="O708" s="219"/>
      <c r="P708" s="219"/>
      <c r="Q708" s="219"/>
      <c r="R708" s="219"/>
      <c r="S708" s="219"/>
      <c r="T708" s="219"/>
      <c r="U708" s="219"/>
      <c r="V708" s="219"/>
      <c r="W708" s="219"/>
      <c r="X708" s="219"/>
      <c r="Y708" s="219"/>
      <c r="Z708" s="219"/>
    </row>
    <row r="709">
      <c r="A709" s="244"/>
      <c r="B709" s="219"/>
      <c r="C709" s="219"/>
      <c r="D709" s="219"/>
      <c r="E709" s="213"/>
      <c r="F709" s="213"/>
      <c r="G709" s="213"/>
      <c r="H709" s="219"/>
      <c r="I709" s="219"/>
      <c r="J709" s="219"/>
      <c r="K709" s="219"/>
      <c r="L709" s="219"/>
      <c r="M709" s="219"/>
      <c r="N709" s="219"/>
      <c r="O709" s="219"/>
      <c r="P709" s="219"/>
      <c r="Q709" s="219"/>
      <c r="R709" s="219"/>
      <c r="S709" s="219"/>
      <c r="T709" s="219"/>
      <c r="U709" s="219"/>
      <c r="V709" s="219"/>
      <c r="W709" s="219"/>
      <c r="X709" s="219"/>
      <c r="Y709" s="219"/>
      <c r="Z709" s="219"/>
    </row>
    <row r="710">
      <c r="A710" s="244"/>
      <c r="B710" s="219"/>
      <c r="C710" s="219"/>
      <c r="D710" s="219"/>
      <c r="E710" s="213"/>
      <c r="F710" s="213"/>
      <c r="G710" s="213"/>
      <c r="H710" s="219"/>
      <c r="I710" s="219"/>
      <c r="J710" s="219"/>
      <c r="K710" s="219"/>
      <c r="L710" s="219"/>
      <c r="M710" s="219"/>
      <c r="N710" s="219"/>
      <c r="O710" s="219"/>
      <c r="P710" s="219"/>
      <c r="Q710" s="219"/>
      <c r="R710" s="219"/>
      <c r="S710" s="219"/>
      <c r="T710" s="219"/>
      <c r="U710" s="219"/>
      <c r="V710" s="219"/>
      <c r="W710" s="219"/>
      <c r="X710" s="219"/>
      <c r="Y710" s="219"/>
      <c r="Z710" s="219"/>
    </row>
    <row r="711">
      <c r="A711" s="244"/>
      <c r="B711" s="219"/>
      <c r="C711" s="219"/>
      <c r="D711" s="219"/>
      <c r="E711" s="213"/>
      <c r="F711" s="213"/>
      <c r="G711" s="213"/>
      <c r="H711" s="219"/>
      <c r="I711" s="219"/>
      <c r="J711" s="219"/>
      <c r="K711" s="219"/>
      <c r="L711" s="219"/>
      <c r="M711" s="219"/>
      <c r="N711" s="219"/>
      <c r="O711" s="219"/>
      <c r="P711" s="219"/>
      <c r="Q711" s="219"/>
      <c r="R711" s="219"/>
      <c r="S711" s="219"/>
      <c r="T711" s="219"/>
      <c r="U711" s="219"/>
      <c r="V711" s="219"/>
      <c r="W711" s="219"/>
      <c r="X711" s="219"/>
      <c r="Y711" s="219"/>
      <c r="Z711" s="219"/>
    </row>
    <row r="712">
      <c r="A712" s="244"/>
      <c r="B712" s="219"/>
      <c r="C712" s="219"/>
      <c r="D712" s="219"/>
      <c r="E712" s="213"/>
      <c r="F712" s="213"/>
      <c r="G712" s="213"/>
      <c r="H712" s="219"/>
      <c r="I712" s="219"/>
      <c r="J712" s="219"/>
      <c r="K712" s="219"/>
      <c r="L712" s="219"/>
      <c r="M712" s="219"/>
      <c r="N712" s="219"/>
      <c r="O712" s="219"/>
      <c r="P712" s="219"/>
      <c r="Q712" s="219"/>
      <c r="R712" s="219"/>
      <c r="S712" s="219"/>
      <c r="T712" s="219"/>
      <c r="U712" s="219"/>
      <c r="V712" s="219"/>
      <c r="W712" s="219"/>
      <c r="X712" s="219"/>
      <c r="Y712" s="219"/>
      <c r="Z712" s="219"/>
    </row>
    <row r="713">
      <c r="A713" s="244"/>
      <c r="B713" s="219"/>
      <c r="C713" s="219"/>
      <c r="D713" s="219"/>
      <c r="E713" s="213"/>
      <c r="F713" s="213"/>
      <c r="G713" s="213"/>
      <c r="H713" s="219"/>
      <c r="I713" s="219"/>
      <c r="J713" s="219"/>
      <c r="K713" s="219"/>
      <c r="L713" s="219"/>
      <c r="M713" s="219"/>
      <c r="N713" s="219"/>
      <c r="O713" s="219"/>
      <c r="P713" s="219"/>
      <c r="Q713" s="219"/>
      <c r="R713" s="219"/>
      <c r="S713" s="219"/>
      <c r="T713" s="219"/>
      <c r="U713" s="219"/>
      <c r="V713" s="219"/>
      <c r="W713" s="219"/>
      <c r="X713" s="219"/>
      <c r="Y713" s="219"/>
      <c r="Z713" s="219"/>
    </row>
    <row r="714">
      <c r="A714" s="244"/>
      <c r="B714" s="219"/>
      <c r="C714" s="219"/>
      <c r="D714" s="219"/>
      <c r="E714" s="213"/>
      <c r="F714" s="213"/>
      <c r="G714" s="213"/>
      <c r="H714" s="219"/>
      <c r="I714" s="219"/>
      <c r="J714" s="219"/>
      <c r="K714" s="219"/>
      <c r="L714" s="219"/>
      <c r="M714" s="219"/>
      <c r="N714" s="219"/>
      <c r="O714" s="219"/>
      <c r="P714" s="219"/>
      <c r="Q714" s="219"/>
      <c r="R714" s="219"/>
      <c r="S714" s="219"/>
      <c r="T714" s="219"/>
      <c r="U714" s="219"/>
      <c r="V714" s="219"/>
      <c r="W714" s="219"/>
      <c r="X714" s="219"/>
      <c r="Y714" s="219"/>
      <c r="Z714" s="219"/>
    </row>
    <row r="715">
      <c r="A715" s="244"/>
      <c r="B715" s="219"/>
      <c r="C715" s="219"/>
      <c r="D715" s="219"/>
      <c r="E715" s="213"/>
      <c r="F715" s="213"/>
      <c r="G715" s="213"/>
      <c r="H715" s="219"/>
      <c r="I715" s="219"/>
      <c r="J715" s="219"/>
      <c r="K715" s="219"/>
      <c r="L715" s="219"/>
      <c r="M715" s="219"/>
      <c r="N715" s="219"/>
      <c r="O715" s="219"/>
      <c r="P715" s="219"/>
      <c r="Q715" s="219"/>
      <c r="R715" s="219"/>
      <c r="S715" s="219"/>
      <c r="T715" s="219"/>
      <c r="U715" s="219"/>
      <c r="V715" s="219"/>
      <c r="W715" s="219"/>
      <c r="X715" s="219"/>
      <c r="Y715" s="219"/>
      <c r="Z715" s="219"/>
    </row>
    <row r="716">
      <c r="A716" s="244"/>
      <c r="B716" s="219"/>
      <c r="C716" s="219"/>
      <c r="D716" s="219"/>
      <c r="E716" s="213"/>
      <c r="F716" s="213"/>
      <c r="G716" s="213"/>
      <c r="H716" s="219"/>
      <c r="I716" s="219"/>
      <c r="J716" s="219"/>
      <c r="K716" s="219"/>
      <c r="L716" s="219"/>
      <c r="M716" s="219"/>
      <c r="N716" s="219"/>
      <c r="O716" s="219"/>
      <c r="P716" s="219"/>
      <c r="Q716" s="219"/>
      <c r="R716" s="219"/>
      <c r="S716" s="219"/>
      <c r="T716" s="219"/>
      <c r="U716" s="219"/>
      <c r="V716" s="219"/>
      <c r="W716" s="219"/>
      <c r="X716" s="219"/>
      <c r="Y716" s="219"/>
      <c r="Z716" s="219"/>
    </row>
    <row r="717">
      <c r="A717" s="244"/>
      <c r="B717" s="219"/>
      <c r="C717" s="219"/>
      <c r="D717" s="219"/>
      <c r="E717" s="213"/>
      <c r="F717" s="213"/>
      <c r="G717" s="213"/>
      <c r="H717" s="219"/>
      <c r="I717" s="219"/>
      <c r="J717" s="219"/>
      <c r="K717" s="219"/>
      <c r="L717" s="219"/>
      <c r="M717" s="219"/>
      <c r="N717" s="219"/>
      <c r="O717" s="219"/>
      <c r="P717" s="219"/>
      <c r="Q717" s="219"/>
      <c r="R717" s="219"/>
      <c r="S717" s="219"/>
      <c r="T717" s="219"/>
      <c r="U717" s="219"/>
      <c r="V717" s="219"/>
      <c r="W717" s="219"/>
      <c r="X717" s="219"/>
      <c r="Y717" s="219"/>
      <c r="Z717" s="219"/>
    </row>
    <row r="718">
      <c r="A718" s="244"/>
      <c r="B718" s="219"/>
      <c r="C718" s="219"/>
      <c r="D718" s="219"/>
      <c r="E718" s="213"/>
      <c r="F718" s="213"/>
      <c r="G718" s="213"/>
      <c r="H718" s="219"/>
      <c r="I718" s="219"/>
      <c r="J718" s="219"/>
      <c r="K718" s="219"/>
      <c r="L718" s="219"/>
      <c r="M718" s="219"/>
      <c r="N718" s="219"/>
      <c r="O718" s="219"/>
      <c r="P718" s="219"/>
      <c r="Q718" s="219"/>
      <c r="R718" s="219"/>
      <c r="S718" s="219"/>
      <c r="T718" s="219"/>
      <c r="U718" s="219"/>
      <c r="V718" s="219"/>
      <c r="W718" s="219"/>
      <c r="X718" s="219"/>
      <c r="Y718" s="219"/>
      <c r="Z718" s="219"/>
    </row>
    <row r="719">
      <c r="A719" s="244"/>
      <c r="B719" s="219"/>
      <c r="C719" s="219"/>
      <c r="D719" s="219"/>
      <c r="E719" s="213"/>
      <c r="F719" s="213"/>
      <c r="G719" s="213"/>
      <c r="H719" s="219"/>
      <c r="I719" s="219"/>
      <c r="J719" s="219"/>
      <c r="K719" s="219"/>
      <c r="L719" s="219"/>
      <c r="M719" s="219"/>
      <c r="N719" s="219"/>
      <c r="O719" s="219"/>
      <c r="P719" s="219"/>
      <c r="Q719" s="219"/>
      <c r="R719" s="219"/>
      <c r="S719" s="219"/>
      <c r="T719" s="219"/>
      <c r="U719" s="219"/>
      <c r="V719" s="219"/>
      <c r="W719" s="219"/>
      <c r="X719" s="219"/>
      <c r="Y719" s="219"/>
      <c r="Z719" s="219"/>
    </row>
    <row r="720">
      <c r="A720" s="244"/>
      <c r="B720" s="219"/>
      <c r="C720" s="219"/>
      <c r="D720" s="219"/>
      <c r="E720" s="213"/>
      <c r="F720" s="213"/>
      <c r="G720" s="213"/>
      <c r="H720" s="219"/>
      <c r="I720" s="219"/>
      <c r="J720" s="219"/>
      <c r="K720" s="219"/>
      <c r="L720" s="219"/>
      <c r="M720" s="219"/>
      <c r="N720" s="219"/>
      <c r="O720" s="219"/>
      <c r="P720" s="219"/>
      <c r="Q720" s="219"/>
      <c r="R720" s="219"/>
      <c r="S720" s="219"/>
      <c r="T720" s="219"/>
      <c r="U720" s="219"/>
      <c r="V720" s="219"/>
      <c r="W720" s="219"/>
      <c r="X720" s="219"/>
      <c r="Y720" s="219"/>
      <c r="Z720" s="219"/>
    </row>
    <row r="721">
      <c r="A721" s="244"/>
      <c r="B721" s="219"/>
      <c r="C721" s="219"/>
      <c r="D721" s="219"/>
      <c r="E721" s="213"/>
      <c r="F721" s="213"/>
      <c r="G721" s="213"/>
      <c r="H721" s="219"/>
      <c r="I721" s="219"/>
      <c r="J721" s="219"/>
      <c r="K721" s="219"/>
      <c r="L721" s="219"/>
      <c r="M721" s="219"/>
      <c r="N721" s="219"/>
      <c r="O721" s="219"/>
      <c r="P721" s="219"/>
      <c r="Q721" s="219"/>
      <c r="R721" s="219"/>
      <c r="S721" s="219"/>
      <c r="T721" s="219"/>
      <c r="U721" s="219"/>
      <c r="V721" s="219"/>
      <c r="W721" s="219"/>
      <c r="X721" s="219"/>
      <c r="Y721" s="219"/>
      <c r="Z721" s="219"/>
    </row>
    <row r="722">
      <c r="A722" s="244"/>
      <c r="B722" s="219"/>
      <c r="C722" s="219"/>
      <c r="D722" s="219"/>
      <c r="E722" s="213"/>
      <c r="F722" s="213"/>
      <c r="G722" s="213"/>
      <c r="H722" s="219"/>
      <c r="I722" s="219"/>
      <c r="J722" s="219"/>
      <c r="K722" s="219"/>
      <c r="L722" s="219"/>
      <c r="M722" s="219"/>
      <c r="N722" s="219"/>
      <c r="O722" s="219"/>
      <c r="P722" s="219"/>
      <c r="Q722" s="219"/>
      <c r="R722" s="219"/>
      <c r="S722" s="219"/>
      <c r="T722" s="219"/>
      <c r="U722" s="219"/>
      <c r="V722" s="219"/>
      <c r="W722" s="219"/>
      <c r="X722" s="219"/>
      <c r="Y722" s="219"/>
      <c r="Z722" s="219"/>
    </row>
    <row r="723">
      <c r="A723" s="244"/>
      <c r="B723" s="219"/>
      <c r="C723" s="219"/>
      <c r="D723" s="219"/>
      <c r="E723" s="213"/>
      <c r="F723" s="213"/>
      <c r="G723" s="213"/>
      <c r="H723" s="219"/>
      <c r="I723" s="219"/>
      <c r="J723" s="219"/>
      <c r="K723" s="219"/>
      <c r="L723" s="219"/>
      <c r="M723" s="219"/>
      <c r="N723" s="219"/>
      <c r="O723" s="219"/>
      <c r="P723" s="219"/>
      <c r="Q723" s="219"/>
      <c r="R723" s="219"/>
      <c r="S723" s="219"/>
      <c r="T723" s="219"/>
      <c r="U723" s="219"/>
      <c r="V723" s="219"/>
      <c r="W723" s="219"/>
      <c r="X723" s="219"/>
      <c r="Y723" s="219"/>
      <c r="Z723" s="219"/>
    </row>
    <row r="724">
      <c r="A724" s="244"/>
      <c r="B724" s="219"/>
      <c r="C724" s="219"/>
      <c r="D724" s="219"/>
      <c r="E724" s="213"/>
      <c r="F724" s="213"/>
      <c r="G724" s="213"/>
      <c r="H724" s="219"/>
      <c r="I724" s="219"/>
      <c r="J724" s="219"/>
      <c r="K724" s="219"/>
      <c r="L724" s="219"/>
      <c r="M724" s="219"/>
      <c r="N724" s="219"/>
      <c r="O724" s="219"/>
      <c r="P724" s="219"/>
      <c r="Q724" s="219"/>
      <c r="R724" s="219"/>
      <c r="S724" s="219"/>
      <c r="T724" s="219"/>
      <c r="U724" s="219"/>
      <c r="V724" s="219"/>
      <c r="W724" s="219"/>
      <c r="X724" s="219"/>
      <c r="Y724" s="219"/>
      <c r="Z724" s="219"/>
    </row>
    <row r="725">
      <c r="A725" s="244"/>
      <c r="B725" s="219"/>
      <c r="C725" s="219"/>
      <c r="D725" s="219"/>
      <c r="E725" s="213"/>
      <c r="F725" s="213"/>
      <c r="G725" s="213"/>
      <c r="H725" s="219"/>
      <c r="I725" s="219"/>
      <c r="J725" s="219"/>
      <c r="K725" s="219"/>
      <c r="L725" s="219"/>
      <c r="M725" s="219"/>
      <c r="N725" s="219"/>
      <c r="O725" s="219"/>
      <c r="P725" s="219"/>
      <c r="Q725" s="219"/>
      <c r="R725" s="219"/>
      <c r="S725" s="219"/>
      <c r="T725" s="219"/>
      <c r="U725" s="219"/>
      <c r="V725" s="219"/>
      <c r="W725" s="219"/>
      <c r="X725" s="219"/>
      <c r="Y725" s="219"/>
      <c r="Z725" s="219"/>
    </row>
    <row r="726">
      <c r="A726" s="244"/>
      <c r="B726" s="219"/>
      <c r="C726" s="219"/>
      <c r="D726" s="219"/>
      <c r="E726" s="213"/>
      <c r="F726" s="213"/>
      <c r="G726" s="213"/>
      <c r="H726" s="219"/>
      <c r="I726" s="219"/>
      <c r="J726" s="219"/>
      <c r="K726" s="219"/>
      <c r="L726" s="219"/>
      <c r="M726" s="219"/>
      <c r="N726" s="219"/>
      <c r="O726" s="219"/>
      <c r="P726" s="219"/>
      <c r="Q726" s="219"/>
      <c r="R726" s="219"/>
      <c r="S726" s="219"/>
      <c r="T726" s="219"/>
      <c r="U726" s="219"/>
      <c r="V726" s="219"/>
      <c r="W726" s="219"/>
      <c r="X726" s="219"/>
      <c r="Y726" s="219"/>
      <c r="Z726" s="219"/>
    </row>
    <row r="727">
      <c r="A727" s="244"/>
      <c r="B727" s="219"/>
      <c r="C727" s="219"/>
      <c r="D727" s="219"/>
      <c r="E727" s="213"/>
      <c r="F727" s="213"/>
      <c r="G727" s="213"/>
      <c r="H727" s="219"/>
      <c r="I727" s="219"/>
      <c r="J727" s="219"/>
      <c r="K727" s="219"/>
      <c r="L727" s="219"/>
      <c r="M727" s="219"/>
      <c r="N727" s="219"/>
      <c r="O727" s="219"/>
      <c r="P727" s="219"/>
      <c r="Q727" s="219"/>
      <c r="R727" s="219"/>
      <c r="S727" s="219"/>
      <c r="T727" s="219"/>
      <c r="U727" s="219"/>
      <c r="V727" s="219"/>
      <c r="W727" s="219"/>
      <c r="X727" s="219"/>
      <c r="Y727" s="219"/>
      <c r="Z727" s="219"/>
    </row>
    <row r="728">
      <c r="A728" s="244"/>
      <c r="B728" s="219"/>
      <c r="C728" s="219"/>
      <c r="D728" s="219"/>
      <c r="E728" s="213"/>
      <c r="F728" s="213"/>
      <c r="G728" s="213"/>
      <c r="H728" s="219"/>
      <c r="I728" s="219"/>
      <c r="J728" s="219"/>
      <c r="K728" s="219"/>
      <c r="L728" s="219"/>
      <c r="M728" s="219"/>
      <c r="N728" s="219"/>
      <c r="O728" s="219"/>
      <c r="P728" s="219"/>
      <c r="Q728" s="219"/>
      <c r="R728" s="219"/>
      <c r="S728" s="219"/>
      <c r="T728" s="219"/>
      <c r="U728" s="219"/>
      <c r="V728" s="219"/>
      <c r="W728" s="219"/>
      <c r="X728" s="219"/>
      <c r="Y728" s="219"/>
      <c r="Z728" s="219"/>
    </row>
    <row r="729">
      <c r="A729" s="244"/>
      <c r="B729" s="219"/>
      <c r="C729" s="219"/>
      <c r="D729" s="219"/>
      <c r="E729" s="213"/>
      <c r="F729" s="213"/>
      <c r="G729" s="213"/>
      <c r="H729" s="219"/>
      <c r="I729" s="219"/>
      <c r="J729" s="219"/>
      <c r="K729" s="219"/>
      <c r="L729" s="219"/>
      <c r="M729" s="219"/>
      <c r="N729" s="219"/>
      <c r="O729" s="219"/>
      <c r="P729" s="219"/>
      <c r="Q729" s="219"/>
      <c r="R729" s="219"/>
      <c r="S729" s="219"/>
      <c r="T729" s="219"/>
      <c r="U729" s="219"/>
      <c r="V729" s="219"/>
      <c r="W729" s="219"/>
      <c r="X729" s="219"/>
      <c r="Y729" s="219"/>
      <c r="Z729" s="219"/>
    </row>
    <row r="730">
      <c r="A730" s="244"/>
      <c r="B730" s="219"/>
      <c r="C730" s="219"/>
      <c r="D730" s="219"/>
      <c r="E730" s="213"/>
      <c r="F730" s="213"/>
      <c r="G730" s="213"/>
      <c r="H730" s="219"/>
      <c r="I730" s="219"/>
      <c r="J730" s="219"/>
      <c r="K730" s="219"/>
      <c r="L730" s="219"/>
      <c r="M730" s="219"/>
      <c r="N730" s="219"/>
      <c r="O730" s="219"/>
      <c r="P730" s="219"/>
      <c r="Q730" s="219"/>
      <c r="R730" s="219"/>
      <c r="S730" s="219"/>
      <c r="T730" s="219"/>
      <c r="U730" s="219"/>
      <c r="V730" s="219"/>
      <c r="W730" s="219"/>
      <c r="X730" s="219"/>
      <c r="Y730" s="219"/>
      <c r="Z730" s="219"/>
    </row>
    <row r="731">
      <c r="A731" s="244"/>
      <c r="B731" s="219"/>
      <c r="C731" s="219"/>
      <c r="D731" s="219"/>
      <c r="E731" s="213"/>
      <c r="F731" s="213"/>
      <c r="G731" s="213"/>
      <c r="H731" s="219"/>
      <c r="I731" s="219"/>
      <c r="J731" s="219"/>
      <c r="K731" s="219"/>
      <c r="L731" s="219"/>
      <c r="M731" s="219"/>
      <c r="N731" s="219"/>
      <c r="O731" s="219"/>
      <c r="P731" s="219"/>
      <c r="Q731" s="219"/>
      <c r="R731" s="219"/>
      <c r="S731" s="219"/>
      <c r="T731" s="219"/>
      <c r="U731" s="219"/>
      <c r="V731" s="219"/>
      <c r="W731" s="219"/>
      <c r="X731" s="219"/>
      <c r="Y731" s="219"/>
      <c r="Z731" s="219"/>
    </row>
    <row r="732">
      <c r="A732" s="244"/>
      <c r="B732" s="219"/>
      <c r="C732" s="219"/>
      <c r="D732" s="219"/>
      <c r="E732" s="213"/>
      <c r="F732" s="213"/>
      <c r="G732" s="213"/>
      <c r="H732" s="219"/>
      <c r="I732" s="219"/>
      <c r="J732" s="219"/>
      <c r="K732" s="219"/>
      <c r="L732" s="219"/>
      <c r="M732" s="219"/>
      <c r="N732" s="219"/>
      <c r="O732" s="219"/>
      <c r="P732" s="219"/>
      <c r="Q732" s="219"/>
      <c r="R732" s="219"/>
      <c r="S732" s="219"/>
      <c r="T732" s="219"/>
      <c r="U732" s="219"/>
      <c r="V732" s="219"/>
      <c r="W732" s="219"/>
      <c r="X732" s="219"/>
      <c r="Y732" s="219"/>
      <c r="Z732" s="219"/>
    </row>
    <row r="733">
      <c r="A733" s="244"/>
      <c r="B733" s="219"/>
      <c r="C733" s="219"/>
      <c r="D733" s="219"/>
      <c r="E733" s="213"/>
      <c r="F733" s="213"/>
      <c r="G733" s="213"/>
      <c r="H733" s="219"/>
      <c r="I733" s="219"/>
      <c r="J733" s="219"/>
      <c r="K733" s="219"/>
      <c r="L733" s="219"/>
      <c r="M733" s="219"/>
      <c r="N733" s="219"/>
      <c r="O733" s="219"/>
      <c r="P733" s="219"/>
      <c r="Q733" s="219"/>
      <c r="R733" s="219"/>
      <c r="S733" s="219"/>
      <c r="T733" s="219"/>
      <c r="U733" s="219"/>
      <c r="V733" s="219"/>
      <c r="W733" s="219"/>
      <c r="X733" s="219"/>
      <c r="Y733" s="219"/>
      <c r="Z733" s="219"/>
    </row>
    <row r="734">
      <c r="A734" s="244"/>
      <c r="B734" s="219"/>
      <c r="C734" s="219"/>
      <c r="D734" s="219"/>
      <c r="E734" s="213"/>
      <c r="F734" s="213"/>
      <c r="G734" s="213"/>
      <c r="H734" s="219"/>
      <c r="I734" s="219"/>
      <c r="J734" s="219"/>
      <c r="K734" s="219"/>
      <c r="L734" s="219"/>
      <c r="M734" s="219"/>
      <c r="N734" s="219"/>
      <c r="O734" s="219"/>
      <c r="P734" s="219"/>
      <c r="Q734" s="219"/>
      <c r="R734" s="219"/>
      <c r="S734" s="219"/>
      <c r="T734" s="219"/>
      <c r="U734" s="219"/>
      <c r="V734" s="219"/>
      <c r="W734" s="219"/>
      <c r="X734" s="219"/>
      <c r="Y734" s="219"/>
      <c r="Z734" s="219"/>
    </row>
    <row r="735">
      <c r="A735" s="244"/>
      <c r="B735" s="219"/>
      <c r="C735" s="219"/>
      <c r="D735" s="219"/>
      <c r="E735" s="213"/>
      <c r="F735" s="213"/>
      <c r="G735" s="213"/>
      <c r="H735" s="219"/>
      <c r="I735" s="219"/>
      <c r="J735" s="219"/>
      <c r="K735" s="219"/>
      <c r="L735" s="219"/>
      <c r="M735" s="219"/>
      <c r="N735" s="219"/>
      <c r="O735" s="219"/>
      <c r="P735" s="219"/>
      <c r="Q735" s="219"/>
      <c r="R735" s="219"/>
      <c r="S735" s="219"/>
      <c r="T735" s="219"/>
      <c r="U735" s="219"/>
      <c r="V735" s="219"/>
      <c r="W735" s="219"/>
      <c r="X735" s="219"/>
      <c r="Y735" s="219"/>
      <c r="Z735" s="219"/>
    </row>
    <row r="736">
      <c r="A736" s="244"/>
      <c r="B736" s="219"/>
      <c r="C736" s="219"/>
      <c r="D736" s="219"/>
      <c r="E736" s="213"/>
      <c r="F736" s="213"/>
      <c r="G736" s="213"/>
      <c r="H736" s="219"/>
      <c r="I736" s="219"/>
      <c r="J736" s="219"/>
      <c r="K736" s="219"/>
      <c r="L736" s="219"/>
      <c r="M736" s="219"/>
      <c r="N736" s="219"/>
      <c r="O736" s="219"/>
      <c r="P736" s="219"/>
      <c r="Q736" s="219"/>
      <c r="R736" s="219"/>
      <c r="S736" s="219"/>
      <c r="T736" s="219"/>
      <c r="U736" s="219"/>
      <c r="V736" s="219"/>
      <c r="W736" s="219"/>
      <c r="X736" s="219"/>
      <c r="Y736" s="219"/>
      <c r="Z736" s="219"/>
    </row>
    <row r="737">
      <c r="A737" s="244"/>
      <c r="B737" s="219"/>
      <c r="C737" s="219"/>
      <c r="D737" s="219"/>
      <c r="E737" s="213"/>
      <c r="F737" s="213"/>
      <c r="G737" s="213"/>
      <c r="H737" s="219"/>
      <c r="I737" s="219"/>
      <c r="J737" s="219"/>
      <c r="K737" s="219"/>
      <c r="L737" s="219"/>
      <c r="M737" s="219"/>
      <c r="N737" s="219"/>
      <c r="O737" s="219"/>
      <c r="P737" s="219"/>
      <c r="Q737" s="219"/>
      <c r="R737" s="219"/>
      <c r="S737" s="219"/>
      <c r="T737" s="219"/>
      <c r="U737" s="219"/>
      <c r="V737" s="219"/>
      <c r="W737" s="219"/>
      <c r="X737" s="219"/>
      <c r="Y737" s="219"/>
      <c r="Z737" s="219"/>
    </row>
    <row r="738">
      <c r="A738" s="244"/>
      <c r="B738" s="219"/>
      <c r="C738" s="219"/>
      <c r="D738" s="219"/>
      <c r="E738" s="213"/>
      <c r="F738" s="213"/>
      <c r="G738" s="213"/>
      <c r="H738" s="219"/>
      <c r="I738" s="219"/>
      <c r="J738" s="219"/>
      <c r="K738" s="219"/>
      <c r="L738" s="219"/>
      <c r="M738" s="219"/>
      <c r="N738" s="219"/>
      <c r="O738" s="219"/>
      <c r="P738" s="219"/>
      <c r="Q738" s="219"/>
      <c r="R738" s="219"/>
      <c r="S738" s="219"/>
      <c r="T738" s="219"/>
      <c r="U738" s="219"/>
      <c r="V738" s="219"/>
      <c r="W738" s="219"/>
      <c r="X738" s="219"/>
      <c r="Y738" s="219"/>
      <c r="Z738" s="219"/>
    </row>
    <row r="739">
      <c r="A739" s="244"/>
      <c r="B739" s="219"/>
      <c r="C739" s="219"/>
      <c r="D739" s="219"/>
      <c r="E739" s="213"/>
      <c r="F739" s="213"/>
      <c r="G739" s="213"/>
      <c r="H739" s="219"/>
      <c r="I739" s="219"/>
      <c r="J739" s="219"/>
      <c r="K739" s="219"/>
      <c r="L739" s="219"/>
      <c r="M739" s="219"/>
      <c r="N739" s="219"/>
      <c r="O739" s="219"/>
      <c r="P739" s="219"/>
      <c r="Q739" s="219"/>
      <c r="R739" s="219"/>
      <c r="S739" s="219"/>
      <c r="T739" s="219"/>
      <c r="U739" s="219"/>
      <c r="V739" s="219"/>
      <c r="W739" s="219"/>
      <c r="X739" s="219"/>
      <c r="Y739" s="219"/>
      <c r="Z739" s="219"/>
    </row>
    <row r="740">
      <c r="A740" s="244"/>
      <c r="B740" s="219"/>
      <c r="C740" s="219"/>
      <c r="D740" s="219"/>
      <c r="E740" s="213"/>
      <c r="F740" s="213"/>
      <c r="G740" s="213"/>
      <c r="H740" s="219"/>
      <c r="I740" s="219"/>
      <c r="J740" s="219"/>
      <c r="K740" s="219"/>
      <c r="L740" s="219"/>
      <c r="M740" s="219"/>
      <c r="N740" s="219"/>
      <c r="O740" s="219"/>
      <c r="P740" s="219"/>
      <c r="Q740" s="219"/>
      <c r="R740" s="219"/>
      <c r="S740" s="219"/>
      <c r="T740" s="219"/>
      <c r="U740" s="219"/>
      <c r="V740" s="219"/>
      <c r="W740" s="219"/>
      <c r="X740" s="219"/>
      <c r="Y740" s="219"/>
      <c r="Z740" s="219"/>
    </row>
    <row r="741">
      <c r="A741" s="244"/>
      <c r="B741" s="219"/>
      <c r="C741" s="219"/>
      <c r="D741" s="219"/>
      <c r="E741" s="213"/>
      <c r="F741" s="213"/>
      <c r="G741" s="213"/>
      <c r="H741" s="219"/>
      <c r="I741" s="219"/>
      <c r="J741" s="219"/>
      <c r="K741" s="219"/>
      <c r="L741" s="219"/>
      <c r="M741" s="219"/>
      <c r="N741" s="219"/>
      <c r="O741" s="219"/>
      <c r="P741" s="219"/>
      <c r="Q741" s="219"/>
      <c r="R741" s="219"/>
      <c r="S741" s="219"/>
      <c r="T741" s="219"/>
      <c r="U741" s="219"/>
      <c r="V741" s="219"/>
      <c r="W741" s="219"/>
      <c r="X741" s="219"/>
      <c r="Y741" s="219"/>
      <c r="Z741" s="219"/>
    </row>
    <row r="742">
      <c r="A742" s="244"/>
      <c r="B742" s="219"/>
      <c r="C742" s="219"/>
      <c r="D742" s="219"/>
      <c r="E742" s="213"/>
      <c r="F742" s="213"/>
      <c r="G742" s="213"/>
      <c r="H742" s="219"/>
      <c r="I742" s="219"/>
      <c r="J742" s="219"/>
      <c r="K742" s="219"/>
      <c r="L742" s="219"/>
      <c r="M742" s="219"/>
      <c r="N742" s="219"/>
      <c r="O742" s="219"/>
      <c r="P742" s="219"/>
      <c r="Q742" s="219"/>
      <c r="R742" s="219"/>
      <c r="S742" s="219"/>
      <c r="T742" s="219"/>
      <c r="U742" s="219"/>
      <c r="V742" s="219"/>
      <c r="W742" s="219"/>
      <c r="X742" s="219"/>
      <c r="Y742" s="219"/>
      <c r="Z742" s="219"/>
    </row>
    <row r="743">
      <c r="A743" s="244"/>
      <c r="B743" s="219"/>
      <c r="C743" s="219"/>
      <c r="D743" s="219"/>
      <c r="E743" s="213"/>
      <c r="F743" s="213"/>
      <c r="G743" s="213"/>
      <c r="H743" s="219"/>
      <c r="I743" s="219"/>
      <c r="J743" s="219"/>
      <c r="K743" s="219"/>
      <c r="L743" s="219"/>
      <c r="M743" s="219"/>
      <c r="N743" s="219"/>
      <c r="O743" s="219"/>
      <c r="P743" s="219"/>
      <c r="Q743" s="219"/>
      <c r="R743" s="219"/>
      <c r="S743" s="219"/>
      <c r="T743" s="219"/>
      <c r="U743" s="219"/>
      <c r="V743" s="219"/>
      <c r="W743" s="219"/>
      <c r="X743" s="219"/>
      <c r="Y743" s="219"/>
      <c r="Z743" s="219"/>
    </row>
    <row r="744">
      <c r="A744" s="244"/>
      <c r="B744" s="219"/>
      <c r="C744" s="219"/>
      <c r="D744" s="219"/>
      <c r="E744" s="213"/>
      <c r="F744" s="213"/>
      <c r="G744" s="213"/>
      <c r="H744" s="219"/>
      <c r="I744" s="219"/>
      <c r="J744" s="219"/>
      <c r="K744" s="219"/>
      <c r="L744" s="219"/>
      <c r="M744" s="219"/>
      <c r="N744" s="219"/>
      <c r="O744" s="219"/>
      <c r="P744" s="219"/>
      <c r="Q744" s="219"/>
      <c r="R744" s="219"/>
      <c r="S744" s="219"/>
      <c r="T744" s="219"/>
      <c r="U744" s="219"/>
      <c r="V744" s="219"/>
      <c r="W744" s="219"/>
      <c r="X744" s="219"/>
      <c r="Y744" s="219"/>
      <c r="Z744" s="219"/>
    </row>
    <row r="745">
      <c r="A745" s="244"/>
      <c r="B745" s="219"/>
      <c r="C745" s="219"/>
      <c r="D745" s="219"/>
      <c r="E745" s="213"/>
      <c r="F745" s="213"/>
      <c r="G745" s="213"/>
      <c r="H745" s="219"/>
      <c r="I745" s="219"/>
      <c r="J745" s="219"/>
      <c r="K745" s="219"/>
      <c r="L745" s="219"/>
      <c r="M745" s="219"/>
      <c r="N745" s="219"/>
      <c r="O745" s="219"/>
      <c r="P745" s="219"/>
      <c r="Q745" s="219"/>
      <c r="R745" s="219"/>
      <c r="S745" s="219"/>
      <c r="T745" s="219"/>
      <c r="U745" s="219"/>
      <c r="V745" s="219"/>
      <c r="W745" s="219"/>
      <c r="X745" s="219"/>
      <c r="Y745" s="219"/>
      <c r="Z745" s="219"/>
    </row>
    <row r="746">
      <c r="A746" s="244"/>
      <c r="B746" s="219"/>
      <c r="C746" s="219"/>
      <c r="D746" s="219"/>
      <c r="E746" s="213"/>
      <c r="F746" s="213"/>
      <c r="G746" s="213"/>
      <c r="H746" s="219"/>
      <c r="I746" s="219"/>
      <c r="J746" s="219"/>
      <c r="K746" s="219"/>
      <c r="L746" s="219"/>
      <c r="M746" s="219"/>
      <c r="N746" s="219"/>
      <c r="O746" s="219"/>
      <c r="P746" s="219"/>
      <c r="Q746" s="219"/>
      <c r="R746" s="219"/>
      <c r="S746" s="219"/>
      <c r="T746" s="219"/>
      <c r="U746" s="219"/>
      <c r="V746" s="219"/>
      <c r="W746" s="219"/>
      <c r="X746" s="219"/>
      <c r="Y746" s="219"/>
      <c r="Z746" s="219"/>
    </row>
    <row r="747">
      <c r="A747" s="244"/>
      <c r="B747" s="219"/>
      <c r="C747" s="219"/>
      <c r="D747" s="219"/>
      <c r="E747" s="213"/>
      <c r="F747" s="213"/>
      <c r="G747" s="213"/>
      <c r="H747" s="219"/>
      <c r="I747" s="219"/>
      <c r="J747" s="219"/>
      <c r="K747" s="219"/>
      <c r="L747" s="219"/>
      <c r="M747" s="219"/>
      <c r="N747" s="219"/>
      <c r="O747" s="219"/>
      <c r="P747" s="219"/>
      <c r="Q747" s="219"/>
      <c r="R747" s="219"/>
      <c r="S747" s="219"/>
      <c r="T747" s="219"/>
      <c r="U747" s="219"/>
      <c r="V747" s="219"/>
      <c r="W747" s="219"/>
      <c r="X747" s="219"/>
      <c r="Y747" s="219"/>
      <c r="Z747" s="219"/>
    </row>
    <row r="748">
      <c r="A748" s="244"/>
      <c r="B748" s="219"/>
      <c r="C748" s="219"/>
      <c r="D748" s="219"/>
      <c r="E748" s="213"/>
      <c r="F748" s="213"/>
      <c r="G748" s="213"/>
      <c r="H748" s="219"/>
      <c r="I748" s="219"/>
      <c r="J748" s="219"/>
      <c r="K748" s="219"/>
      <c r="L748" s="219"/>
      <c r="M748" s="219"/>
      <c r="N748" s="219"/>
      <c r="O748" s="219"/>
      <c r="P748" s="219"/>
      <c r="Q748" s="219"/>
      <c r="R748" s="219"/>
      <c r="S748" s="219"/>
      <c r="T748" s="219"/>
      <c r="U748" s="219"/>
      <c r="V748" s="219"/>
      <c r="W748" s="219"/>
      <c r="X748" s="219"/>
      <c r="Y748" s="219"/>
      <c r="Z748" s="219"/>
    </row>
    <row r="749">
      <c r="A749" s="244"/>
      <c r="B749" s="219"/>
      <c r="C749" s="219"/>
      <c r="D749" s="219"/>
      <c r="E749" s="213"/>
      <c r="F749" s="213"/>
      <c r="G749" s="213"/>
      <c r="H749" s="219"/>
      <c r="I749" s="219"/>
      <c r="J749" s="219"/>
      <c r="K749" s="219"/>
      <c r="L749" s="219"/>
      <c r="M749" s="219"/>
      <c r="N749" s="219"/>
      <c r="O749" s="219"/>
      <c r="P749" s="219"/>
      <c r="Q749" s="219"/>
      <c r="R749" s="219"/>
      <c r="S749" s="219"/>
      <c r="T749" s="219"/>
      <c r="U749" s="219"/>
      <c r="V749" s="219"/>
      <c r="W749" s="219"/>
      <c r="X749" s="219"/>
      <c r="Y749" s="219"/>
      <c r="Z749" s="219"/>
    </row>
    <row r="750">
      <c r="A750" s="244"/>
      <c r="B750" s="219"/>
      <c r="C750" s="219"/>
      <c r="D750" s="219"/>
      <c r="E750" s="213"/>
      <c r="F750" s="213"/>
      <c r="G750" s="213"/>
      <c r="H750" s="219"/>
      <c r="I750" s="219"/>
      <c r="J750" s="219"/>
      <c r="K750" s="219"/>
      <c r="L750" s="219"/>
      <c r="M750" s="219"/>
      <c r="N750" s="219"/>
      <c r="O750" s="219"/>
      <c r="P750" s="219"/>
      <c r="Q750" s="219"/>
      <c r="R750" s="219"/>
      <c r="S750" s="219"/>
      <c r="T750" s="219"/>
      <c r="U750" s="219"/>
      <c r="V750" s="219"/>
      <c r="W750" s="219"/>
      <c r="X750" s="219"/>
      <c r="Y750" s="219"/>
      <c r="Z750" s="219"/>
    </row>
    <row r="751">
      <c r="A751" s="244"/>
      <c r="B751" s="219"/>
      <c r="C751" s="219"/>
      <c r="D751" s="219"/>
      <c r="E751" s="213"/>
      <c r="F751" s="213"/>
      <c r="G751" s="213"/>
      <c r="H751" s="219"/>
      <c r="I751" s="219"/>
      <c r="J751" s="219"/>
      <c r="K751" s="219"/>
      <c r="L751" s="219"/>
      <c r="M751" s="219"/>
      <c r="N751" s="219"/>
      <c r="O751" s="219"/>
      <c r="P751" s="219"/>
      <c r="Q751" s="219"/>
      <c r="R751" s="219"/>
      <c r="S751" s="219"/>
      <c r="T751" s="219"/>
      <c r="U751" s="219"/>
      <c r="V751" s="219"/>
      <c r="W751" s="219"/>
      <c r="X751" s="219"/>
      <c r="Y751" s="219"/>
      <c r="Z751" s="219"/>
    </row>
    <row r="752">
      <c r="A752" s="244"/>
      <c r="B752" s="219"/>
      <c r="C752" s="219"/>
      <c r="D752" s="219"/>
      <c r="E752" s="213"/>
      <c r="F752" s="213"/>
      <c r="G752" s="213"/>
      <c r="H752" s="219"/>
      <c r="I752" s="219"/>
      <c r="J752" s="219"/>
      <c r="K752" s="219"/>
      <c r="L752" s="219"/>
      <c r="M752" s="219"/>
      <c r="N752" s="219"/>
      <c r="O752" s="219"/>
      <c r="P752" s="219"/>
      <c r="Q752" s="219"/>
      <c r="R752" s="219"/>
      <c r="S752" s="219"/>
      <c r="T752" s="219"/>
      <c r="U752" s="219"/>
      <c r="V752" s="219"/>
      <c r="W752" s="219"/>
      <c r="X752" s="219"/>
      <c r="Y752" s="219"/>
      <c r="Z752" s="219"/>
    </row>
    <row r="753">
      <c r="A753" s="244"/>
      <c r="B753" s="219"/>
      <c r="C753" s="219"/>
      <c r="D753" s="219"/>
      <c r="E753" s="213"/>
      <c r="F753" s="213"/>
      <c r="G753" s="213"/>
      <c r="H753" s="219"/>
      <c r="I753" s="219"/>
      <c r="J753" s="219"/>
      <c r="K753" s="219"/>
      <c r="L753" s="219"/>
      <c r="M753" s="219"/>
      <c r="N753" s="219"/>
      <c r="O753" s="219"/>
      <c r="P753" s="219"/>
      <c r="Q753" s="219"/>
      <c r="R753" s="219"/>
      <c r="S753" s="219"/>
      <c r="T753" s="219"/>
      <c r="U753" s="219"/>
      <c r="V753" s="219"/>
      <c r="W753" s="219"/>
      <c r="X753" s="219"/>
      <c r="Y753" s="219"/>
      <c r="Z753" s="219"/>
    </row>
    <row r="754">
      <c r="A754" s="244"/>
      <c r="B754" s="219"/>
      <c r="C754" s="219"/>
      <c r="D754" s="219"/>
      <c r="E754" s="213"/>
      <c r="F754" s="213"/>
      <c r="G754" s="213"/>
      <c r="H754" s="219"/>
      <c r="I754" s="219"/>
      <c r="J754" s="219"/>
      <c r="K754" s="219"/>
      <c r="L754" s="219"/>
      <c r="M754" s="219"/>
      <c r="N754" s="219"/>
      <c r="O754" s="219"/>
      <c r="P754" s="219"/>
      <c r="Q754" s="219"/>
      <c r="R754" s="219"/>
      <c r="S754" s="219"/>
      <c r="T754" s="219"/>
      <c r="U754" s="219"/>
      <c r="V754" s="219"/>
      <c r="W754" s="219"/>
      <c r="X754" s="219"/>
      <c r="Y754" s="219"/>
      <c r="Z754" s="219"/>
    </row>
    <row r="755">
      <c r="A755" s="244"/>
      <c r="B755" s="219"/>
      <c r="C755" s="219"/>
      <c r="D755" s="219"/>
      <c r="E755" s="213"/>
      <c r="F755" s="213"/>
      <c r="G755" s="213"/>
      <c r="H755" s="219"/>
      <c r="I755" s="219"/>
      <c r="J755" s="219"/>
      <c r="K755" s="219"/>
      <c r="L755" s="219"/>
      <c r="M755" s="219"/>
      <c r="N755" s="219"/>
      <c r="O755" s="219"/>
      <c r="P755" s="219"/>
      <c r="Q755" s="219"/>
      <c r="R755" s="219"/>
      <c r="S755" s="219"/>
      <c r="T755" s="219"/>
      <c r="U755" s="219"/>
      <c r="V755" s="219"/>
      <c r="W755" s="219"/>
      <c r="X755" s="219"/>
      <c r="Y755" s="219"/>
      <c r="Z755" s="219"/>
    </row>
    <row r="756">
      <c r="A756" s="244"/>
      <c r="B756" s="219"/>
      <c r="C756" s="219"/>
      <c r="D756" s="219"/>
      <c r="E756" s="213"/>
      <c r="F756" s="213"/>
      <c r="G756" s="213"/>
      <c r="H756" s="219"/>
      <c r="I756" s="219"/>
      <c r="J756" s="219"/>
      <c r="K756" s="219"/>
      <c r="L756" s="219"/>
      <c r="M756" s="219"/>
      <c r="N756" s="219"/>
      <c r="O756" s="219"/>
      <c r="P756" s="219"/>
      <c r="Q756" s="219"/>
      <c r="R756" s="219"/>
      <c r="S756" s="219"/>
      <c r="T756" s="219"/>
      <c r="U756" s="219"/>
      <c r="V756" s="219"/>
      <c r="W756" s="219"/>
      <c r="X756" s="219"/>
      <c r="Y756" s="219"/>
      <c r="Z756" s="219"/>
    </row>
    <row r="757">
      <c r="A757" s="244"/>
      <c r="B757" s="219"/>
      <c r="C757" s="219"/>
      <c r="D757" s="219"/>
      <c r="E757" s="213"/>
      <c r="F757" s="213"/>
      <c r="G757" s="213"/>
      <c r="H757" s="219"/>
      <c r="I757" s="219"/>
      <c r="J757" s="219"/>
      <c r="K757" s="219"/>
      <c r="L757" s="219"/>
      <c r="M757" s="219"/>
      <c r="N757" s="219"/>
      <c r="O757" s="219"/>
      <c r="P757" s="219"/>
      <c r="Q757" s="219"/>
      <c r="R757" s="219"/>
      <c r="S757" s="219"/>
      <c r="T757" s="219"/>
      <c r="U757" s="219"/>
      <c r="V757" s="219"/>
      <c r="W757" s="219"/>
      <c r="X757" s="219"/>
      <c r="Y757" s="219"/>
      <c r="Z757" s="219"/>
    </row>
    <row r="758">
      <c r="A758" s="244"/>
      <c r="B758" s="219"/>
      <c r="C758" s="219"/>
      <c r="D758" s="219"/>
      <c r="E758" s="213"/>
      <c r="F758" s="213"/>
      <c r="G758" s="213"/>
      <c r="H758" s="219"/>
      <c r="I758" s="219"/>
      <c r="J758" s="219"/>
      <c r="K758" s="219"/>
      <c r="L758" s="219"/>
      <c r="M758" s="219"/>
      <c r="N758" s="219"/>
      <c r="O758" s="219"/>
      <c r="P758" s="219"/>
      <c r="Q758" s="219"/>
      <c r="R758" s="219"/>
      <c r="S758" s="219"/>
      <c r="T758" s="219"/>
      <c r="U758" s="219"/>
      <c r="V758" s="219"/>
      <c r="W758" s="219"/>
      <c r="X758" s="219"/>
      <c r="Y758" s="219"/>
      <c r="Z758" s="219"/>
    </row>
    <row r="759">
      <c r="A759" s="244"/>
      <c r="B759" s="219"/>
      <c r="C759" s="219"/>
      <c r="D759" s="219"/>
      <c r="E759" s="213"/>
      <c r="F759" s="213"/>
      <c r="G759" s="213"/>
      <c r="H759" s="219"/>
      <c r="I759" s="219"/>
      <c r="J759" s="219"/>
      <c r="K759" s="219"/>
      <c r="L759" s="219"/>
      <c r="M759" s="219"/>
      <c r="N759" s="219"/>
      <c r="O759" s="219"/>
      <c r="P759" s="219"/>
      <c r="Q759" s="219"/>
      <c r="R759" s="219"/>
      <c r="S759" s="219"/>
      <c r="T759" s="219"/>
      <c r="U759" s="219"/>
      <c r="V759" s="219"/>
      <c r="W759" s="219"/>
      <c r="X759" s="219"/>
      <c r="Y759" s="219"/>
      <c r="Z759" s="219"/>
    </row>
    <row r="760">
      <c r="A760" s="244"/>
      <c r="B760" s="219"/>
      <c r="C760" s="219"/>
      <c r="D760" s="219"/>
      <c r="E760" s="213"/>
      <c r="F760" s="213"/>
      <c r="G760" s="213"/>
      <c r="H760" s="219"/>
      <c r="I760" s="219"/>
      <c r="J760" s="219"/>
      <c r="K760" s="219"/>
      <c r="L760" s="219"/>
      <c r="M760" s="219"/>
      <c r="N760" s="219"/>
      <c r="O760" s="219"/>
      <c r="P760" s="219"/>
      <c r="Q760" s="219"/>
      <c r="R760" s="219"/>
      <c r="S760" s="219"/>
      <c r="T760" s="219"/>
      <c r="U760" s="219"/>
      <c r="V760" s="219"/>
      <c r="W760" s="219"/>
      <c r="X760" s="219"/>
      <c r="Y760" s="219"/>
      <c r="Z760" s="219"/>
    </row>
    <row r="761">
      <c r="A761" s="244"/>
      <c r="B761" s="219"/>
      <c r="C761" s="219"/>
      <c r="D761" s="219"/>
      <c r="E761" s="213"/>
      <c r="F761" s="213"/>
      <c r="G761" s="213"/>
      <c r="H761" s="219"/>
      <c r="I761" s="219"/>
      <c r="J761" s="219"/>
      <c r="K761" s="219"/>
      <c r="L761" s="219"/>
      <c r="M761" s="219"/>
      <c r="N761" s="219"/>
      <c r="O761" s="219"/>
      <c r="P761" s="219"/>
      <c r="Q761" s="219"/>
      <c r="R761" s="219"/>
      <c r="S761" s="219"/>
      <c r="T761" s="219"/>
      <c r="U761" s="219"/>
      <c r="V761" s="219"/>
      <c r="W761" s="219"/>
      <c r="X761" s="219"/>
      <c r="Y761" s="219"/>
      <c r="Z761" s="219"/>
    </row>
    <row r="762">
      <c r="A762" s="244"/>
      <c r="B762" s="219"/>
      <c r="C762" s="219"/>
      <c r="D762" s="219"/>
      <c r="E762" s="213"/>
      <c r="F762" s="213"/>
      <c r="G762" s="213"/>
      <c r="H762" s="219"/>
      <c r="I762" s="219"/>
      <c r="J762" s="219"/>
      <c r="K762" s="219"/>
      <c r="L762" s="219"/>
      <c r="M762" s="219"/>
      <c r="N762" s="219"/>
      <c r="O762" s="219"/>
      <c r="P762" s="219"/>
      <c r="Q762" s="219"/>
      <c r="R762" s="219"/>
      <c r="S762" s="219"/>
      <c r="T762" s="219"/>
      <c r="U762" s="219"/>
      <c r="V762" s="219"/>
      <c r="W762" s="219"/>
      <c r="X762" s="219"/>
      <c r="Y762" s="219"/>
      <c r="Z762" s="219"/>
    </row>
    <row r="763">
      <c r="A763" s="244"/>
      <c r="B763" s="219"/>
      <c r="C763" s="219"/>
      <c r="D763" s="219"/>
      <c r="E763" s="213"/>
      <c r="F763" s="213"/>
      <c r="G763" s="213"/>
      <c r="H763" s="219"/>
      <c r="I763" s="219"/>
      <c r="J763" s="219"/>
      <c r="K763" s="219"/>
      <c r="L763" s="219"/>
      <c r="M763" s="219"/>
      <c r="N763" s="219"/>
      <c r="O763" s="219"/>
      <c r="P763" s="219"/>
      <c r="Q763" s="219"/>
      <c r="R763" s="219"/>
      <c r="S763" s="219"/>
      <c r="T763" s="219"/>
      <c r="U763" s="219"/>
      <c r="V763" s="219"/>
      <c r="W763" s="219"/>
      <c r="X763" s="219"/>
      <c r="Y763" s="219"/>
      <c r="Z763" s="219"/>
    </row>
    <row r="764">
      <c r="A764" s="244"/>
      <c r="B764" s="219"/>
      <c r="C764" s="219"/>
      <c r="D764" s="219"/>
      <c r="E764" s="213"/>
      <c r="F764" s="213"/>
      <c r="G764" s="213"/>
      <c r="H764" s="219"/>
      <c r="I764" s="219"/>
      <c r="J764" s="219"/>
      <c r="K764" s="219"/>
      <c r="L764" s="219"/>
      <c r="M764" s="219"/>
      <c r="N764" s="219"/>
      <c r="O764" s="219"/>
      <c r="P764" s="219"/>
      <c r="Q764" s="219"/>
      <c r="R764" s="219"/>
      <c r="S764" s="219"/>
      <c r="T764" s="219"/>
      <c r="U764" s="219"/>
      <c r="V764" s="219"/>
      <c r="W764" s="219"/>
      <c r="X764" s="219"/>
      <c r="Y764" s="219"/>
      <c r="Z764" s="219"/>
    </row>
    <row r="765">
      <c r="A765" s="244"/>
      <c r="B765" s="219"/>
      <c r="C765" s="219"/>
      <c r="D765" s="219"/>
      <c r="E765" s="213"/>
      <c r="F765" s="213"/>
      <c r="G765" s="213"/>
      <c r="H765" s="219"/>
      <c r="I765" s="219"/>
      <c r="J765" s="219"/>
      <c r="K765" s="219"/>
      <c r="L765" s="219"/>
      <c r="M765" s="219"/>
      <c r="N765" s="219"/>
      <c r="O765" s="219"/>
      <c r="P765" s="219"/>
      <c r="Q765" s="219"/>
      <c r="R765" s="219"/>
      <c r="S765" s="219"/>
      <c r="T765" s="219"/>
      <c r="U765" s="219"/>
      <c r="V765" s="219"/>
      <c r="W765" s="219"/>
      <c r="X765" s="219"/>
      <c r="Y765" s="219"/>
      <c r="Z765" s="219"/>
    </row>
    <row r="766">
      <c r="A766" s="244"/>
      <c r="B766" s="219"/>
      <c r="C766" s="219"/>
      <c r="D766" s="219"/>
      <c r="E766" s="213"/>
      <c r="F766" s="213"/>
      <c r="G766" s="213"/>
      <c r="H766" s="219"/>
      <c r="I766" s="219"/>
      <c r="J766" s="219"/>
      <c r="K766" s="219"/>
      <c r="L766" s="219"/>
      <c r="M766" s="219"/>
      <c r="N766" s="219"/>
      <c r="O766" s="219"/>
      <c r="P766" s="219"/>
      <c r="Q766" s="219"/>
      <c r="R766" s="219"/>
      <c r="S766" s="219"/>
      <c r="T766" s="219"/>
      <c r="U766" s="219"/>
      <c r="V766" s="219"/>
      <c r="W766" s="219"/>
      <c r="X766" s="219"/>
      <c r="Y766" s="219"/>
      <c r="Z766" s="219"/>
    </row>
    <row r="767">
      <c r="A767" s="244"/>
      <c r="B767" s="219"/>
      <c r="C767" s="219"/>
      <c r="D767" s="219"/>
      <c r="E767" s="213"/>
      <c r="F767" s="213"/>
      <c r="G767" s="213"/>
      <c r="H767" s="219"/>
      <c r="I767" s="219"/>
      <c r="J767" s="219"/>
      <c r="K767" s="219"/>
      <c r="L767" s="219"/>
      <c r="M767" s="219"/>
      <c r="N767" s="219"/>
      <c r="O767" s="219"/>
      <c r="P767" s="219"/>
      <c r="Q767" s="219"/>
      <c r="R767" s="219"/>
      <c r="S767" s="219"/>
      <c r="T767" s="219"/>
      <c r="U767" s="219"/>
      <c r="V767" s="219"/>
      <c r="W767" s="219"/>
      <c r="X767" s="219"/>
      <c r="Y767" s="219"/>
      <c r="Z767" s="219"/>
    </row>
    <row r="768">
      <c r="A768" s="244"/>
      <c r="B768" s="219"/>
      <c r="C768" s="219"/>
      <c r="D768" s="219"/>
      <c r="E768" s="213"/>
      <c r="F768" s="213"/>
      <c r="G768" s="213"/>
      <c r="H768" s="219"/>
      <c r="I768" s="219"/>
      <c r="J768" s="219"/>
      <c r="K768" s="219"/>
      <c r="L768" s="219"/>
      <c r="M768" s="219"/>
      <c r="N768" s="219"/>
      <c r="O768" s="219"/>
      <c r="P768" s="219"/>
      <c r="Q768" s="219"/>
      <c r="R768" s="219"/>
      <c r="S768" s="219"/>
      <c r="T768" s="219"/>
      <c r="U768" s="219"/>
      <c r="V768" s="219"/>
      <c r="W768" s="219"/>
      <c r="X768" s="219"/>
      <c r="Y768" s="219"/>
      <c r="Z768" s="219"/>
    </row>
    <row r="769">
      <c r="A769" s="244"/>
      <c r="B769" s="219"/>
      <c r="C769" s="219"/>
      <c r="D769" s="219"/>
      <c r="E769" s="213"/>
      <c r="F769" s="213"/>
      <c r="G769" s="213"/>
      <c r="H769" s="219"/>
      <c r="I769" s="219"/>
      <c r="J769" s="219"/>
      <c r="K769" s="219"/>
      <c r="L769" s="219"/>
      <c r="M769" s="219"/>
      <c r="N769" s="219"/>
      <c r="O769" s="219"/>
      <c r="P769" s="219"/>
      <c r="Q769" s="219"/>
      <c r="R769" s="219"/>
      <c r="S769" s="219"/>
      <c r="T769" s="219"/>
      <c r="U769" s="219"/>
      <c r="V769" s="219"/>
      <c r="W769" s="219"/>
      <c r="X769" s="219"/>
      <c r="Y769" s="219"/>
      <c r="Z769" s="219"/>
    </row>
    <row r="770">
      <c r="A770" s="244"/>
      <c r="B770" s="219"/>
      <c r="C770" s="219"/>
      <c r="D770" s="219"/>
      <c r="E770" s="213"/>
      <c r="F770" s="213"/>
      <c r="G770" s="213"/>
      <c r="H770" s="219"/>
      <c r="I770" s="219"/>
      <c r="J770" s="219"/>
      <c r="K770" s="219"/>
      <c r="L770" s="219"/>
      <c r="M770" s="219"/>
      <c r="N770" s="219"/>
      <c r="O770" s="219"/>
      <c r="P770" s="219"/>
      <c r="Q770" s="219"/>
      <c r="R770" s="219"/>
      <c r="S770" s="219"/>
      <c r="T770" s="219"/>
      <c r="U770" s="219"/>
      <c r="V770" s="219"/>
      <c r="W770" s="219"/>
      <c r="X770" s="219"/>
      <c r="Y770" s="219"/>
      <c r="Z770" s="219"/>
    </row>
    <row r="771">
      <c r="A771" s="244"/>
      <c r="B771" s="219"/>
      <c r="C771" s="219"/>
      <c r="D771" s="219"/>
      <c r="E771" s="213"/>
      <c r="F771" s="213"/>
      <c r="G771" s="213"/>
      <c r="H771" s="219"/>
      <c r="I771" s="219"/>
      <c r="J771" s="219"/>
      <c r="K771" s="219"/>
      <c r="L771" s="219"/>
      <c r="M771" s="219"/>
      <c r="N771" s="219"/>
      <c r="O771" s="219"/>
      <c r="P771" s="219"/>
      <c r="Q771" s="219"/>
      <c r="R771" s="219"/>
      <c r="S771" s="219"/>
      <c r="T771" s="219"/>
      <c r="U771" s="219"/>
      <c r="V771" s="219"/>
      <c r="W771" s="219"/>
      <c r="X771" s="219"/>
      <c r="Y771" s="219"/>
      <c r="Z771" s="219"/>
    </row>
    <row r="772">
      <c r="A772" s="244"/>
      <c r="B772" s="219"/>
      <c r="C772" s="219"/>
      <c r="D772" s="219"/>
      <c r="E772" s="213"/>
      <c r="F772" s="213"/>
      <c r="G772" s="213"/>
      <c r="H772" s="219"/>
      <c r="I772" s="219"/>
      <c r="J772" s="219"/>
      <c r="K772" s="219"/>
      <c r="L772" s="219"/>
      <c r="M772" s="219"/>
      <c r="N772" s="219"/>
      <c r="O772" s="219"/>
      <c r="P772" s="219"/>
      <c r="Q772" s="219"/>
      <c r="R772" s="219"/>
      <c r="S772" s="219"/>
      <c r="T772" s="219"/>
      <c r="U772" s="219"/>
      <c r="V772" s="219"/>
      <c r="W772" s="219"/>
      <c r="X772" s="219"/>
      <c r="Y772" s="219"/>
      <c r="Z772" s="219"/>
    </row>
    <row r="773">
      <c r="A773" s="244"/>
      <c r="B773" s="219"/>
      <c r="C773" s="219"/>
      <c r="D773" s="219"/>
      <c r="E773" s="213"/>
      <c r="F773" s="213"/>
      <c r="G773" s="213"/>
      <c r="H773" s="219"/>
      <c r="I773" s="219"/>
      <c r="J773" s="219"/>
      <c r="K773" s="219"/>
      <c r="L773" s="219"/>
      <c r="M773" s="219"/>
      <c r="N773" s="219"/>
      <c r="O773" s="219"/>
      <c r="P773" s="219"/>
      <c r="Q773" s="219"/>
      <c r="R773" s="219"/>
      <c r="S773" s="219"/>
      <c r="T773" s="219"/>
      <c r="U773" s="219"/>
      <c r="V773" s="219"/>
      <c r="W773" s="219"/>
      <c r="X773" s="219"/>
      <c r="Y773" s="219"/>
      <c r="Z773" s="219"/>
    </row>
    <row r="774">
      <c r="A774" s="244"/>
      <c r="B774" s="219"/>
      <c r="C774" s="219"/>
      <c r="D774" s="219"/>
      <c r="E774" s="213"/>
      <c r="F774" s="213"/>
      <c r="G774" s="213"/>
      <c r="H774" s="219"/>
      <c r="I774" s="219"/>
      <c r="J774" s="219"/>
      <c r="K774" s="219"/>
      <c r="L774" s="219"/>
      <c r="M774" s="219"/>
      <c r="N774" s="219"/>
      <c r="O774" s="219"/>
      <c r="P774" s="219"/>
      <c r="Q774" s="219"/>
      <c r="R774" s="219"/>
      <c r="S774" s="219"/>
      <c r="T774" s="219"/>
      <c r="U774" s="219"/>
      <c r="V774" s="219"/>
      <c r="W774" s="219"/>
      <c r="X774" s="219"/>
      <c r="Y774" s="219"/>
      <c r="Z774" s="219"/>
    </row>
    <row r="775">
      <c r="A775" s="244"/>
      <c r="B775" s="219"/>
      <c r="C775" s="219"/>
      <c r="D775" s="219"/>
      <c r="E775" s="213"/>
      <c r="F775" s="213"/>
      <c r="G775" s="213"/>
      <c r="H775" s="219"/>
      <c r="I775" s="219"/>
      <c r="J775" s="219"/>
      <c r="K775" s="219"/>
      <c r="L775" s="219"/>
      <c r="M775" s="219"/>
      <c r="N775" s="219"/>
      <c r="O775" s="219"/>
      <c r="P775" s="219"/>
      <c r="Q775" s="219"/>
      <c r="R775" s="219"/>
      <c r="S775" s="219"/>
      <c r="T775" s="219"/>
      <c r="U775" s="219"/>
      <c r="V775" s="219"/>
      <c r="W775" s="219"/>
      <c r="X775" s="219"/>
      <c r="Y775" s="219"/>
      <c r="Z775" s="219"/>
    </row>
    <row r="776">
      <c r="A776" s="244"/>
      <c r="B776" s="219"/>
      <c r="C776" s="219"/>
      <c r="D776" s="219"/>
      <c r="E776" s="213"/>
      <c r="F776" s="213"/>
      <c r="G776" s="213"/>
      <c r="H776" s="219"/>
      <c r="I776" s="219"/>
      <c r="J776" s="219"/>
      <c r="K776" s="219"/>
      <c r="L776" s="219"/>
      <c r="M776" s="219"/>
      <c r="N776" s="219"/>
      <c r="O776" s="219"/>
      <c r="P776" s="219"/>
      <c r="Q776" s="219"/>
      <c r="R776" s="219"/>
      <c r="S776" s="219"/>
      <c r="T776" s="219"/>
      <c r="U776" s="219"/>
      <c r="V776" s="219"/>
      <c r="W776" s="219"/>
      <c r="X776" s="219"/>
      <c r="Y776" s="219"/>
      <c r="Z776" s="219"/>
    </row>
    <row r="777">
      <c r="A777" s="244"/>
      <c r="B777" s="219"/>
      <c r="C777" s="219"/>
      <c r="D777" s="219"/>
      <c r="E777" s="213"/>
      <c r="F777" s="213"/>
      <c r="G777" s="213"/>
      <c r="H777" s="219"/>
      <c r="I777" s="219"/>
      <c r="J777" s="219"/>
      <c r="K777" s="219"/>
      <c r="L777" s="219"/>
      <c r="M777" s="219"/>
      <c r="N777" s="219"/>
      <c r="O777" s="219"/>
      <c r="P777" s="219"/>
      <c r="Q777" s="219"/>
      <c r="R777" s="219"/>
      <c r="S777" s="219"/>
      <c r="T777" s="219"/>
      <c r="U777" s="219"/>
      <c r="V777" s="219"/>
      <c r="W777" s="219"/>
      <c r="X777" s="219"/>
      <c r="Y777" s="219"/>
      <c r="Z777" s="219"/>
    </row>
    <row r="778">
      <c r="A778" s="244"/>
      <c r="B778" s="219"/>
      <c r="C778" s="219"/>
      <c r="D778" s="219"/>
      <c r="E778" s="213"/>
      <c r="F778" s="213"/>
      <c r="G778" s="213"/>
      <c r="H778" s="219"/>
      <c r="I778" s="219"/>
      <c r="J778" s="219"/>
      <c r="K778" s="219"/>
      <c r="L778" s="219"/>
      <c r="M778" s="219"/>
      <c r="N778" s="219"/>
      <c r="O778" s="219"/>
      <c r="P778" s="219"/>
      <c r="Q778" s="219"/>
      <c r="R778" s="219"/>
      <c r="S778" s="219"/>
      <c r="T778" s="219"/>
      <c r="U778" s="219"/>
      <c r="V778" s="219"/>
      <c r="W778" s="219"/>
      <c r="X778" s="219"/>
      <c r="Y778" s="219"/>
      <c r="Z778" s="219"/>
    </row>
    <row r="779">
      <c r="A779" s="244"/>
      <c r="B779" s="219"/>
      <c r="C779" s="219"/>
      <c r="D779" s="219"/>
      <c r="E779" s="213"/>
      <c r="F779" s="213"/>
      <c r="G779" s="213"/>
      <c r="H779" s="219"/>
      <c r="I779" s="219"/>
      <c r="J779" s="219"/>
      <c r="K779" s="219"/>
      <c r="L779" s="219"/>
      <c r="M779" s="219"/>
      <c r="N779" s="219"/>
      <c r="O779" s="219"/>
      <c r="P779" s="219"/>
      <c r="Q779" s="219"/>
      <c r="R779" s="219"/>
      <c r="S779" s="219"/>
      <c r="T779" s="219"/>
      <c r="U779" s="219"/>
      <c r="V779" s="219"/>
      <c r="W779" s="219"/>
      <c r="X779" s="219"/>
      <c r="Y779" s="219"/>
      <c r="Z779" s="219"/>
    </row>
    <row r="780">
      <c r="A780" s="244"/>
      <c r="B780" s="219"/>
      <c r="C780" s="219"/>
      <c r="D780" s="219"/>
      <c r="E780" s="213"/>
      <c r="F780" s="213"/>
      <c r="G780" s="213"/>
      <c r="H780" s="219"/>
      <c r="I780" s="219"/>
      <c r="J780" s="219"/>
      <c r="K780" s="219"/>
      <c r="L780" s="219"/>
      <c r="M780" s="219"/>
      <c r="N780" s="219"/>
      <c r="O780" s="219"/>
      <c r="P780" s="219"/>
      <c r="Q780" s="219"/>
      <c r="R780" s="219"/>
      <c r="S780" s="219"/>
      <c r="T780" s="219"/>
      <c r="U780" s="219"/>
      <c r="V780" s="219"/>
      <c r="W780" s="219"/>
      <c r="X780" s="219"/>
      <c r="Y780" s="219"/>
      <c r="Z780" s="219"/>
    </row>
    <row r="781">
      <c r="A781" s="244"/>
      <c r="B781" s="219"/>
      <c r="C781" s="219"/>
      <c r="D781" s="219"/>
      <c r="E781" s="213"/>
      <c r="F781" s="213"/>
      <c r="G781" s="213"/>
      <c r="H781" s="219"/>
      <c r="I781" s="219"/>
      <c r="J781" s="219"/>
      <c r="K781" s="219"/>
      <c r="L781" s="219"/>
      <c r="M781" s="219"/>
      <c r="N781" s="219"/>
      <c r="O781" s="219"/>
      <c r="P781" s="219"/>
      <c r="Q781" s="219"/>
      <c r="R781" s="219"/>
      <c r="S781" s="219"/>
      <c r="T781" s="219"/>
      <c r="U781" s="219"/>
      <c r="V781" s="219"/>
      <c r="W781" s="219"/>
      <c r="X781" s="219"/>
      <c r="Y781" s="219"/>
      <c r="Z781" s="219"/>
    </row>
    <row r="782">
      <c r="A782" s="244"/>
      <c r="B782" s="219"/>
      <c r="C782" s="219"/>
      <c r="D782" s="219"/>
      <c r="E782" s="213"/>
      <c r="F782" s="213"/>
      <c r="G782" s="213"/>
      <c r="H782" s="219"/>
      <c r="I782" s="219"/>
      <c r="J782" s="219"/>
      <c r="K782" s="219"/>
      <c r="L782" s="219"/>
      <c r="M782" s="219"/>
      <c r="N782" s="219"/>
      <c r="O782" s="219"/>
      <c r="P782" s="219"/>
      <c r="Q782" s="219"/>
      <c r="R782" s="219"/>
      <c r="S782" s="219"/>
      <c r="T782" s="219"/>
      <c r="U782" s="219"/>
      <c r="V782" s="219"/>
      <c r="W782" s="219"/>
      <c r="X782" s="219"/>
      <c r="Y782" s="219"/>
      <c r="Z782" s="219"/>
    </row>
    <row r="783">
      <c r="A783" s="244"/>
      <c r="B783" s="219"/>
      <c r="C783" s="219"/>
      <c r="D783" s="219"/>
      <c r="E783" s="213"/>
      <c r="F783" s="213"/>
      <c r="G783" s="213"/>
      <c r="H783" s="219"/>
      <c r="I783" s="219"/>
      <c r="J783" s="219"/>
      <c r="K783" s="219"/>
      <c r="L783" s="219"/>
      <c r="M783" s="219"/>
      <c r="N783" s="219"/>
      <c r="O783" s="219"/>
      <c r="P783" s="219"/>
      <c r="Q783" s="219"/>
      <c r="R783" s="219"/>
      <c r="S783" s="219"/>
      <c r="T783" s="219"/>
      <c r="U783" s="219"/>
      <c r="V783" s="219"/>
      <c r="W783" s="219"/>
      <c r="X783" s="219"/>
      <c r="Y783" s="219"/>
      <c r="Z783" s="219"/>
    </row>
    <row r="784">
      <c r="A784" s="244"/>
      <c r="B784" s="219"/>
      <c r="C784" s="219"/>
      <c r="D784" s="219"/>
      <c r="E784" s="213"/>
      <c r="F784" s="213"/>
      <c r="G784" s="213"/>
      <c r="H784" s="219"/>
      <c r="I784" s="219"/>
      <c r="J784" s="219"/>
      <c r="K784" s="219"/>
      <c r="L784" s="219"/>
      <c r="M784" s="219"/>
      <c r="N784" s="219"/>
      <c r="O784" s="219"/>
      <c r="P784" s="219"/>
      <c r="Q784" s="219"/>
      <c r="R784" s="219"/>
      <c r="S784" s="219"/>
      <c r="T784" s="219"/>
      <c r="U784" s="219"/>
      <c r="V784" s="219"/>
      <c r="W784" s="219"/>
      <c r="X784" s="219"/>
      <c r="Y784" s="219"/>
      <c r="Z784" s="219"/>
    </row>
    <row r="785">
      <c r="A785" s="244"/>
      <c r="B785" s="219"/>
      <c r="C785" s="219"/>
      <c r="D785" s="219"/>
      <c r="E785" s="213"/>
      <c r="F785" s="213"/>
      <c r="G785" s="213"/>
      <c r="H785" s="219"/>
      <c r="I785" s="219"/>
      <c r="J785" s="219"/>
      <c r="K785" s="219"/>
      <c r="L785" s="219"/>
      <c r="M785" s="219"/>
      <c r="N785" s="219"/>
      <c r="O785" s="219"/>
      <c r="P785" s="219"/>
      <c r="Q785" s="219"/>
      <c r="R785" s="219"/>
      <c r="S785" s="219"/>
      <c r="T785" s="219"/>
      <c r="U785" s="219"/>
      <c r="V785" s="219"/>
      <c r="W785" s="219"/>
      <c r="X785" s="219"/>
      <c r="Y785" s="219"/>
      <c r="Z785" s="219"/>
    </row>
    <row r="786">
      <c r="A786" s="244"/>
      <c r="B786" s="219"/>
      <c r="C786" s="219"/>
      <c r="D786" s="219"/>
      <c r="E786" s="213"/>
      <c r="F786" s="213"/>
      <c r="G786" s="213"/>
      <c r="H786" s="219"/>
      <c r="I786" s="219"/>
      <c r="J786" s="219"/>
      <c r="K786" s="219"/>
      <c r="L786" s="219"/>
      <c r="M786" s="219"/>
      <c r="N786" s="219"/>
      <c r="O786" s="219"/>
      <c r="P786" s="219"/>
      <c r="Q786" s="219"/>
      <c r="R786" s="219"/>
      <c r="S786" s="219"/>
      <c r="T786" s="219"/>
      <c r="U786" s="219"/>
      <c r="V786" s="219"/>
      <c r="W786" s="219"/>
      <c r="X786" s="219"/>
      <c r="Y786" s="219"/>
      <c r="Z786" s="219"/>
    </row>
    <row r="787">
      <c r="A787" s="244"/>
      <c r="B787" s="219"/>
      <c r="C787" s="219"/>
      <c r="D787" s="219"/>
      <c r="E787" s="213"/>
      <c r="F787" s="213"/>
      <c r="G787" s="213"/>
      <c r="H787" s="219"/>
      <c r="I787" s="219"/>
      <c r="J787" s="219"/>
      <c r="K787" s="219"/>
      <c r="L787" s="219"/>
      <c r="M787" s="219"/>
      <c r="N787" s="219"/>
      <c r="O787" s="219"/>
      <c r="P787" s="219"/>
      <c r="Q787" s="219"/>
      <c r="R787" s="219"/>
      <c r="S787" s="219"/>
      <c r="T787" s="219"/>
      <c r="U787" s="219"/>
      <c r="V787" s="219"/>
      <c r="W787" s="219"/>
      <c r="X787" s="219"/>
      <c r="Y787" s="219"/>
      <c r="Z787" s="219"/>
    </row>
    <row r="788">
      <c r="A788" s="244"/>
      <c r="B788" s="219"/>
      <c r="C788" s="219"/>
      <c r="D788" s="219"/>
      <c r="E788" s="213"/>
      <c r="F788" s="213"/>
      <c r="G788" s="213"/>
      <c r="H788" s="219"/>
      <c r="I788" s="219"/>
      <c r="J788" s="219"/>
      <c r="K788" s="219"/>
      <c r="L788" s="219"/>
      <c r="M788" s="219"/>
      <c r="N788" s="219"/>
      <c r="O788" s="219"/>
      <c r="P788" s="219"/>
      <c r="Q788" s="219"/>
      <c r="R788" s="219"/>
      <c r="S788" s="219"/>
      <c r="T788" s="219"/>
      <c r="U788" s="219"/>
      <c r="V788" s="219"/>
      <c r="W788" s="219"/>
      <c r="X788" s="219"/>
      <c r="Y788" s="219"/>
      <c r="Z788" s="219"/>
    </row>
    <row r="789">
      <c r="A789" s="244"/>
      <c r="B789" s="219"/>
      <c r="C789" s="219"/>
      <c r="D789" s="219"/>
      <c r="E789" s="213"/>
      <c r="F789" s="213"/>
      <c r="G789" s="213"/>
      <c r="H789" s="219"/>
      <c r="I789" s="219"/>
      <c r="J789" s="219"/>
      <c r="K789" s="219"/>
      <c r="L789" s="219"/>
      <c r="M789" s="219"/>
      <c r="N789" s="219"/>
      <c r="O789" s="219"/>
      <c r="P789" s="219"/>
      <c r="Q789" s="219"/>
      <c r="R789" s="219"/>
      <c r="S789" s="219"/>
      <c r="T789" s="219"/>
      <c r="U789" s="219"/>
      <c r="V789" s="219"/>
      <c r="W789" s="219"/>
      <c r="X789" s="219"/>
      <c r="Y789" s="219"/>
      <c r="Z789" s="219"/>
    </row>
    <row r="790">
      <c r="A790" s="244"/>
      <c r="B790" s="219"/>
      <c r="C790" s="219"/>
      <c r="D790" s="219"/>
      <c r="E790" s="213"/>
      <c r="F790" s="213"/>
      <c r="G790" s="213"/>
      <c r="H790" s="219"/>
      <c r="I790" s="219"/>
      <c r="J790" s="219"/>
      <c r="K790" s="219"/>
      <c r="L790" s="219"/>
      <c r="M790" s="219"/>
      <c r="N790" s="219"/>
      <c r="O790" s="219"/>
      <c r="P790" s="219"/>
      <c r="Q790" s="219"/>
      <c r="R790" s="219"/>
      <c r="S790" s="219"/>
      <c r="T790" s="219"/>
      <c r="U790" s="219"/>
      <c r="V790" s="219"/>
      <c r="W790" s="219"/>
      <c r="X790" s="219"/>
      <c r="Y790" s="219"/>
      <c r="Z790" s="219"/>
    </row>
    <row r="791">
      <c r="A791" s="244"/>
      <c r="B791" s="219"/>
      <c r="C791" s="219"/>
      <c r="D791" s="219"/>
      <c r="E791" s="213"/>
      <c r="F791" s="213"/>
      <c r="G791" s="213"/>
      <c r="H791" s="219"/>
      <c r="I791" s="219"/>
      <c r="J791" s="219"/>
      <c r="K791" s="219"/>
      <c r="L791" s="219"/>
      <c r="M791" s="219"/>
      <c r="N791" s="219"/>
      <c r="O791" s="219"/>
      <c r="P791" s="219"/>
      <c r="Q791" s="219"/>
      <c r="R791" s="219"/>
      <c r="S791" s="219"/>
      <c r="T791" s="219"/>
      <c r="U791" s="219"/>
      <c r="V791" s="219"/>
      <c r="W791" s="219"/>
      <c r="X791" s="219"/>
      <c r="Y791" s="219"/>
      <c r="Z791" s="219"/>
    </row>
    <row r="792">
      <c r="A792" s="244"/>
      <c r="B792" s="219"/>
      <c r="C792" s="219"/>
      <c r="D792" s="219"/>
      <c r="E792" s="213"/>
      <c r="F792" s="213"/>
      <c r="G792" s="213"/>
      <c r="H792" s="219"/>
      <c r="I792" s="219"/>
      <c r="J792" s="219"/>
      <c r="K792" s="219"/>
      <c r="L792" s="219"/>
      <c r="M792" s="219"/>
      <c r="N792" s="219"/>
      <c r="O792" s="219"/>
      <c r="P792" s="219"/>
      <c r="Q792" s="219"/>
      <c r="R792" s="219"/>
      <c r="S792" s="219"/>
      <c r="T792" s="219"/>
      <c r="U792" s="219"/>
      <c r="V792" s="219"/>
      <c r="W792" s="219"/>
      <c r="X792" s="219"/>
      <c r="Y792" s="219"/>
      <c r="Z792" s="219"/>
    </row>
    <row r="793">
      <c r="A793" s="244"/>
      <c r="B793" s="219"/>
      <c r="C793" s="219"/>
      <c r="D793" s="219"/>
      <c r="E793" s="213"/>
      <c r="F793" s="213"/>
      <c r="G793" s="213"/>
      <c r="H793" s="219"/>
      <c r="I793" s="219"/>
      <c r="J793" s="219"/>
      <c r="K793" s="219"/>
      <c r="L793" s="219"/>
      <c r="M793" s="219"/>
      <c r="N793" s="219"/>
      <c r="O793" s="219"/>
      <c r="P793" s="219"/>
      <c r="Q793" s="219"/>
      <c r="R793" s="219"/>
      <c r="S793" s="219"/>
      <c r="T793" s="219"/>
      <c r="U793" s="219"/>
      <c r="V793" s="219"/>
      <c r="W793" s="219"/>
      <c r="X793" s="219"/>
      <c r="Y793" s="219"/>
      <c r="Z793" s="219"/>
    </row>
    <row r="794">
      <c r="A794" s="244"/>
      <c r="B794" s="219"/>
      <c r="C794" s="219"/>
      <c r="D794" s="219"/>
      <c r="E794" s="213"/>
      <c r="F794" s="213"/>
      <c r="G794" s="213"/>
      <c r="H794" s="219"/>
      <c r="I794" s="219"/>
      <c r="J794" s="219"/>
      <c r="K794" s="219"/>
      <c r="L794" s="219"/>
      <c r="M794" s="219"/>
      <c r="N794" s="219"/>
      <c r="O794" s="219"/>
      <c r="P794" s="219"/>
      <c r="Q794" s="219"/>
      <c r="R794" s="219"/>
      <c r="S794" s="219"/>
      <c r="T794" s="219"/>
      <c r="U794" s="219"/>
      <c r="V794" s="219"/>
      <c r="W794" s="219"/>
      <c r="X794" s="219"/>
      <c r="Y794" s="219"/>
      <c r="Z794" s="219"/>
    </row>
    <row r="795">
      <c r="A795" s="244"/>
      <c r="B795" s="219"/>
      <c r="C795" s="219"/>
      <c r="D795" s="219"/>
      <c r="E795" s="213"/>
      <c r="F795" s="213"/>
      <c r="G795" s="213"/>
      <c r="H795" s="219"/>
      <c r="I795" s="219"/>
      <c r="J795" s="219"/>
      <c r="K795" s="219"/>
      <c r="L795" s="219"/>
      <c r="M795" s="219"/>
      <c r="N795" s="219"/>
      <c r="O795" s="219"/>
      <c r="P795" s="219"/>
      <c r="Q795" s="219"/>
      <c r="R795" s="219"/>
      <c r="S795" s="219"/>
      <c r="T795" s="219"/>
      <c r="U795" s="219"/>
      <c r="V795" s="219"/>
      <c r="W795" s="219"/>
      <c r="X795" s="219"/>
      <c r="Y795" s="219"/>
      <c r="Z795" s="219"/>
    </row>
    <row r="796">
      <c r="A796" s="244"/>
      <c r="B796" s="219"/>
      <c r="C796" s="219"/>
      <c r="D796" s="219"/>
      <c r="E796" s="213"/>
      <c r="F796" s="213"/>
      <c r="G796" s="213"/>
      <c r="H796" s="219"/>
      <c r="I796" s="219"/>
      <c r="J796" s="219"/>
      <c r="K796" s="219"/>
      <c r="L796" s="219"/>
      <c r="M796" s="219"/>
      <c r="N796" s="219"/>
      <c r="O796" s="219"/>
      <c r="P796" s="219"/>
      <c r="Q796" s="219"/>
      <c r="R796" s="219"/>
      <c r="S796" s="219"/>
      <c r="T796" s="219"/>
      <c r="U796" s="219"/>
      <c r="V796" s="219"/>
      <c r="W796" s="219"/>
      <c r="X796" s="219"/>
      <c r="Y796" s="219"/>
      <c r="Z796" s="219"/>
    </row>
    <row r="797">
      <c r="A797" s="244"/>
      <c r="B797" s="219"/>
      <c r="C797" s="219"/>
      <c r="D797" s="219"/>
      <c r="E797" s="213"/>
      <c r="F797" s="213"/>
      <c r="G797" s="213"/>
      <c r="H797" s="219"/>
      <c r="I797" s="219"/>
      <c r="J797" s="219"/>
      <c r="K797" s="219"/>
      <c r="L797" s="219"/>
      <c r="M797" s="219"/>
      <c r="N797" s="219"/>
      <c r="O797" s="219"/>
      <c r="P797" s="219"/>
      <c r="Q797" s="219"/>
      <c r="R797" s="219"/>
      <c r="S797" s="219"/>
      <c r="T797" s="219"/>
      <c r="U797" s="219"/>
      <c r="V797" s="219"/>
      <c r="W797" s="219"/>
      <c r="X797" s="219"/>
      <c r="Y797" s="219"/>
      <c r="Z797" s="219"/>
    </row>
    <row r="798">
      <c r="A798" s="244"/>
      <c r="B798" s="219"/>
      <c r="C798" s="219"/>
      <c r="D798" s="219"/>
      <c r="E798" s="213"/>
      <c r="F798" s="213"/>
      <c r="G798" s="213"/>
      <c r="H798" s="219"/>
      <c r="I798" s="219"/>
      <c r="J798" s="219"/>
      <c r="K798" s="219"/>
      <c r="L798" s="219"/>
      <c r="M798" s="219"/>
      <c r="N798" s="219"/>
      <c r="O798" s="219"/>
      <c r="P798" s="219"/>
      <c r="Q798" s="219"/>
      <c r="R798" s="219"/>
      <c r="S798" s="219"/>
      <c r="T798" s="219"/>
      <c r="U798" s="219"/>
      <c r="V798" s="219"/>
      <c r="W798" s="219"/>
      <c r="X798" s="219"/>
      <c r="Y798" s="219"/>
      <c r="Z798" s="219"/>
    </row>
    <row r="799">
      <c r="A799" s="244"/>
      <c r="B799" s="219"/>
      <c r="C799" s="219"/>
      <c r="D799" s="219"/>
      <c r="E799" s="213"/>
      <c r="F799" s="213"/>
      <c r="G799" s="213"/>
      <c r="H799" s="219"/>
      <c r="I799" s="219"/>
      <c r="J799" s="219"/>
      <c r="K799" s="219"/>
      <c r="L799" s="219"/>
      <c r="M799" s="219"/>
      <c r="N799" s="219"/>
      <c r="O799" s="219"/>
      <c r="P799" s="219"/>
      <c r="Q799" s="219"/>
      <c r="R799" s="219"/>
      <c r="S799" s="219"/>
      <c r="T799" s="219"/>
      <c r="U799" s="219"/>
      <c r="V799" s="219"/>
      <c r="W799" s="219"/>
      <c r="X799" s="219"/>
      <c r="Y799" s="219"/>
      <c r="Z799" s="219"/>
    </row>
    <row r="800">
      <c r="A800" s="244"/>
      <c r="B800" s="219"/>
      <c r="C800" s="219"/>
      <c r="D800" s="219"/>
      <c r="E800" s="213"/>
      <c r="F800" s="213"/>
      <c r="G800" s="213"/>
      <c r="H800" s="219"/>
      <c r="I800" s="219"/>
      <c r="J800" s="219"/>
      <c r="K800" s="219"/>
      <c r="L800" s="219"/>
      <c r="M800" s="219"/>
      <c r="N800" s="219"/>
      <c r="O800" s="219"/>
      <c r="P800" s="219"/>
      <c r="Q800" s="219"/>
      <c r="R800" s="219"/>
      <c r="S800" s="219"/>
      <c r="T800" s="219"/>
      <c r="U800" s="219"/>
      <c r="V800" s="219"/>
      <c r="W800" s="219"/>
      <c r="X800" s="219"/>
      <c r="Y800" s="219"/>
      <c r="Z800" s="219"/>
    </row>
    <row r="801">
      <c r="A801" s="244"/>
      <c r="B801" s="219"/>
      <c r="C801" s="219"/>
      <c r="D801" s="219"/>
      <c r="E801" s="213"/>
      <c r="F801" s="213"/>
      <c r="G801" s="213"/>
      <c r="H801" s="219"/>
      <c r="I801" s="219"/>
      <c r="J801" s="219"/>
      <c r="K801" s="219"/>
      <c r="L801" s="219"/>
      <c r="M801" s="219"/>
      <c r="N801" s="219"/>
      <c r="O801" s="219"/>
      <c r="P801" s="219"/>
      <c r="Q801" s="219"/>
      <c r="R801" s="219"/>
      <c r="S801" s="219"/>
      <c r="T801" s="219"/>
      <c r="U801" s="219"/>
      <c r="V801" s="219"/>
      <c r="W801" s="219"/>
      <c r="X801" s="219"/>
      <c r="Y801" s="219"/>
      <c r="Z801" s="219"/>
    </row>
    <row r="802">
      <c r="A802" s="244"/>
      <c r="B802" s="219"/>
      <c r="C802" s="219"/>
      <c r="D802" s="219"/>
      <c r="E802" s="213"/>
      <c r="F802" s="213"/>
      <c r="G802" s="213"/>
      <c r="H802" s="219"/>
      <c r="I802" s="219"/>
      <c r="J802" s="219"/>
      <c r="K802" s="219"/>
      <c r="L802" s="219"/>
      <c r="M802" s="219"/>
      <c r="N802" s="219"/>
      <c r="O802" s="219"/>
      <c r="P802" s="219"/>
      <c r="Q802" s="219"/>
      <c r="R802" s="219"/>
      <c r="S802" s="219"/>
      <c r="T802" s="219"/>
      <c r="U802" s="219"/>
      <c r="V802" s="219"/>
      <c r="W802" s="219"/>
      <c r="X802" s="219"/>
      <c r="Y802" s="219"/>
      <c r="Z802" s="219"/>
    </row>
    <row r="803">
      <c r="A803" s="244"/>
      <c r="B803" s="219"/>
      <c r="C803" s="219"/>
      <c r="D803" s="219"/>
      <c r="E803" s="213"/>
      <c r="F803" s="213"/>
      <c r="G803" s="213"/>
      <c r="H803" s="219"/>
      <c r="I803" s="219"/>
      <c r="J803" s="219"/>
      <c r="K803" s="219"/>
      <c r="L803" s="219"/>
      <c r="M803" s="219"/>
      <c r="N803" s="219"/>
      <c r="O803" s="219"/>
      <c r="P803" s="219"/>
      <c r="Q803" s="219"/>
      <c r="R803" s="219"/>
      <c r="S803" s="219"/>
      <c r="T803" s="219"/>
      <c r="U803" s="219"/>
      <c r="V803" s="219"/>
      <c r="W803" s="219"/>
      <c r="X803" s="219"/>
      <c r="Y803" s="219"/>
      <c r="Z803" s="219"/>
    </row>
    <row r="804">
      <c r="A804" s="244"/>
      <c r="B804" s="219"/>
      <c r="C804" s="219"/>
      <c r="D804" s="219"/>
      <c r="E804" s="213"/>
      <c r="F804" s="213"/>
      <c r="G804" s="213"/>
      <c r="H804" s="219"/>
      <c r="I804" s="219"/>
      <c r="J804" s="219"/>
      <c r="K804" s="219"/>
      <c r="L804" s="219"/>
      <c r="M804" s="219"/>
      <c r="N804" s="219"/>
      <c r="O804" s="219"/>
      <c r="P804" s="219"/>
      <c r="Q804" s="219"/>
      <c r="R804" s="219"/>
      <c r="S804" s="219"/>
      <c r="T804" s="219"/>
      <c r="U804" s="219"/>
      <c r="V804" s="219"/>
      <c r="W804" s="219"/>
      <c r="X804" s="219"/>
      <c r="Y804" s="219"/>
      <c r="Z804" s="219"/>
    </row>
    <row r="805">
      <c r="A805" s="244"/>
      <c r="B805" s="219"/>
      <c r="C805" s="219"/>
      <c r="D805" s="219"/>
      <c r="E805" s="213"/>
      <c r="F805" s="213"/>
      <c r="G805" s="213"/>
      <c r="H805" s="219"/>
      <c r="I805" s="219"/>
      <c r="J805" s="219"/>
      <c r="K805" s="219"/>
      <c r="L805" s="219"/>
      <c r="M805" s="219"/>
      <c r="N805" s="219"/>
      <c r="O805" s="219"/>
      <c r="P805" s="219"/>
      <c r="Q805" s="219"/>
      <c r="R805" s="219"/>
      <c r="S805" s="219"/>
      <c r="T805" s="219"/>
      <c r="U805" s="219"/>
      <c r="V805" s="219"/>
      <c r="W805" s="219"/>
      <c r="X805" s="219"/>
      <c r="Y805" s="219"/>
      <c r="Z805" s="219"/>
    </row>
    <row r="806">
      <c r="A806" s="244"/>
      <c r="B806" s="219"/>
      <c r="C806" s="219"/>
      <c r="D806" s="219"/>
      <c r="E806" s="213"/>
      <c r="F806" s="213"/>
      <c r="G806" s="213"/>
      <c r="H806" s="219"/>
      <c r="I806" s="219"/>
      <c r="J806" s="219"/>
      <c r="K806" s="219"/>
      <c r="L806" s="219"/>
      <c r="M806" s="219"/>
      <c r="N806" s="219"/>
      <c r="O806" s="219"/>
      <c r="P806" s="219"/>
      <c r="Q806" s="219"/>
      <c r="R806" s="219"/>
      <c r="S806" s="219"/>
      <c r="T806" s="219"/>
      <c r="U806" s="219"/>
      <c r="V806" s="219"/>
      <c r="W806" s="219"/>
      <c r="X806" s="219"/>
      <c r="Y806" s="219"/>
      <c r="Z806" s="219"/>
    </row>
    <row r="807">
      <c r="A807" s="244"/>
      <c r="B807" s="219"/>
      <c r="C807" s="219"/>
      <c r="D807" s="219"/>
      <c r="E807" s="213"/>
      <c r="F807" s="213"/>
      <c r="G807" s="213"/>
      <c r="H807" s="219"/>
      <c r="I807" s="219"/>
      <c r="J807" s="219"/>
      <c r="K807" s="219"/>
      <c r="L807" s="219"/>
      <c r="M807" s="219"/>
      <c r="N807" s="219"/>
      <c r="O807" s="219"/>
      <c r="P807" s="219"/>
      <c r="Q807" s="219"/>
      <c r="R807" s="219"/>
      <c r="S807" s="219"/>
      <c r="T807" s="219"/>
      <c r="U807" s="219"/>
      <c r="V807" s="219"/>
      <c r="W807" s="219"/>
      <c r="X807" s="219"/>
      <c r="Y807" s="219"/>
      <c r="Z807" s="219"/>
    </row>
    <row r="808">
      <c r="A808" s="244"/>
      <c r="B808" s="219"/>
      <c r="C808" s="219"/>
      <c r="D808" s="219"/>
      <c r="E808" s="213"/>
      <c r="F808" s="213"/>
      <c r="G808" s="213"/>
      <c r="H808" s="219"/>
      <c r="I808" s="219"/>
      <c r="J808" s="219"/>
      <c r="K808" s="219"/>
      <c r="L808" s="219"/>
      <c r="M808" s="219"/>
      <c r="N808" s="219"/>
      <c r="O808" s="219"/>
      <c r="P808" s="219"/>
      <c r="Q808" s="219"/>
      <c r="R808" s="219"/>
      <c r="S808" s="219"/>
      <c r="T808" s="219"/>
      <c r="U808" s="219"/>
      <c r="V808" s="219"/>
      <c r="W808" s="219"/>
      <c r="X808" s="219"/>
      <c r="Y808" s="219"/>
      <c r="Z808" s="219"/>
    </row>
    <row r="809">
      <c r="A809" s="244"/>
      <c r="B809" s="219"/>
      <c r="C809" s="219"/>
      <c r="D809" s="219"/>
      <c r="E809" s="213"/>
      <c r="F809" s="213"/>
      <c r="G809" s="213"/>
      <c r="H809" s="219"/>
      <c r="I809" s="219"/>
      <c r="J809" s="219"/>
      <c r="K809" s="219"/>
      <c r="L809" s="219"/>
      <c r="M809" s="219"/>
      <c r="N809" s="219"/>
      <c r="O809" s="219"/>
      <c r="P809" s="219"/>
      <c r="Q809" s="219"/>
      <c r="R809" s="219"/>
      <c r="S809" s="219"/>
      <c r="T809" s="219"/>
      <c r="U809" s="219"/>
      <c r="V809" s="219"/>
      <c r="W809" s="219"/>
      <c r="X809" s="219"/>
      <c r="Y809" s="219"/>
      <c r="Z809" s="219"/>
    </row>
    <row r="810">
      <c r="A810" s="244"/>
      <c r="B810" s="219"/>
      <c r="C810" s="219"/>
      <c r="D810" s="219"/>
      <c r="E810" s="213"/>
      <c r="F810" s="213"/>
      <c r="G810" s="213"/>
      <c r="H810" s="219"/>
      <c r="I810" s="219"/>
      <c r="J810" s="219"/>
      <c r="K810" s="219"/>
      <c r="L810" s="219"/>
      <c r="M810" s="219"/>
      <c r="N810" s="219"/>
      <c r="O810" s="219"/>
      <c r="P810" s="219"/>
      <c r="Q810" s="219"/>
      <c r="R810" s="219"/>
      <c r="S810" s="219"/>
      <c r="T810" s="219"/>
      <c r="U810" s="219"/>
      <c r="V810" s="219"/>
      <c r="W810" s="219"/>
      <c r="X810" s="219"/>
      <c r="Y810" s="219"/>
      <c r="Z810" s="219"/>
    </row>
    <row r="811">
      <c r="A811" s="244"/>
      <c r="B811" s="219"/>
      <c r="C811" s="219"/>
      <c r="D811" s="219"/>
      <c r="E811" s="213"/>
      <c r="F811" s="213"/>
      <c r="G811" s="213"/>
      <c r="H811" s="219"/>
      <c r="I811" s="219"/>
      <c r="J811" s="219"/>
      <c r="K811" s="219"/>
      <c r="L811" s="219"/>
      <c r="M811" s="219"/>
      <c r="N811" s="219"/>
      <c r="O811" s="219"/>
      <c r="P811" s="219"/>
      <c r="Q811" s="219"/>
      <c r="R811" s="219"/>
      <c r="S811" s="219"/>
      <c r="T811" s="219"/>
      <c r="U811" s="219"/>
      <c r="V811" s="219"/>
      <c r="W811" s="219"/>
      <c r="X811" s="219"/>
      <c r="Y811" s="219"/>
      <c r="Z811" s="219"/>
    </row>
    <row r="812">
      <c r="A812" s="244"/>
      <c r="B812" s="219"/>
      <c r="C812" s="219"/>
      <c r="D812" s="219"/>
      <c r="E812" s="213"/>
      <c r="F812" s="213"/>
      <c r="G812" s="213"/>
      <c r="H812" s="219"/>
      <c r="I812" s="219"/>
      <c r="J812" s="219"/>
      <c r="K812" s="219"/>
      <c r="L812" s="219"/>
      <c r="M812" s="219"/>
      <c r="N812" s="219"/>
      <c r="O812" s="219"/>
      <c r="P812" s="219"/>
      <c r="Q812" s="219"/>
      <c r="R812" s="219"/>
      <c r="S812" s="219"/>
      <c r="T812" s="219"/>
      <c r="U812" s="219"/>
      <c r="V812" s="219"/>
      <c r="W812" s="219"/>
      <c r="X812" s="219"/>
      <c r="Y812" s="219"/>
      <c r="Z812" s="219"/>
    </row>
    <row r="813">
      <c r="A813" s="244"/>
      <c r="B813" s="219"/>
      <c r="C813" s="219"/>
      <c r="D813" s="219"/>
      <c r="E813" s="213"/>
      <c r="F813" s="213"/>
      <c r="G813" s="213"/>
      <c r="H813" s="219"/>
      <c r="I813" s="219"/>
      <c r="J813" s="219"/>
      <c r="K813" s="219"/>
      <c r="L813" s="219"/>
      <c r="M813" s="219"/>
      <c r="N813" s="219"/>
      <c r="O813" s="219"/>
      <c r="P813" s="219"/>
      <c r="Q813" s="219"/>
      <c r="R813" s="219"/>
      <c r="S813" s="219"/>
      <c r="T813" s="219"/>
      <c r="U813" s="219"/>
      <c r="V813" s="219"/>
      <c r="W813" s="219"/>
      <c r="X813" s="219"/>
      <c r="Y813" s="219"/>
      <c r="Z813" s="219"/>
    </row>
    <row r="814">
      <c r="A814" s="244"/>
      <c r="B814" s="219"/>
      <c r="C814" s="219"/>
      <c r="D814" s="219"/>
      <c r="E814" s="213"/>
      <c r="F814" s="213"/>
      <c r="G814" s="213"/>
      <c r="H814" s="219"/>
      <c r="I814" s="219"/>
      <c r="J814" s="219"/>
      <c r="K814" s="219"/>
      <c r="L814" s="219"/>
      <c r="M814" s="219"/>
      <c r="N814" s="219"/>
      <c r="O814" s="219"/>
      <c r="P814" s="219"/>
      <c r="Q814" s="219"/>
      <c r="R814" s="219"/>
      <c r="S814" s="219"/>
      <c r="T814" s="219"/>
      <c r="U814" s="219"/>
      <c r="V814" s="219"/>
      <c r="W814" s="219"/>
      <c r="X814" s="219"/>
      <c r="Y814" s="219"/>
      <c r="Z814" s="219"/>
    </row>
    <row r="815">
      <c r="A815" s="244"/>
      <c r="B815" s="219"/>
      <c r="C815" s="219"/>
      <c r="D815" s="219"/>
      <c r="E815" s="213"/>
      <c r="F815" s="213"/>
      <c r="G815" s="213"/>
      <c r="H815" s="219"/>
      <c r="I815" s="219"/>
      <c r="J815" s="219"/>
      <c r="K815" s="219"/>
      <c r="L815" s="219"/>
      <c r="M815" s="219"/>
      <c r="N815" s="219"/>
      <c r="O815" s="219"/>
      <c r="P815" s="219"/>
      <c r="Q815" s="219"/>
      <c r="R815" s="219"/>
      <c r="S815" s="219"/>
      <c r="T815" s="219"/>
      <c r="U815" s="219"/>
      <c r="V815" s="219"/>
      <c r="W815" s="219"/>
      <c r="X815" s="219"/>
      <c r="Y815" s="219"/>
      <c r="Z815" s="219"/>
    </row>
    <row r="816">
      <c r="A816" s="244"/>
      <c r="B816" s="219"/>
      <c r="C816" s="219"/>
      <c r="D816" s="219"/>
      <c r="E816" s="213"/>
      <c r="F816" s="213"/>
      <c r="G816" s="213"/>
      <c r="H816" s="219"/>
      <c r="I816" s="219"/>
      <c r="J816" s="219"/>
      <c r="K816" s="219"/>
      <c r="L816" s="219"/>
      <c r="M816" s="219"/>
      <c r="N816" s="219"/>
      <c r="O816" s="219"/>
      <c r="P816" s="219"/>
      <c r="Q816" s="219"/>
      <c r="R816" s="219"/>
      <c r="S816" s="219"/>
      <c r="T816" s="219"/>
      <c r="U816" s="219"/>
      <c r="V816" s="219"/>
      <c r="W816" s="219"/>
      <c r="X816" s="219"/>
      <c r="Y816" s="219"/>
      <c r="Z816" s="219"/>
    </row>
    <row r="817">
      <c r="A817" s="244"/>
      <c r="B817" s="219"/>
      <c r="C817" s="219"/>
      <c r="D817" s="219"/>
      <c r="E817" s="213"/>
      <c r="F817" s="213"/>
      <c r="G817" s="213"/>
      <c r="H817" s="219"/>
      <c r="I817" s="219"/>
      <c r="J817" s="219"/>
      <c r="K817" s="219"/>
      <c r="L817" s="219"/>
      <c r="M817" s="219"/>
      <c r="N817" s="219"/>
      <c r="O817" s="219"/>
      <c r="P817" s="219"/>
      <c r="Q817" s="219"/>
      <c r="R817" s="219"/>
      <c r="S817" s="219"/>
      <c r="T817" s="219"/>
      <c r="U817" s="219"/>
      <c r="V817" s="219"/>
      <c r="W817" s="219"/>
      <c r="X817" s="219"/>
      <c r="Y817" s="219"/>
      <c r="Z817" s="219"/>
    </row>
    <row r="818">
      <c r="A818" s="244"/>
      <c r="B818" s="219"/>
      <c r="C818" s="219"/>
      <c r="D818" s="219"/>
      <c r="E818" s="213"/>
      <c r="F818" s="213"/>
      <c r="G818" s="213"/>
      <c r="H818" s="219"/>
      <c r="I818" s="219"/>
      <c r="J818" s="219"/>
      <c r="K818" s="219"/>
      <c r="L818" s="219"/>
      <c r="M818" s="219"/>
      <c r="N818" s="219"/>
      <c r="O818" s="219"/>
      <c r="P818" s="219"/>
      <c r="Q818" s="219"/>
      <c r="R818" s="219"/>
      <c r="S818" s="219"/>
      <c r="T818" s="219"/>
      <c r="U818" s="219"/>
      <c r="V818" s="219"/>
      <c r="W818" s="219"/>
      <c r="X818" s="219"/>
      <c r="Y818" s="219"/>
      <c r="Z818" s="219"/>
    </row>
    <row r="819">
      <c r="A819" s="244"/>
      <c r="B819" s="219"/>
      <c r="C819" s="219"/>
      <c r="D819" s="219"/>
      <c r="E819" s="213"/>
      <c r="F819" s="213"/>
      <c r="G819" s="213"/>
      <c r="H819" s="219"/>
      <c r="I819" s="219"/>
      <c r="J819" s="219"/>
      <c r="K819" s="219"/>
      <c r="L819" s="219"/>
      <c r="M819" s="219"/>
      <c r="N819" s="219"/>
      <c r="O819" s="219"/>
      <c r="P819" s="219"/>
      <c r="Q819" s="219"/>
      <c r="R819" s="219"/>
      <c r="S819" s="219"/>
      <c r="T819" s="219"/>
      <c r="U819" s="219"/>
      <c r="V819" s="219"/>
      <c r="W819" s="219"/>
      <c r="X819" s="219"/>
      <c r="Y819" s="219"/>
      <c r="Z819" s="219"/>
    </row>
    <row r="820">
      <c r="A820" s="244"/>
      <c r="B820" s="219"/>
      <c r="C820" s="219"/>
      <c r="D820" s="219"/>
      <c r="E820" s="213"/>
      <c r="F820" s="213"/>
      <c r="G820" s="213"/>
      <c r="H820" s="219"/>
      <c r="I820" s="219"/>
      <c r="J820" s="219"/>
      <c r="K820" s="219"/>
      <c r="L820" s="219"/>
      <c r="M820" s="219"/>
      <c r="N820" s="219"/>
      <c r="O820" s="219"/>
      <c r="P820" s="219"/>
      <c r="Q820" s="219"/>
      <c r="R820" s="219"/>
      <c r="S820" s="219"/>
      <c r="T820" s="219"/>
      <c r="U820" s="219"/>
      <c r="V820" s="219"/>
      <c r="W820" s="219"/>
      <c r="X820" s="219"/>
      <c r="Y820" s="219"/>
      <c r="Z820" s="219"/>
    </row>
    <row r="821">
      <c r="A821" s="244"/>
      <c r="B821" s="219"/>
      <c r="C821" s="219"/>
      <c r="D821" s="219"/>
      <c r="E821" s="213"/>
      <c r="F821" s="213"/>
      <c r="G821" s="213"/>
      <c r="H821" s="219"/>
      <c r="I821" s="219"/>
      <c r="J821" s="219"/>
      <c r="K821" s="219"/>
      <c r="L821" s="219"/>
      <c r="M821" s="219"/>
      <c r="N821" s="219"/>
      <c r="O821" s="219"/>
      <c r="P821" s="219"/>
      <c r="Q821" s="219"/>
      <c r="R821" s="219"/>
      <c r="S821" s="219"/>
      <c r="T821" s="219"/>
      <c r="U821" s="219"/>
      <c r="V821" s="219"/>
      <c r="W821" s="219"/>
      <c r="X821" s="219"/>
      <c r="Y821" s="219"/>
      <c r="Z821" s="219"/>
    </row>
    <row r="822">
      <c r="A822" s="244"/>
      <c r="B822" s="219"/>
      <c r="C822" s="219"/>
      <c r="D822" s="219"/>
      <c r="E822" s="213"/>
      <c r="F822" s="213"/>
      <c r="G822" s="213"/>
      <c r="H822" s="219"/>
      <c r="I822" s="219"/>
      <c r="J822" s="219"/>
      <c r="K822" s="219"/>
      <c r="L822" s="219"/>
      <c r="M822" s="219"/>
      <c r="N822" s="219"/>
      <c r="O822" s="219"/>
      <c r="P822" s="219"/>
      <c r="Q822" s="219"/>
      <c r="R822" s="219"/>
      <c r="S822" s="219"/>
      <c r="T822" s="219"/>
      <c r="U822" s="219"/>
      <c r="V822" s="219"/>
      <c r="W822" s="219"/>
      <c r="X822" s="219"/>
      <c r="Y822" s="219"/>
      <c r="Z822" s="219"/>
    </row>
    <row r="823">
      <c r="A823" s="244"/>
      <c r="B823" s="219"/>
      <c r="C823" s="219"/>
      <c r="D823" s="219"/>
      <c r="E823" s="213"/>
      <c r="F823" s="213"/>
      <c r="G823" s="213"/>
      <c r="H823" s="219"/>
      <c r="I823" s="219"/>
      <c r="J823" s="219"/>
      <c r="K823" s="219"/>
      <c r="L823" s="219"/>
      <c r="M823" s="219"/>
      <c r="N823" s="219"/>
      <c r="O823" s="219"/>
      <c r="P823" s="219"/>
      <c r="Q823" s="219"/>
      <c r="R823" s="219"/>
      <c r="S823" s="219"/>
      <c r="T823" s="219"/>
      <c r="U823" s="219"/>
      <c r="V823" s="219"/>
      <c r="W823" s="219"/>
      <c r="X823" s="219"/>
      <c r="Y823" s="219"/>
      <c r="Z823" s="219"/>
    </row>
    <row r="824">
      <c r="A824" s="244"/>
      <c r="B824" s="219"/>
      <c r="C824" s="219"/>
      <c r="D824" s="219"/>
      <c r="E824" s="213"/>
      <c r="F824" s="213"/>
      <c r="G824" s="213"/>
      <c r="H824" s="219"/>
      <c r="I824" s="219"/>
      <c r="J824" s="219"/>
      <c r="K824" s="219"/>
      <c r="L824" s="219"/>
      <c r="M824" s="219"/>
      <c r="N824" s="219"/>
      <c r="O824" s="219"/>
      <c r="P824" s="219"/>
      <c r="Q824" s="219"/>
      <c r="R824" s="219"/>
      <c r="S824" s="219"/>
      <c r="T824" s="219"/>
      <c r="U824" s="219"/>
      <c r="V824" s="219"/>
      <c r="W824" s="219"/>
      <c r="X824" s="219"/>
      <c r="Y824" s="219"/>
      <c r="Z824" s="219"/>
    </row>
    <row r="825">
      <c r="A825" s="244"/>
      <c r="B825" s="219"/>
      <c r="C825" s="219"/>
      <c r="D825" s="219"/>
      <c r="E825" s="213"/>
      <c r="F825" s="213"/>
      <c r="G825" s="213"/>
      <c r="H825" s="219"/>
      <c r="I825" s="219"/>
      <c r="J825" s="219"/>
      <c r="K825" s="219"/>
      <c r="L825" s="219"/>
      <c r="M825" s="219"/>
      <c r="N825" s="219"/>
      <c r="O825" s="219"/>
      <c r="P825" s="219"/>
      <c r="Q825" s="219"/>
      <c r="R825" s="219"/>
      <c r="S825" s="219"/>
      <c r="T825" s="219"/>
      <c r="U825" s="219"/>
      <c r="V825" s="219"/>
      <c r="W825" s="219"/>
      <c r="X825" s="219"/>
      <c r="Y825" s="219"/>
      <c r="Z825" s="219"/>
    </row>
    <row r="826">
      <c r="A826" s="244"/>
      <c r="B826" s="219"/>
      <c r="C826" s="219"/>
      <c r="D826" s="219"/>
      <c r="E826" s="213"/>
      <c r="F826" s="213"/>
      <c r="G826" s="213"/>
      <c r="H826" s="219"/>
      <c r="I826" s="219"/>
      <c r="J826" s="219"/>
      <c r="K826" s="219"/>
      <c r="L826" s="219"/>
      <c r="M826" s="219"/>
      <c r="N826" s="219"/>
      <c r="O826" s="219"/>
      <c r="P826" s="219"/>
      <c r="Q826" s="219"/>
      <c r="R826" s="219"/>
      <c r="S826" s="219"/>
      <c r="T826" s="219"/>
      <c r="U826" s="219"/>
      <c r="V826" s="219"/>
      <c r="W826" s="219"/>
      <c r="X826" s="219"/>
      <c r="Y826" s="219"/>
      <c r="Z826" s="219"/>
    </row>
    <row r="827">
      <c r="A827" s="244"/>
      <c r="B827" s="219"/>
      <c r="C827" s="219"/>
      <c r="D827" s="219"/>
      <c r="E827" s="213"/>
      <c r="F827" s="213"/>
      <c r="G827" s="213"/>
      <c r="H827" s="219"/>
      <c r="I827" s="219"/>
      <c r="J827" s="219"/>
      <c r="K827" s="219"/>
      <c r="L827" s="219"/>
      <c r="M827" s="219"/>
      <c r="N827" s="219"/>
      <c r="O827" s="219"/>
      <c r="P827" s="219"/>
      <c r="Q827" s="219"/>
      <c r="R827" s="219"/>
      <c r="S827" s="219"/>
      <c r="T827" s="219"/>
      <c r="U827" s="219"/>
      <c r="V827" s="219"/>
      <c r="W827" s="219"/>
      <c r="X827" s="219"/>
      <c r="Y827" s="219"/>
      <c r="Z827" s="219"/>
    </row>
    <row r="828">
      <c r="A828" s="244"/>
      <c r="B828" s="219"/>
      <c r="C828" s="219"/>
      <c r="D828" s="219"/>
      <c r="E828" s="213"/>
      <c r="F828" s="213"/>
      <c r="G828" s="213"/>
      <c r="H828" s="219"/>
      <c r="I828" s="219"/>
      <c r="J828" s="219"/>
      <c r="K828" s="219"/>
      <c r="L828" s="219"/>
      <c r="M828" s="219"/>
      <c r="N828" s="219"/>
      <c r="O828" s="219"/>
      <c r="P828" s="219"/>
      <c r="Q828" s="219"/>
      <c r="R828" s="219"/>
      <c r="S828" s="219"/>
      <c r="T828" s="219"/>
      <c r="U828" s="219"/>
      <c r="V828" s="219"/>
      <c r="W828" s="219"/>
      <c r="X828" s="219"/>
      <c r="Y828" s="219"/>
      <c r="Z828" s="219"/>
    </row>
    <row r="829">
      <c r="A829" s="244"/>
      <c r="B829" s="219"/>
      <c r="C829" s="219"/>
      <c r="D829" s="219"/>
      <c r="E829" s="213"/>
      <c r="F829" s="213"/>
      <c r="G829" s="213"/>
      <c r="H829" s="219"/>
      <c r="I829" s="219"/>
      <c r="J829" s="219"/>
      <c r="K829" s="219"/>
      <c r="L829" s="219"/>
      <c r="M829" s="219"/>
      <c r="N829" s="219"/>
      <c r="O829" s="219"/>
      <c r="P829" s="219"/>
      <c r="Q829" s="219"/>
      <c r="R829" s="219"/>
      <c r="S829" s="219"/>
      <c r="T829" s="219"/>
      <c r="U829" s="219"/>
      <c r="V829" s="219"/>
      <c r="W829" s="219"/>
      <c r="X829" s="219"/>
      <c r="Y829" s="219"/>
      <c r="Z829" s="219"/>
    </row>
    <row r="830">
      <c r="A830" s="244"/>
      <c r="B830" s="219"/>
      <c r="C830" s="219"/>
      <c r="D830" s="219"/>
      <c r="E830" s="213"/>
      <c r="F830" s="213"/>
      <c r="G830" s="213"/>
      <c r="H830" s="219"/>
      <c r="I830" s="219"/>
      <c r="J830" s="219"/>
      <c r="K830" s="219"/>
      <c r="L830" s="219"/>
      <c r="M830" s="219"/>
      <c r="N830" s="219"/>
      <c r="O830" s="219"/>
      <c r="P830" s="219"/>
      <c r="Q830" s="219"/>
      <c r="R830" s="219"/>
      <c r="S830" s="219"/>
      <c r="T830" s="219"/>
      <c r="U830" s="219"/>
      <c r="V830" s="219"/>
      <c r="W830" s="219"/>
      <c r="X830" s="219"/>
      <c r="Y830" s="219"/>
      <c r="Z830" s="219"/>
    </row>
    <row r="831">
      <c r="A831" s="244"/>
      <c r="B831" s="219"/>
      <c r="C831" s="219"/>
      <c r="D831" s="219"/>
      <c r="E831" s="213"/>
      <c r="F831" s="213"/>
      <c r="G831" s="213"/>
      <c r="H831" s="219"/>
      <c r="I831" s="219"/>
      <c r="J831" s="219"/>
      <c r="K831" s="219"/>
      <c r="L831" s="219"/>
      <c r="M831" s="219"/>
      <c r="N831" s="219"/>
      <c r="O831" s="219"/>
      <c r="P831" s="219"/>
      <c r="Q831" s="219"/>
      <c r="R831" s="219"/>
      <c r="S831" s="219"/>
      <c r="T831" s="219"/>
      <c r="U831" s="219"/>
      <c r="V831" s="219"/>
      <c r="W831" s="219"/>
      <c r="X831" s="219"/>
      <c r="Y831" s="219"/>
      <c r="Z831" s="219"/>
    </row>
    <row r="832">
      <c r="A832" s="244"/>
      <c r="B832" s="219"/>
      <c r="C832" s="219"/>
      <c r="D832" s="219"/>
      <c r="E832" s="213"/>
      <c r="F832" s="213"/>
      <c r="G832" s="213"/>
      <c r="H832" s="219"/>
      <c r="I832" s="219"/>
      <c r="J832" s="219"/>
      <c r="K832" s="219"/>
      <c r="L832" s="219"/>
      <c r="M832" s="219"/>
      <c r="N832" s="219"/>
      <c r="O832" s="219"/>
      <c r="P832" s="219"/>
      <c r="Q832" s="219"/>
      <c r="R832" s="219"/>
      <c r="S832" s="219"/>
      <c r="T832" s="219"/>
      <c r="U832" s="219"/>
      <c r="V832" s="219"/>
      <c r="W832" s="219"/>
      <c r="X832" s="219"/>
      <c r="Y832" s="219"/>
      <c r="Z832" s="219"/>
    </row>
    <row r="833">
      <c r="A833" s="244"/>
      <c r="B833" s="219"/>
      <c r="C833" s="219"/>
      <c r="D833" s="219"/>
      <c r="E833" s="213"/>
      <c r="F833" s="213"/>
      <c r="G833" s="213"/>
      <c r="H833" s="219"/>
      <c r="I833" s="219"/>
      <c r="J833" s="219"/>
      <c r="K833" s="219"/>
      <c r="L833" s="219"/>
      <c r="M833" s="219"/>
      <c r="N833" s="219"/>
      <c r="O833" s="219"/>
      <c r="P833" s="219"/>
      <c r="Q833" s="219"/>
      <c r="R833" s="219"/>
      <c r="S833" s="219"/>
      <c r="T833" s="219"/>
      <c r="U833" s="219"/>
      <c r="V833" s="219"/>
      <c r="W833" s="219"/>
      <c r="X833" s="219"/>
      <c r="Y833" s="219"/>
      <c r="Z833" s="219"/>
    </row>
    <row r="834">
      <c r="A834" s="244"/>
      <c r="B834" s="219"/>
      <c r="C834" s="219"/>
      <c r="D834" s="219"/>
      <c r="E834" s="213"/>
      <c r="F834" s="213"/>
      <c r="G834" s="213"/>
      <c r="H834" s="219"/>
      <c r="I834" s="219"/>
      <c r="J834" s="219"/>
      <c r="K834" s="219"/>
      <c r="L834" s="219"/>
      <c r="M834" s="219"/>
      <c r="N834" s="219"/>
      <c r="O834" s="219"/>
      <c r="P834" s="219"/>
      <c r="Q834" s="219"/>
      <c r="R834" s="219"/>
      <c r="S834" s="219"/>
      <c r="T834" s="219"/>
      <c r="U834" s="219"/>
      <c r="V834" s="219"/>
      <c r="W834" s="219"/>
      <c r="X834" s="219"/>
      <c r="Y834" s="219"/>
      <c r="Z834" s="219"/>
    </row>
    <row r="835">
      <c r="A835" s="244"/>
      <c r="B835" s="219"/>
      <c r="C835" s="219"/>
      <c r="D835" s="219"/>
      <c r="E835" s="213"/>
      <c r="F835" s="213"/>
      <c r="G835" s="213"/>
      <c r="H835" s="219"/>
      <c r="I835" s="219"/>
      <c r="J835" s="219"/>
      <c r="K835" s="219"/>
      <c r="L835" s="219"/>
      <c r="M835" s="219"/>
      <c r="N835" s="219"/>
      <c r="O835" s="219"/>
      <c r="P835" s="219"/>
      <c r="Q835" s="219"/>
      <c r="R835" s="219"/>
      <c r="S835" s="219"/>
      <c r="T835" s="219"/>
      <c r="U835" s="219"/>
      <c r="V835" s="219"/>
      <c r="W835" s="219"/>
      <c r="X835" s="219"/>
      <c r="Y835" s="219"/>
      <c r="Z835" s="219"/>
    </row>
    <row r="836">
      <c r="A836" s="244"/>
      <c r="B836" s="219"/>
      <c r="C836" s="219"/>
      <c r="D836" s="219"/>
      <c r="E836" s="213"/>
      <c r="F836" s="213"/>
      <c r="G836" s="213"/>
      <c r="H836" s="219"/>
      <c r="I836" s="219"/>
      <c r="J836" s="219"/>
      <c r="K836" s="219"/>
      <c r="L836" s="219"/>
      <c r="M836" s="219"/>
      <c r="N836" s="219"/>
      <c r="O836" s="219"/>
      <c r="P836" s="219"/>
      <c r="Q836" s="219"/>
      <c r="R836" s="219"/>
      <c r="S836" s="219"/>
      <c r="T836" s="219"/>
      <c r="U836" s="219"/>
      <c r="V836" s="219"/>
      <c r="W836" s="219"/>
      <c r="X836" s="219"/>
      <c r="Y836" s="219"/>
      <c r="Z836" s="219"/>
    </row>
    <row r="837">
      <c r="A837" s="244"/>
      <c r="B837" s="219"/>
      <c r="C837" s="219"/>
      <c r="D837" s="219"/>
      <c r="E837" s="213"/>
      <c r="F837" s="213"/>
      <c r="G837" s="213"/>
      <c r="H837" s="219"/>
      <c r="I837" s="219"/>
      <c r="J837" s="219"/>
      <c r="K837" s="219"/>
      <c r="L837" s="219"/>
      <c r="M837" s="219"/>
      <c r="N837" s="219"/>
      <c r="O837" s="219"/>
      <c r="P837" s="219"/>
      <c r="Q837" s="219"/>
      <c r="R837" s="219"/>
      <c r="S837" s="219"/>
      <c r="T837" s="219"/>
      <c r="U837" s="219"/>
      <c r="V837" s="219"/>
      <c r="W837" s="219"/>
      <c r="X837" s="219"/>
      <c r="Y837" s="219"/>
      <c r="Z837" s="219"/>
    </row>
    <row r="838">
      <c r="A838" s="244"/>
      <c r="B838" s="219"/>
      <c r="C838" s="219"/>
      <c r="D838" s="219"/>
      <c r="E838" s="213"/>
      <c r="F838" s="213"/>
      <c r="G838" s="213"/>
      <c r="H838" s="219"/>
      <c r="I838" s="219"/>
      <c r="J838" s="219"/>
      <c r="K838" s="219"/>
      <c r="L838" s="219"/>
      <c r="M838" s="219"/>
      <c r="N838" s="219"/>
      <c r="O838" s="219"/>
      <c r="P838" s="219"/>
      <c r="Q838" s="219"/>
      <c r="R838" s="219"/>
      <c r="S838" s="219"/>
      <c r="T838" s="219"/>
      <c r="U838" s="219"/>
      <c r="V838" s="219"/>
      <c r="W838" s="219"/>
      <c r="X838" s="219"/>
      <c r="Y838" s="219"/>
      <c r="Z838" s="219"/>
    </row>
    <row r="839">
      <c r="A839" s="244"/>
      <c r="B839" s="219"/>
      <c r="C839" s="219"/>
      <c r="D839" s="219"/>
      <c r="E839" s="213"/>
      <c r="F839" s="213"/>
      <c r="G839" s="213"/>
      <c r="H839" s="219"/>
      <c r="I839" s="219"/>
      <c r="J839" s="219"/>
      <c r="K839" s="219"/>
      <c r="L839" s="219"/>
      <c r="M839" s="219"/>
      <c r="N839" s="219"/>
      <c r="O839" s="219"/>
      <c r="P839" s="219"/>
      <c r="Q839" s="219"/>
      <c r="R839" s="219"/>
      <c r="S839" s="219"/>
      <c r="T839" s="219"/>
      <c r="U839" s="219"/>
      <c r="V839" s="219"/>
      <c r="W839" s="219"/>
      <c r="X839" s="219"/>
      <c r="Y839" s="219"/>
      <c r="Z839" s="219"/>
    </row>
    <row r="840">
      <c r="A840" s="244"/>
      <c r="B840" s="219"/>
      <c r="C840" s="219"/>
      <c r="D840" s="219"/>
      <c r="E840" s="213"/>
      <c r="F840" s="213"/>
      <c r="G840" s="213"/>
      <c r="H840" s="219"/>
      <c r="I840" s="219"/>
      <c r="J840" s="219"/>
      <c r="K840" s="219"/>
      <c r="L840" s="219"/>
      <c r="M840" s="219"/>
      <c r="N840" s="219"/>
      <c r="O840" s="219"/>
      <c r="P840" s="219"/>
      <c r="Q840" s="219"/>
      <c r="R840" s="219"/>
      <c r="S840" s="219"/>
      <c r="T840" s="219"/>
      <c r="U840" s="219"/>
      <c r="V840" s="219"/>
      <c r="W840" s="219"/>
      <c r="X840" s="219"/>
      <c r="Y840" s="219"/>
      <c r="Z840" s="219"/>
    </row>
    <row r="841">
      <c r="A841" s="244"/>
      <c r="B841" s="219"/>
      <c r="C841" s="219"/>
      <c r="D841" s="219"/>
      <c r="E841" s="213"/>
      <c r="F841" s="213"/>
      <c r="G841" s="213"/>
      <c r="H841" s="219"/>
      <c r="I841" s="219"/>
      <c r="J841" s="219"/>
      <c r="K841" s="219"/>
      <c r="L841" s="219"/>
      <c r="M841" s="219"/>
      <c r="N841" s="219"/>
      <c r="O841" s="219"/>
      <c r="P841" s="219"/>
      <c r="Q841" s="219"/>
      <c r="R841" s="219"/>
      <c r="S841" s="219"/>
      <c r="T841" s="219"/>
      <c r="U841" s="219"/>
      <c r="V841" s="219"/>
      <c r="W841" s="219"/>
      <c r="X841" s="219"/>
      <c r="Y841" s="219"/>
      <c r="Z841" s="219"/>
    </row>
    <row r="842">
      <c r="A842" s="244"/>
      <c r="B842" s="219"/>
      <c r="C842" s="219"/>
      <c r="D842" s="219"/>
      <c r="E842" s="213"/>
      <c r="F842" s="213"/>
      <c r="G842" s="213"/>
      <c r="H842" s="219"/>
      <c r="I842" s="219"/>
      <c r="J842" s="219"/>
      <c r="K842" s="219"/>
      <c r="L842" s="219"/>
      <c r="M842" s="219"/>
      <c r="N842" s="219"/>
      <c r="O842" s="219"/>
      <c r="P842" s="219"/>
      <c r="Q842" s="219"/>
      <c r="R842" s="219"/>
      <c r="S842" s="219"/>
      <c r="T842" s="219"/>
      <c r="U842" s="219"/>
      <c r="V842" s="219"/>
      <c r="W842" s="219"/>
      <c r="X842" s="219"/>
      <c r="Y842" s="219"/>
      <c r="Z842" s="219"/>
    </row>
    <row r="843">
      <c r="A843" s="244"/>
      <c r="B843" s="219"/>
      <c r="C843" s="219"/>
      <c r="D843" s="219"/>
      <c r="E843" s="213"/>
      <c r="F843" s="213"/>
      <c r="G843" s="213"/>
      <c r="H843" s="219"/>
      <c r="I843" s="219"/>
      <c r="J843" s="219"/>
      <c r="K843" s="219"/>
      <c r="L843" s="219"/>
      <c r="M843" s="219"/>
      <c r="N843" s="219"/>
      <c r="O843" s="219"/>
      <c r="P843" s="219"/>
      <c r="Q843" s="219"/>
      <c r="R843" s="219"/>
      <c r="S843" s="219"/>
      <c r="T843" s="219"/>
      <c r="U843" s="219"/>
      <c r="V843" s="219"/>
      <c r="W843" s="219"/>
      <c r="X843" s="219"/>
      <c r="Y843" s="219"/>
      <c r="Z843" s="219"/>
    </row>
    <row r="844">
      <c r="A844" s="244"/>
      <c r="B844" s="219"/>
      <c r="C844" s="219"/>
      <c r="D844" s="219"/>
      <c r="E844" s="213"/>
      <c r="F844" s="213"/>
      <c r="G844" s="213"/>
      <c r="H844" s="219"/>
      <c r="I844" s="219"/>
      <c r="J844" s="219"/>
      <c r="K844" s="219"/>
      <c r="L844" s="219"/>
      <c r="M844" s="219"/>
      <c r="N844" s="219"/>
      <c r="O844" s="219"/>
      <c r="P844" s="219"/>
      <c r="Q844" s="219"/>
      <c r="R844" s="219"/>
      <c r="S844" s="219"/>
      <c r="T844" s="219"/>
      <c r="U844" s="219"/>
      <c r="V844" s="219"/>
      <c r="W844" s="219"/>
      <c r="X844" s="219"/>
      <c r="Y844" s="219"/>
      <c r="Z844" s="219"/>
    </row>
    <row r="845">
      <c r="A845" s="244"/>
      <c r="B845" s="219"/>
      <c r="C845" s="219"/>
      <c r="D845" s="219"/>
      <c r="E845" s="213"/>
      <c r="F845" s="213"/>
      <c r="G845" s="213"/>
      <c r="H845" s="219"/>
      <c r="I845" s="219"/>
      <c r="J845" s="219"/>
      <c r="K845" s="219"/>
      <c r="L845" s="219"/>
      <c r="M845" s="219"/>
      <c r="N845" s="219"/>
      <c r="O845" s="219"/>
      <c r="P845" s="219"/>
      <c r="Q845" s="219"/>
      <c r="R845" s="219"/>
      <c r="S845" s="219"/>
      <c r="T845" s="219"/>
      <c r="U845" s="219"/>
      <c r="V845" s="219"/>
      <c r="W845" s="219"/>
      <c r="X845" s="219"/>
      <c r="Y845" s="219"/>
      <c r="Z845" s="219"/>
    </row>
    <row r="846">
      <c r="A846" s="244"/>
      <c r="B846" s="219"/>
      <c r="C846" s="219"/>
      <c r="D846" s="219"/>
      <c r="E846" s="213"/>
      <c r="F846" s="213"/>
      <c r="G846" s="213"/>
      <c r="H846" s="219"/>
      <c r="I846" s="219"/>
      <c r="J846" s="219"/>
      <c r="K846" s="219"/>
      <c r="L846" s="219"/>
      <c r="M846" s="219"/>
      <c r="N846" s="219"/>
      <c r="O846" s="219"/>
      <c r="P846" s="219"/>
      <c r="Q846" s="219"/>
      <c r="R846" s="219"/>
      <c r="S846" s="219"/>
      <c r="T846" s="219"/>
      <c r="U846" s="219"/>
      <c r="V846" s="219"/>
      <c r="W846" s="219"/>
      <c r="X846" s="219"/>
      <c r="Y846" s="219"/>
      <c r="Z846" s="219"/>
    </row>
    <row r="847">
      <c r="A847" s="244"/>
      <c r="B847" s="219"/>
      <c r="C847" s="219"/>
      <c r="D847" s="219"/>
      <c r="E847" s="213"/>
      <c r="F847" s="213"/>
      <c r="G847" s="213"/>
      <c r="H847" s="219"/>
      <c r="I847" s="219"/>
      <c r="J847" s="219"/>
      <c r="K847" s="219"/>
      <c r="L847" s="219"/>
      <c r="M847" s="219"/>
      <c r="N847" s="219"/>
      <c r="O847" s="219"/>
      <c r="P847" s="219"/>
      <c r="Q847" s="219"/>
      <c r="R847" s="219"/>
      <c r="S847" s="219"/>
      <c r="T847" s="219"/>
      <c r="U847" s="219"/>
      <c r="V847" s="219"/>
      <c r="W847" s="219"/>
      <c r="X847" s="219"/>
      <c r="Y847" s="219"/>
      <c r="Z847" s="219"/>
    </row>
    <row r="848">
      <c r="A848" s="244"/>
      <c r="B848" s="219"/>
      <c r="C848" s="219"/>
      <c r="D848" s="219"/>
      <c r="E848" s="213"/>
      <c r="F848" s="213"/>
      <c r="G848" s="213"/>
      <c r="H848" s="219"/>
      <c r="I848" s="219"/>
      <c r="J848" s="219"/>
      <c r="K848" s="219"/>
      <c r="L848" s="219"/>
      <c r="M848" s="219"/>
      <c r="N848" s="219"/>
      <c r="O848" s="219"/>
      <c r="P848" s="219"/>
      <c r="Q848" s="219"/>
      <c r="R848" s="219"/>
      <c r="S848" s="219"/>
      <c r="T848" s="219"/>
      <c r="U848" s="219"/>
      <c r="V848" s="219"/>
      <c r="W848" s="219"/>
      <c r="X848" s="219"/>
      <c r="Y848" s="219"/>
      <c r="Z848" s="219"/>
    </row>
    <row r="849">
      <c r="A849" s="244"/>
      <c r="B849" s="219"/>
      <c r="C849" s="219"/>
      <c r="D849" s="219"/>
      <c r="E849" s="213"/>
      <c r="F849" s="213"/>
      <c r="G849" s="213"/>
      <c r="H849" s="219"/>
      <c r="I849" s="219"/>
      <c r="J849" s="219"/>
      <c r="K849" s="219"/>
      <c r="L849" s="219"/>
      <c r="M849" s="219"/>
      <c r="N849" s="219"/>
      <c r="O849" s="219"/>
      <c r="P849" s="219"/>
      <c r="Q849" s="219"/>
      <c r="R849" s="219"/>
      <c r="S849" s="219"/>
      <c r="T849" s="219"/>
      <c r="U849" s="219"/>
      <c r="V849" s="219"/>
      <c r="W849" s="219"/>
      <c r="X849" s="219"/>
      <c r="Y849" s="219"/>
      <c r="Z849" s="219"/>
    </row>
    <row r="850">
      <c r="A850" s="244"/>
      <c r="B850" s="219"/>
      <c r="C850" s="219"/>
      <c r="D850" s="219"/>
      <c r="E850" s="213"/>
      <c r="F850" s="213"/>
      <c r="G850" s="213"/>
      <c r="H850" s="219"/>
      <c r="I850" s="219"/>
      <c r="J850" s="219"/>
      <c r="K850" s="219"/>
      <c r="L850" s="219"/>
      <c r="M850" s="219"/>
      <c r="N850" s="219"/>
      <c r="O850" s="219"/>
      <c r="P850" s="219"/>
      <c r="Q850" s="219"/>
      <c r="R850" s="219"/>
      <c r="S850" s="219"/>
      <c r="T850" s="219"/>
      <c r="U850" s="219"/>
      <c r="V850" s="219"/>
      <c r="W850" s="219"/>
      <c r="X850" s="219"/>
      <c r="Y850" s="219"/>
      <c r="Z850" s="219"/>
    </row>
    <row r="851">
      <c r="A851" s="244"/>
      <c r="B851" s="219"/>
      <c r="C851" s="219"/>
      <c r="D851" s="219"/>
      <c r="E851" s="213"/>
      <c r="F851" s="213"/>
      <c r="G851" s="213"/>
      <c r="H851" s="219"/>
      <c r="I851" s="219"/>
      <c r="J851" s="219"/>
      <c r="K851" s="219"/>
      <c r="L851" s="219"/>
      <c r="M851" s="219"/>
      <c r="N851" s="219"/>
      <c r="O851" s="219"/>
      <c r="P851" s="219"/>
      <c r="Q851" s="219"/>
      <c r="R851" s="219"/>
      <c r="S851" s="219"/>
      <c r="T851" s="219"/>
      <c r="U851" s="219"/>
      <c r="V851" s="219"/>
      <c r="W851" s="219"/>
      <c r="X851" s="219"/>
      <c r="Y851" s="219"/>
      <c r="Z851" s="219"/>
    </row>
    <row r="852">
      <c r="A852" s="244"/>
      <c r="B852" s="219"/>
      <c r="C852" s="219"/>
      <c r="D852" s="219"/>
      <c r="E852" s="213"/>
      <c r="F852" s="213"/>
      <c r="G852" s="213"/>
      <c r="H852" s="219"/>
      <c r="I852" s="219"/>
      <c r="J852" s="219"/>
      <c r="K852" s="219"/>
      <c r="L852" s="219"/>
      <c r="M852" s="219"/>
      <c r="N852" s="219"/>
      <c r="O852" s="219"/>
      <c r="P852" s="219"/>
      <c r="Q852" s="219"/>
      <c r="R852" s="219"/>
      <c r="S852" s="219"/>
      <c r="T852" s="219"/>
      <c r="U852" s="219"/>
      <c r="V852" s="219"/>
      <c r="W852" s="219"/>
      <c r="X852" s="219"/>
      <c r="Y852" s="219"/>
      <c r="Z852" s="219"/>
    </row>
    <row r="853">
      <c r="A853" s="244"/>
      <c r="B853" s="219"/>
      <c r="C853" s="219"/>
      <c r="D853" s="219"/>
      <c r="E853" s="213"/>
      <c r="F853" s="213"/>
      <c r="G853" s="213"/>
      <c r="H853" s="219"/>
      <c r="I853" s="219"/>
      <c r="J853" s="219"/>
      <c r="K853" s="219"/>
      <c r="L853" s="219"/>
      <c r="M853" s="219"/>
      <c r="N853" s="219"/>
      <c r="O853" s="219"/>
      <c r="P853" s="219"/>
      <c r="Q853" s="219"/>
      <c r="R853" s="219"/>
      <c r="S853" s="219"/>
      <c r="T853" s="219"/>
      <c r="U853" s="219"/>
      <c r="V853" s="219"/>
      <c r="W853" s="219"/>
      <c r="X853" s="219"/>
      <c r="Y853" s="219"/>
      <c r="Z853" s="219"/>
    </row>
    <row r="854">
      <c r="A854" s="244"/>
      <c r="B854" s="219"/>
      <c r="C854" s="219"/>
      <c r="D854" s="219"/>
      <c r="E854" s="213"/>
      <c r="F854" s="213"/>
      <c r="G854" s="213"/>
      <c r="H854" s="219"/>
      <c r="I854" s="219"/>
      <c r="J854" s="219"/>
      <c r="K854" s="219"/>
      <c r="L854" s="219"/>
      <c r="M854" s="219"/>
      <c r="N854" s="219"/>
      <c r="O854" s="219"/>
      <c r="P854" s="219"/>
      <c r="Q854" s="219"/>
      <c r="R854" s="219"/>
      <c r="S854" s="219"/>
      <c r="T854" s="219"/>
      <c r="U854" s="219"/>
      <c r="V854" s="219"/>
      <c r="W854" s="219"/>
      <c r="X854" s="219"/>
      <c r="Y854" s="219"/>
      <c r="Z854" s="219"/>
    </row>
    <row r="855">
      <c r="A855" s="244"/>
      <c r="B855" s="219"/>
      <c r="C855" s="219"/>
      <c r="D855" s="219"/>
      <c r="E855" s="213"/>
      <c r="F855" s="213"/>
      <c r="G855" s="213"/>
      <c r="H855" s="219"/>
      <c r="I855" s="219"/>
      <c r="J855" s="219"/>
      <c r="K855" s="219"/>
      <c r="L855" s="219"/>
      <c r="M855" s="219"/>
      <c r="N855" s="219"/>
      <c r="O855" s="219"/>
      <c r="P855" s="219"/>
      <c r="Q855" s="219"/>
      <c r="R855" s="219"/>
      <c r="S855" s="219"/>
      <c r="T855" s="219"/>
      <c r="U855" s="219"/>
      <c r="V855" s="219"/>
      <c r="W855" s="219"/>
      <c r="X855" s="219"/>
      <c r="Y855" s="219"/>
      <c r="Z855" s="219"/>
    </row>
    <row r="856">
      <c r="A856" s="244"/>
      <c r="B856" s="219"/>
      <c r="C856" s="219"/>
      <c r="D856" s="219"/>
      <c r="E856" s="213"/>
      <c r="F856" s="213"/>
      <c r="G856" s="213"/>
      <c r="H856" s="219"/>
      <c r="I856" s="219"/>
      <c r="J856" s="219"/>
      <c r="K856" s="219"/>
      <c r="L856" s="219"/>
      <c r="M856" s="219"/>
      <c r="N856" s="219"/>
      <c r="O856" s="219"/>
      <c r="P856" s="219"/>
      <c r="Q856" s="219"/>
      <c r="R856" s="219"/>
      <c r="S856" s="219"/>
      <c r="T856" s="219"/>
      <c r="U856" s="219"/>
      <c r="V856" s="219"/>
      <c r="W856" s="219"/>
      <c r="X856" s="219"/>
      <c r="Y856" s="219"/>
      <c r="Z856" s="219"/>
    </row>
    <row r="857">
      <c r="A857" s="244"/>
      <c r="B857" s="219"/>
      <c r="C857" s="219"/>
      <c r="D857" s="219"/>
      <c r="E857" s="213"/>
      <c r="F857" s="213"/>
      <c r="G857" s="213"/>
      <c r="H857" s="219"/>
      <c r="I857" s="219"/>
      <c r="J857" s="219"/>
      <c r="K857" s="219"/>
      <c r="L857" s="219"/>
      <c r="M857" s="219"/>
      <c r="N857" s="219"/>
      <c r="O857" s="219"/>
      <c r="P857" s="219"/>
      <c r="Q857" s="219"/>
      <c r="R857" s="219"/>
      <c r="S857" s="219"/>
      <c r="T857" s="219"/>
      <c r="U857" s="219"/>
      <c r="V857" s="219"/>
      <c r="W857" s="219"/>
      <c r="X857" s="219"/>
      <c r="Y857" s="219"/>
      <c r="Z857" s="219"/>
    </row>
    <row r="858">
      <c r="A858" s="244"/>
      <c r="B858" s="219"/>
      <c r="C858" s="219"/>
      <c r="D858" s="219"/>
      <c r="E858" s="213"/>
      <c r="F858" s="213"/>
      <c r="G858" s="213"/>
      <c r="H858" s="219"/>
      <c r="I858" s="219"/>
      <c r="J858" s="219"/>
      <c r="K858" s="219"/>
      <c r="L858" s="219"/>
      <c r="M858" s="219"/>
      <c r="N858" s="219"/>
      <c r="O858" s="219"/>
      <c r="P858" s="219"/>
      <c r="Q858" s="219"/>
      <c r="R858" s="219"/>
      <c r="S858" s="219"/>
      <c r="T858" s="219"/>
      <c r="U858" s="219"/>
      <c r="V858" s="219"/>
      <c r="W858" s="219"/>
      <c r="X858" s="219"/>
      <c r="Y858" s="219"/>
      <c r="Z858" s="219"/>
    </row>
    <row r="859">
      <c r="A859" s="244"/>
      <c r="B859" s="219"/>
      <c r="C859" s="219"/>
      <c r="D859" s="219"/>
      <c r="E859" s="213"/>
      <c r="F859" s="213"/>
      <c r="G859" s="213"/>
      <c r="H859" s="219"/>
      <c r="I859" s="219"/>
      <c r="J859" s="219"/>
      <c r="K859" s="219"/>
      <c r="L859" s="219"/>
      <c r="M859" s="219"/>
      <c r="N859" s="219"/>
      <c r="O859" s="219"/>
      <c r="P859" s="219"/>
      <c r="Q859" s="219"/>
      <c r="R859" s="219"/>
      <c r="S859" s="219"/>
      <c r="T859" s="219"/>
      <c r="U859" s="219"/>
      <c r="V859" s="219"/>
      <c r="W859" s="219"/>
      <c r="X859" s="219"/>
      <c r="Y859" s="219"/>
      <c r="Z859" s="219"/>
    </row>
    <row r="860">
      <c r="A860" s="244"/>
      <c r="B860" s="219"/>
      <c r="C860" s="219"/>
      <c r="D860" s="219"/>
      <c r="E860" s="213"/>
      <c r="F860" s="213"/>
      <c r="G860" s="213"/>
      <c r="H860" s="219"/>
      <c r="I860" s="219"/>
      <c r="J860" s="219"/>
      <c r="K860" s="219"/>
      <c r="L860" s="219"/>
      <c r="M860" s="219"/>
      <c r="N860" s="219"/>
      <c r="O860" s="219"/>
      <c r="P860" s="219"/>
      <c r="Q860" s="219"/>
      <c r="R860" s="219"/>
      <c r="S860" s="219"/>
      <c r="T860" s="219"/>
      <c r="U860" s="219"/>
      <c r="V860" s="219"/>
      <c r="W860" s="219"/>
      <c r="X860" s="219"/>
      <c r="Y860" s="219"/>
      <c r="Z860" s="219"/>
    </row>
    <row r="861">
      <c r="A861" s="244"/>
      <c r="B861" s="219"/>
      <c r="C861" s="219"/>
      <c r="D861" s="219"/>
      <c r="E861" s="213"/>
      <c r="F861" s="213"/>
      <c r="G861" s="213"/>
      <c r="H861" s="219"/>
      <c r="I861" s="219"/>
      <c r="J861" s="219"/>
      <c r="K861" s="219"/>
      <c r="L861" s="219"/>
      <c r="M861" s="219"/>
      <c r="N861" s="219"/>
      <c r="O861" s="219"/>
      <c r="P861" s="219"/>
      <c r="Q861" s="219"/>
      <c r="R861" s="219"/>
      <c r="S861" s="219"/>
      <c r="T861" s="219"/>
      <c r="U861" s="219"/>
      <c r="V861" s="219"/>
      <c r="W861" s="219"/>
      <c r="X861" s="219"/>
      <c r="Y861" s="219"/>
      <c r="Z861" s="219"/>
    </row>
    <row r="862">
      <c r="A862" s="244"/>
      <c r="B862" s="219"/>
      <c r="C862" s="219"/>
      <c r="D862" s="219"/>
      <c r="E862" s="213"/>
      <c r="F862" s="213"/>
      <c r="G862" s="213"/>
      <c r="H862" s="219"/>
      <c r="I862" s="219"/>
      <c r="J862" s="219"/>
      <c r="K862" s="219"/>
      <c r="L862" s="219"/>
      <c r="M862" s="219"/>
      <c r="N862" s="219"/>
      <c r="O862" s="219"/>
      <c r="P862" s="219"/>
      <c r="Q862" s="219"/>
      <c r="R862" s="219"/>
      <c r="S862" s="219"/>
      <c r="T862" s="219"/>
      <c r="U862" s="219"/>
      <c r="V862" s="219"/>
      <c r="W862" s="219"/>
      <c r="X862" s="219"/>
      <c r="Y862" s="219"/>
      <c r="Z862" s="219"/>
    </row>
    <row r="863">
      <c r="A863" s="244"/>
      <c r="B863" s="219"/>
      <c r="C863" s="219"/>
      <c r="D863" s="219"/>
      <c r="E863" s="213"/>
      <c r="F863" s="213"/>
      <c r="G863" s="213"/>
      <c r="H863" s="219"/>
      <c r="I863" s="219"/>
      <c r="J863" s="219"/>
      <c r="K863" s="219"/>
      <c r="L863" s="219"/>
      <c r="M863" s="219"/>
      <c r="N863" s="219"/>
      <c r="O863" s="219"/>
      <c r="P863" s="219"/>
      <c r="Q863" s="219"/>
      <c r="R863" s="219"/>
      <c r="S863" s="219"/>
      <c r="T863" s="219"/>
      <c r="U863" s="219"/>
      <c r="V863" s="219"/>
      <c r="W863" s="219"/>
      <c r="X863" s="219"/>
      <c r="Y863" s="219"/>
      <c r="Z863" s="219"/>
    </row>
    <row r="864">
      <c r="A864" s="244"/>
      <c r="B864" s="219"/>
      <c r="C864" s="219"/>
      <c r="D864" s="219"/>
      <c r="E864" s="213"/>
      <c r="F864" s="213"/>
      <c r="G864" s="213"/>
      <c r="H864" s="219"/>
      <c r="I864" s="219"/>
      <c r="J864" s="219"/>
      <c r="K864" s="219"/>
      <c r="L864" s="219"/>
      <c r="M864" s="219"/>
      <c r="N864" s="219"/>
      <c r="O864" s="219"/>
      <c r="P864" s="219"/>
      <c r="Q864" s="219"/>
      <c r="R864" s="219"/>
      <c r="S864" s="219"/>
      <c r="T864" s="219"/>
      <c r="U864" s="219"/>
      <c r="V864" s="219"/>
      <c r="W864" s="219"/>
      <c r="X864" s="219"/>
      <c r="Y864" s="219"/>
      <c r="Z864" s="219"/>
    </row>
    <row r="865">
      <c r="A865" s="244"/>
      <c r="B865" s="219"/>
      <c r="C865" s="219"/>
      <c r="D865" s="219"/>
      <c r="E865" s="213"/>
      <c r="F865" s="213"/>
      <c r="G865" s="213"/>
      <c r="H865" s="219"/>
      <c r="I865" s="219"/>
      <c r="J865" s="219"/>
      <c r="K865" s="219"/>
      <c r="L865" s="219"/>
      <c r="M865" s="219"/>
      <c r="N865" s="219"/>
      <c r="O865" s="219"/>
      <c r="P865" s="219"/>
      <c r="Q865" s="219"/>
      <c r="R865" s="219"/>
      <c r="S865" s="219"/>
      <c r="T865" s="219"/>
      <c r="U865" s="219"/>
      <c r="V865" s="219"/>
      <c r="W865" s="219"/>
      <c r="X865" s="219"/>
      <c r="Y865" s="219"/>
      <c r="Z865" s="219"/>
    </row>
    <row r="866">
      <c r="A866" s="244"/>
      <c r="B866" s="219"/>
      <c r="C866" s="219"/>
      <c r="D866" s="219"/>
      <c r="E866" s="213"/>
      <c r="F866" s="213"/>
      <c r="G866" s="213"/>
      <c r="H866" s="219"/>
      <c r="I866" s="219"/>
      <c r="J866" s="219"/>
      <c r="K866" s="219"/>
      <c r="L866" s="219"/>
      <c r="M866" s="219"/>
      <c r="N866" s="219"/>
      <c r="O866" s="219"/>
      <c r="P866" s="219"/>
      <c r="Q866" s="219"/>
      <c r="R866" s="219"/>
      <c r="S866" s="219"/>
      <c r="T866" s="219"/>
      <c r="U866" s="219"/>
      <c r="V866" s="219"/>
      <c r="W866" s="219"/>
      <c r="X866" s="219"/>
      <c r="Y866" s="219"/>
      <c r="Z866" s="219"/>
    </row>
    <row r="867">
      <c r="A867" s="244"/>
      <c r="B867" s="219"/>
      <c r="C867" s="219"/>
      <c r="D867" s="219"/>
      <c r="E867" s="213"/>
      <c r="F867" s="213"/>
      <c r="G867" s="213"/>
      <c r="H867" s="219"/>
      <c r="I867" s="219"/>
      <c r="J867" s="219"/>
      <c r="K867" s="219"/>
      <c r="L867" s="219"/>
      <c r="M867" s="219"/>
      <c r="N867" s="219"/>
      <c r="O867" s="219"/>
      <c r="P867" s="219"/>
      <c r="Q867" s="219"/>
      <c r="R867" s="219"/>
      <c r="S867" s="219"/>
      <c r="T867" s="219"/>
      <c r="U867" s="219"/>
      <c r="V867" s="219"/>
      <c r="W867" s="219"/>
      <c r="X867" s="219"/>
      <c r="Y867" s="219"/>
      <c r="Z867" s="219"/>
    </row>
    <row r="868">
      <c r="A868" s="244"/>
      <c r="B868" s="219"/>
      <c r="C868" s="219"/>
      <c r="D868" s="219"/>
      <c r="E868" s="213"/>
      <c r="F868" s="213"/>
      <c r="G868" s="213"/>
      <c r="H868" s="219"/>
      <c r="I868" s="219"/>
      <c r="J868" s="219"/>
      <c r="K868" s="219"/>
      <c r="L868" s="219"/>
      <c r="M868" s="219"/>
      <c r="N868" s="219"/>
      <c r="O868" s="219"/>
      <c r="P868" s="219"/>
      <c r="Q868" s="219"/>
      <c r="R868" s="219"/>
      <c r="S868" s="219"/>
      <c r="T868" s="219"/>
      <c r="U868" s="219"/>
      <c r="V868" s="219"/>
      <c r="W868" s="219"/>
      <c r="X868" s="219"/>
      <c r="Y868" s="219"/>
      <c r="Z868" s="219"/>
    </row>
    <row r="869">
      <c r="A869" s="244"/>
      <c r="B869" s="219"/>
      <c r="C869" s="219"/>
      <c r="D869" s="219"/>
      <c r="E869" s="213"/>
      <c r="F869" s="213"/>
      <c r="G869" s="213"/>
      <c r="H869" s="219"/>
      <c r="I869" s="219"/>
      <c r="J869" s="219"/>
      <c r="K869" s="219"/>
      <c r="L869" s="219"/>
      <c r="M869" s="219"/>
      <c r="N869" s="219"/>
      <c r="O869" s="219"/>
      <c r="P869" s="219"/>
      <c r="Q869" s="219"/>
      <c r="R869" s="219"/>
      <c r="S869" s="219"/>
      <c r="T869" s="219"/>
      <c r="U869" s="219"/>
      <c r="V869" s="219"/>
      <c r="W869" s="219"/>
      <c r="X869" s="219"/>
      <c r="Y869" s="219"/>
      <c r="Z869" s="219"/>
    </row>
    <row r="870">
      <c r="A870" s="244"/>
      <c r="B870" s="219"/>
      <c r="C870" s="219"/>
      <c r="D870" s="219"/>
      <c r="E870" s="213"/>
      <c r="F870" s="213"/>
      <c r="G870" s="213"/>
      <c r="H870" s="219"/>
      <c r="I870" s="219"/>
      <c r="J870" s="219"/>
      <c r="K870" s="219"/>
      <c r="L870" s="219"/>
      <c r="M870" s="219"/>
      <c r="N870" s="219"/>
      <c r="O870" s="219"/>
      <c r="P870" s="219"/>
      <c r="Q870" s="219"/>
      <c r="R870" s="219"/>
      <c r="S870" s="219"/>
      <c r="T870" s="219"/>
      <c r="U870" s="219"/>
      <c r="V870" s="219"/>
      <c r="W870" s="219"/>
      <c r="X870" s="219"/>
      <c r="Y870" s="219"/>
      <c r="Z870" s="219"/>
    </row>
    <row r="871">
      <c r="A871" s="244"/>
      <c r="B871" s="219"/>
      <c r="C871" s="219"/>
      <c r="D871" s="219"/>
      <c r="E871" s="213"/>
      <c r="F871" s="213"/>
      <c r="G871" s="213"/>
      <c r="H871" s="219"/>
      <c r="I871" s="219"/>
      <c r="J871" s="219"/>
      <c r="K871" s="219"/>
      <c r="L871" s="219"/>
      <c r="M871" s="219"/>
      <c r="N871" s="219"/>
      <c r="O871" s="219"/>
      <c r="P871" s="219"/>
      <c r="Q871" s="219"/>
      <c r="R871" s="219"/>
      <c r="S871" s="219"/>
      <c r="T871" s="219"/>
      <c r="U871" s="219"/>
      <c r="V871" s="219"/>
      <c r="W871" s="219"/>
      <c r="X871" s="219"/>
      <c r="Y871" s="219"/>
      <c r="Z871" s="219"/>
    </row>
    <row r="872">
      <c r="A872" s="244"/>
      <c r="B872" s="219"/>
      <c r="C872" s="219"/>
      <c r="D872" s="219"/>
      <c r="E872" s="213"/>
      <c r="F872" s="213"/>
      <c r="G872" s="213"/>
      <c r="H872" s="219"/>
      <c r="I872" s="219"/>
      <c r="J872" s="219"/>
      <c r="K872" s="219"/>
      <c r="L872" s="219"/>
      <c r="M872" s="219"/>
      <c r="N872" s="219"/>
      <c r="O872" s="219"/>
      <c r="P872" s="219"/>
      <c r="Q872" s="219"/>
      <c r="R872" s="219"/>
      <c r="S872" s="219"/>
      <c r="T872" s="219"/>
      <c r="U872" s="219"/>
      <c r="V872" s="219"/>
      <c r="W872" s="219"/>
      <c r="X872" s="219"/>
      <c r="Y872" s="219"/>
      <c r="Z872" s="219"/>
    </row>
    <row r="873">
      <c r="A873" s="244"/>
      <c r="B873" s="219"/>
      <c r="C873" s="219"/>
      <c r="D873" s="219"/>
      <c r="E873" s="213"/>
      <c r="F873" s="213"/>
      <c r="G873" s="213"/>
      <c r="H873" s="219"/>
      <c r="I873" s="219"/>
      <c r="J873" s="219"/>
      <c r="K873" s="219"/>
      <c r="L873" s="219"/>
      <c r="M873" s="219"/>
      <c r="N873" s="219"/>
      <c r="O873" s="219"/>
      <c r="P873" s="219"/>
      <c r="Q873" s="219"/>
      <c r="R873" s="219"/>
      <c r="S873" s="219"/>
      <c r="T873" s="219"/>
      <c r="U873" s="219"/>
      <c r="V873" s="219"/>
      <c r="W873" s="219"/>
      <c r="X873" s="219"/>
      <c r="Y873" s="219"/>
      <c r="Z873" s="219"/>
    </row>
    <row r="874">
      <c r="A874" s="244"/>
      <c r="B874" s="219"/>
      <c r="C874" s="219"/>
      <c r="D874" s="219"/>
      <c r="E874" s="213"/>
      <c r="F874" s="213"/>
      <c r="G874" s="213"/>
      <c r="H874" s="219"/>
      <c r="I874" s="219"/>
      <c r="J874" s="219"/>
      <c r="K874" s="219"/>
      <c r="L874" s="219"/>
      <c r="M874" s="219"/>
      <c r="N874" s="219"/>
      <c r="O874" s="219"/>
      <c r="P874" s="219"/>
      <c r="Q874" s="219"/>
      <c r="R874" s="219"/>
      <c r="S874" s="219"/>
      <c r="T874" s="219"/>
      <c r="U874" s="219"/>
      <c r="V874" s="219"/>
      <c r="W874" s="219"/>
      <c r="X874" s="219"/>
      <c r="Y874" s="219"/>
      <c r="Z874" s="219"/>
    </row>
    <row r="875">
      <c r="A875" s="244"/>
      <c r="B875" s="219"/>
      <c r="C875" s="219"/>
      <c r="D875" s="219"/>
      <c r="E875" s="213"/>
      <c r="F875" s="213"/>
      <c r="G875" s="213"/>
      <c r="H875" s="219"/>
      <c r="I875" s="219"/>
      <c r="J875" s="219"/>
      <c r="K875" s="219"/>
      <c r="L875" s="219"/>
      <c r="M875" s="219"/>
      <c r="N875" s="219"/>
      <c r="O875" s="219"/>
      <c r="P875" s="219"/>
      <c r="Q875" s="219"/>
      <c r="R875" s="219"/>
      <c r="S875" s="219"/>
      <c r="T875" s="219"/>
      <c r="U875" s="219"/>
      <c r="V875" s="219"/>
      <c r="W875" s="219"/>
      <c r="X875" s="219"/>
      <c r="Y875" s="219"/>
      <c r="Z875" s="219"/>
    </row>
    <row r="876">
      <c r="A876" s="244"/>
      <c r="B876" s="219"/>
      <c r="C876" s="219"/>
      <c r="D876" s="219"/>
      <c r="E876" s="213"/>
      <c r="F876" s="213"/>
      <c r="G876" s="213"/>
      <c r="H876" s="219"/>
      <c r="I876" s="219"/>
      <c r="J876" s="219"/>
      <c r="K876" s="219"/>
      <c r="L876" s="219"/>
      <c r="M876" s="219"/>
      <c r="N876" s="219"/>
      <c r="O876" s="219"/>
      <c r="P876" s="219"/>
      <c r="Q876" s="219"/>
      <c r="R876" s="219"/>
      <c r="S876" s="219"/>
      <c r="T876" s="219"/>
      <c r="U876" s="219"/>
      <c r="V876" s="219"/>
      <c r="W876" s="219"/>
      <c r="X876" s="219"/>
      <c r="Y876" s="219"/>
      <c r="Z876" s="219"/>
    </row>
    <row r="877">
      <c r="A877" s="244"/>
      <c r="B877" s="219"/>
      <c r="C877" s="219"/>
      <c r="D877" s="219"/>
      <c r="E877" s="213"/>
      <c r="F877" s="213"/>
      <c r="G877" s="213"/>
      <c r="H877" s="219"/>
      <c r="I877" s="219"/>
      <c r="J877" s="219"/>
      <c r="K877" s="219"/>
      <c r="L877" s="219"/>
      <c r="M877" s="219"/>
      <c r="N877" s="219"/>
      <c r="O877" s="219"/>
      <c r="P877" s="219"/>
      <c r="Q877" s="219"/>
      <c r="R877" s="219"/>
      <c r="S877" s="219"/>
      <c r="T877" s="219"/>
      <c r="U877" s="219"/>
      <c r="V877" s="219"/>
      <c r="W877" s="219"/>
      <c r="X877" s="219"/>
      <c r="Y877" s="219"/>
      <c r="Z877" s="219"/>
    </row>
    <row r="878">
      <c r="A878" s="244"/>
      <c r="B878" s="219"/>
      <c r="C878" s="219"/>
      <c r="D878" s="219"/>
      <c r="E878" s="213"/>
      <c r="F878" s="213"/>
      <c r="G878" s="213"/>
      <c r="H878" s="219"/>
      <c r="I878" s="219"/>
      <c r="J878" s="219"/>
      <c r="K878" s="219"/>
      <c r="L878" s="219"/>
      <c r="M878" s="219"/>
      <c r="N878" s="219"/>
      <c r="O878" s="219"/>
      <c r="P878" s="219"/>
      <c r="Q878" s="219"/>
      <c r="R878" s="219"/>
      <c r="S878" s="219"/>
      <c r="T878" s="219"/>
      <c r="U878" s="219"/>
      <c r="V878" s="219"/>
      <c r="W878" s="219"/>
      <c r="X878" s="219"/>
      <c r="Y878" s="219"/>
      <c r="Z878" s="219"/>
    </row>
    <row r="879">
      <c r="A879" s="244"/>
      <c r="B879" s="219"/>
      <c r="C879" s="219"/>
      <c r="D879" s="219"/>
      <c r="E879" s="213"/>
      <c r="F879" s="213"/>
      <c r="G879" s="213"/>
      <c r="H879" s="219"/>
      <c r="I879" s="219"/>
      <c r="J879" s="219"/>
      <c r="K879" s="219"/>
      <c r="L879" s="219"/>
      <c r="M879" s="219"/>
      <c r="N879" s="219"/>
      <c r="O879" s="219"/>
      <c r="P879" s="219"/>
      <c r="Q879" s="219"/>
      <c r="R879" s="219"/>
      <c r="S879" s="219"/>
      <c r="T879" s="219"/>
      <c r="U879" s="219"/>
      <c r="V879" s="219"/>
      <c r="W879" s="219"/>
      <c r="X879" s="219"/>
      <c r="Y879" s="219"/>
      <c r="Z879" s="219"/>
    </row>
    <row r="880">
      <c r="A880" s="244"/>
      <c r="B880" s="219"/>
      <c r="C880" s="219"/>
      <c r="D880" s="219"/>
      <c r="E880" s="213"/>
      <c r="F880" s="213"/>
      <c r="G880" s="213"/>
      <c r="H880" s="219"/>
      <c r="I880" s="219"/>
      <c r="J880" s="219"/>
      <c r="K880" s="219"/>
      <c r="L880" s="219"/>
      <c r="M880" s="219"/>
      <c r="N880" s="219"/>
      <c r="O880" s="219"/>
      <c r="P880" s="219"/>
      <c r="Q880" s="219"/>
      <c r="R880" s="219"/>
      <c r="S880" s="219"/>
      <c r="T880" s="219"/>
      <c r="U880" s="219"/>
      <c r="V880" s="219"/>
      <c r="W880" s="219"/>
      <c r="X880" s="219"/>
      <c r="Y880" s="219"/>
      <c r="Z880" s="219"/>
    </row>
    <row r="881">
      <c r="A881" s="244"/>
      <c r="B881" s="219"/>
      <c r="C881" s="219"/>
      <c r="D881" s="219"/>
      <c r="E881" s="213"/>
      <c r="F881" s="213"/>
      <c r="G881" s="213"/>
      <c r="H881" s="219"/>
      <c r="I881" s="219"/>
      <c r="J881" s="219"/>
      <c r="K881" s="219"/>
      <c r="L881" s="219"/>
      <c r="M881" s="219"/>
      <c r="N881" s="219"/>
      <c r="O881" s="219"/>
      <c r="P881" s="219"/>
      <c r="Q881" s="219"/>
      <c r="R881" s="219"/>
      <c r="S881" s="219"/>
      <c r="T881" s="219"/>
      <c r="U881" s="219"/>
      <c r="V881" s="219"/>
      <c r="W881" s="219"/>
      <c r="X881" s="219"/>
      <c r="Y881" s="219"/>
      <c r="Z881" s="219"/>
    </row>
    <row r="882">
      <c r="A882" s="244"/>
      <c r="B882" s="219"/>
      <c r="C882" s="219"/>
      <c r="D882" s="219"/>
      <c r="E882" s="213"/>
      <c r="F882" s="213"/>
      <c r="G882" s="213"/>
      <c r="H882" s="219"/>
      <c r="I882" s="219"/>
      <c r="J882" s="219"/>
      <c r="K882" s="219"/>
      <c r="L882" s="219"/>
      <c r="M882" s="219"/>
      <c r="N882" s="219"/>
      <c r="O882" s="219"/>
      <c r="P882" s="219"/>
      <c r="Q882" s="219"/>
      <c r="R882" s="219"/>
      <c r="S882" s="219"/>
      <c r="T882" s="219"/>
      <c r="U882" s="219"/>
      <c r="V882" s="219"/>
      <c r="W882" s="219"/>
      <c r="X882" s="219"/>
      <c r="Y882" s="219"/>
      <c r="Z882" s="219"/>
    </row>
    <row r="883">
      <c r="A883" s="244"/>
      <c r="B883" s="219"/>
      <c r="C883" s="219"/>
      <c r="D883" s="219"/>
      <c r="E883" s="213"/>
      <c r="F883" s="213"/>
      <c r="G883" s="213"/>
      <c r="H883" s="219"/>
      <c r="I883" s="219"/>
      <c r="J883" s="219"/>
      <c r="K883" s="219"/>
      <c r="L883" s="219"/>
      <c r="M883" s="219"/>
      <c r="N883" s="219"/>
      <c r="O883" s="219"/>
      <c r="P883" s="219"/>
      <c r="Q883" s="219"/>
      <c r="R883" s="219"/>
      <c r="S883" s="219"/>
      <c r="T883" s="219"/>
      <c r="U883" s="219"/>
      <c r="V883" s="219"/>
      <c r="W883" s="219"/>
      <c r="X883" s="219"/>
      <c r="Y883" s="219"/>
      <c r="Z883" s="219"/>
    </row>
    <row r="884">
      <c r="A884" s="244"/>
      <c r="B884" s="219"/>
      <c r="C884" s="219"/>
      <c r="D884" s="219"/>
      <c r="E884" s="213"/>
      <c r="F884" s="213"/>
      <c r="G884" s="213"/>
      <c r="H884" s="219"/>
      <c r="I884" s="219"/>
      <c r="J884" s="219"/>
      <c r="K884" s="219"/>
      <c r="L884" s="219"/>
      <c r="M884" s="219"/>
      <c r="N884" s="219"/>
      <c r="O884" s="219"/>
      <c r="P884" s="219"/>
      <c r="Q884" s="219"/>
      <c r="R884" s="219"/>
      <c r="S884" s="219"/>
      <c r="T884" s="219"/>
      <c r="U884" s="219"/>
      <c r="V884" s="219"/>
      <c r="W884" s="219"/>
      <c r="X884" s="219"/>
      <c r="Y884" s="219"/>
      <c r="Z884" s="219"/>
    </row>
    <row r="885">
      <c r="A885" s="244"/>
      <c r="B885" s="219"/>
      <c r="C885" s="219"/>
      <c r="D885" s="219"/>
      <c r="E885" s="213"/>
      <c r="F885" s="213"/>
      <c r="G885" s="213"/>
      <c r="H885" s="219"/>
      <c r="I885" s="219"/>
      <c r="J885" s="219"/>
      <c r="K885" s="219"/>
      <c r="L885" s="219"/>
      <c r="M885" s="219"/>
      <c r="N885" s="219"/>
      <c r="O885" s="219"/>
      <c r="P885" s="219"/>
      <c r="Q885" s="219"/>
      <c r="R885" s="219"/>
      <c r="S885" s="219"/>
      <c r="T885" s="219"/>
      <c r="U885" s="219"/>
      <c r="V885" s="219"/>
      <c r="W885" s="219"/>
      <c r="X885" s="219"/>
      <c r="Y885" s="219"/>
      <c r="Z885" s="219"/>
    </row>
    <row r="886">
      <c r="A886" s="244"/>
      <c r="B886" s="219"/>
      <c r="C886" s="219"/>
      <c r="D886" s="219"/>
      <c r="E886" s="213"/>
      <c r="F886" s="213"/>
      <c r="G886" s="213"/>
      <c r="H886" s="219"/>
      <c r="I886" s="219"/>
      <c r="J886" s="219"/>
      <c r="K886" s="219"/>
      <c r="L886" s="219"/>
      <c r="M886" s="219"/>
      <c r="N886" s="219"/>
      <c r="O886" s="219"/>
      <c r="P886" s="219"/>
      <c r="Q886" s="219"/>
      <c r="R886" s="219"/>
      <c r="S886" s="219"/>
      <c r="T886" s="219"/>
      <c r="U886" s="219"/>
      <c r="V886" s="219"/>
      <c r="W886" s="219"/>
      <c r="X886" s="219"/>
      <c r="Y886" s="219"/>
      <c r="Z886" s="219"/>
    </row>
    <row r="887">
      <c r="A887" s="244"/>
      <c r="B887" s="219"/>
      <c r="C887" s="219"/>
      <c r="D887" s="219"/>
      <c r="E887" s="213"/>
      <c r="F887" s="213"/>
      <c r="G887" s="213"/>
      <c r="H887" s="219"/>
      <c r="I887" s="219"/>
      <c r="J887" s="219"/>
      <c r="K887" s="219"/>
      <c r="L887" s="219"/>
      <c r="M887" s="219"/>
      <c r="N887" s="219"/>
      <c r="O887" s="219"/>
      <c r="P887" s="219"/>
      <c r="Q887" s="219"/>
      <c r="R887" s="219"/>
      <c r="S887" s="219"/>
      <c r="T887" s="219"/>
      <c r="U887" s="219"/>
      <c r="V887" s="219"/>
      <c r="W887" s="219"/>
      <c r="X887" s="219"/>
      <c r="Y887" s="219"/>
      <c r="Z887" s="219"/>
    </row>
    <row r="888">
      <c r="A888" s="244"/>
      <c r="B888" s="219"/>
      <c r="C888" s="219"/>
      <c r="D888" s="219"/>
      <c r="E888" s="213"/>
      <c r="F888" s="213"/>
      <c r="G888" s="213"/>
      <c r="H888" s="219"/>
      <c r="I888" s="219"/>
      <c r="J888" s="219"/>
      <c r="K888" s="219"/>
      <c r="L888" s="219"/>
      <c r="M888" s="219"/>
      <c r="N888" s="219"/>
      <c r="O888" s="219"/>
      <c r="P888" s="219"/>
      <c r="Q888" s="219"/>
      <c r="R888" s="219"/>
      <c r="S888" s="219"/>
      <c r="T888" s="219"/>
      <c r="U888" s="219"/>
      <c r="V888" s="219"/>
      <c r="W888" s="219"/>
      <c r="X888" s="219"/>
      <c r="Y888" s="219"/>
      <c r="Z888" s="219"/>
    </row>
    <row r="889">
      <c r="A889" s="244"/>
      <c r="B889" s="219"/>
      <c r="C889" s="219"/>
      <c r="D889" s="219"/>
      <c r="E889" s="213"/>
      <c r="F889" s="213"/>
      <c r="G889" s="213"/>
      <c r="H889" s="219"/>
      <c r="I889" s="219"/>
      <c r="J889" s="219"/>
      <c r="K889" s="219"/>
      <c r="L889" s="219"/>
      <c r="M889" s="219"/>
      <c r="N889" s="219"/>
      <c r="O889" s="219"/>
      <c r="P889" s="219"/>
      <c r="Q889" s="219"/>
      <c r="R889" s="219"/>
      <c r="S889" s="219"/>
      <c r="T889" s="219"/>
      <c r="U889" s="219"/>
      <c r="V889" s="219"/>
      <c r="W889" s="219"/>
      <c r="X889" s="219"/>
      <c r="Y889" s="219"/>
      <c r="Z889" s="219"/>
    </row>
    <row r="890">
      <c r="A890" s="244"/>
      <c r="B890" s="219"/>
      <c r="C890" s="219"/>
      <c r="D890" s="219"/>
      <c r="E890" s="213"/>
      <c r="F890" s="213"/>
      <c r="G890" s="213"/>
      <c r="H890" s="219"/>
      <c r="I890" s="219"/>
      <c r="J890" s="219"/>
      <c r="K890" s="219"/>
      <c r="L890" s="219"/>
      <c r="M890" s="219"/>
      <c r="N890" s="219"/>
      <c r="O890" s="219"/>
      <c r="P890" s="219"/>
      <c r="Q890" s="219"/>
      <c r="R890" s="219"/>
      <c r="S890" s="219"/>
      <c r="T890" s="219"/>
      <c r="U890" s="219"/>
      <c r="V890" s="219"/>
      <c r="W890" s="219"/>
      <c r="X890" s="219"/>
      <c r="Y890" s="219"/>
      <c r="Z890" s="219"/>
    </row>
    <row r="891">
      <c r="A891" s="244"/>
      <c r="B891" s="219"/>
      <c r="C891" s="219"/>
      <c r="D891" s="219"/>
      <c r="E891" s="213"/>
      <c r="F891" s="213"/>
      <c r="G891" s="213"/>
      <c r="H891" s="219"/>
      <c r="I891" s="219"/>
      <c r="J891" s="219"/>
      <c r="K891" s="219"/>
      <c r="L891" s="219"/>
      <c r="M891" s="219"/>
      <c r="N891" s="219"/>
      <c r="O891" s="219"/>
      <c r="P891" s="219"/>
      <c r="Q891" s="219"/>
      <c r="R891" s="219"/>
      <c r="S891" s="219"/>
      <c r="T891" s="219"/>
      <c r="U891" s="219"/>
      <c r="V891" s="219"/>
      <c r="W891" s="219"/>
      <c r="X891" s="219"/>
      <c r="Y891" s="219"/>
      <c r="Z891" s="219"/>
    </row>
    <row r="892">
      <c r="A892" s="244"/>
      <c r="B892" s="219"/>
      <c r="C892" s="219"/>
      <c r="D892" s="219"/>
      <c r="E892" s="213"/>
      <c r="F892" s="213"/>
      <c r="G892" s="213"/>
      <c r="H892" s="219"/>
      <c r="I892" s="219"/>
      <c r="J892" s="219"/>
      <c r="K892" s="219"/>
      <c r="L892" s="219"/>
      <c r="M892" s="219"/>
      <c r="N892" s="219"/>
      <c r="O892" s="219"/>
      <c r="P892" s="219"/>
      <c r="Q892" s="219"/>
      <c r="R892" s="219"/>
      <c r="S892" s="219"/>
      <c r="T892" s="219"/>
      <c r="U892" s="219"/>
      <c r="V892" s="219"/>
      <c r="W892" s="219"/>
      <c r="X892" s="219"/>
      <c r="Y892" s="219"/>
      <c r="Z892" s="219"/>
    </row>
    <row r="893">
      <c r="A893" s="244"/>
      <c r="B893" s="219"/>
      <c r="C893" s="219"/>
      <c r="D893" s="219"/>
      <c r="E893" s="213"/>
      <c r="F893" s="213"/>
      <c r="G893" s="213"/>
      <c r="H893" s="219"/>
      <c r="I893" s="219"/>
      <c r="J893" s="219"/>
      <c r="K893" s="219"/>
      <c r="L893" s="219"/>
      <c r="M893" s="219"/>
      <c r="N893" s="219"/>
      <c r="O893" s="219"/>
      <c r="P893" s="219"/>
      <c r="Q893" s="219"/>
      <c r="R893" s="219"/>
      <c r="S893" s="219"/>
      <c r="T893" s="219"/>
      <c r="U893" s="219"/>
      <c r="V893" s="219"/>
      <c r="W893" s="219"/>
      <c r="X893" s="219"/>
      <c r="Y893" s="219"/>
      <c r="Z893" s="219"/>
    </row>
    <row r="894">
      <c r="A894" s="244"/>
      <c r="B894" s="219"/>
      <c r="C894" s="219"/>
      <c r="D894" s="219"/>
      <c r="E894" s="213"/>
      <c r="F894" s="213"/>
      <c r="G894" s="213"/>
      <c r="H894" s="219"/>
      <c r="I894" s="219"/>
      <c r="J894" s="219"/>
      <c r="K894" s="219"/>
      <c r="L894" s="219"/>
      <c r="M894" s="219"/>
      <c r="N894" s="219"/>
      <c r="O894" s="219"/>
      <c r="P894" s="219"/>
      <c r="Q894" s="219"/>
      <c r="R894" s="219"/>
      <c r="S894" s="219"/>
      <c r="T894" s="219"/>
      <c r="U894" s="219"/>
      <c r="V894" s="219"/>
      <c r="W894" s="219"/>
      <c r="X894" s="219"/>
      <c r="Y894" s="219"/>
      <c r="Z894" s="219"/>
    </row>
    <row r="895">
      <c r="A895" s="244"/>
      <c r="B895" s="219"/>
      <c r="C895" s="219"/>
      <c r="D895" s="219"/>
      <c r="E895" s="213"/>
      <c r="F895" s="213"/>
      <c r="G895" s="213"/>
      <c r="H895" s="219"/>
      <c r="I895" s="219"/>
      <c r="J895" s="219"/>
      <c r="K895" s="219"/>
      <c r="L895" s="219"/>
      <c r="M895" s="219"/>
      <c r="N895" s="219"/>
      <c r="O895" s="219"/>
      <c r="P895" s="219"/>
      <c r="Q895" s="219"/>
      <c r="R895" s="219"/>
      <c r="S895" s="219"/>
      <c r="T895" s="219"/>
      <c r="U895" s="219"/>
      <c r="V895" s="219"/>
      <c r="W895" s="219"/>
      <c r="X895" s="219"/>
      <c r="Y895" s="219"/>
      <c r="Z895" s="219"/>
    </row>
    <row r="896">
      <c r="A896" s="244"/>
      <c r="B896" s="219"/>
      <c r="C896" s="219"/>
      <c r="D896" s="219"/>
      <c r="E896" s="213"/>
      <c r="F896" s="213"/>
      <c r="G896" s="213"/>
      <c r="H896" s="219"/>
      <c r="I896" s="219"/>
      <c r="J896" s="219"/>
      <c r="K896" s="219"/>
      <c r="L896" s="219"/>
      <c r="M896" s="219"/>
      <c r="N896" s="219"/>
      <c r="O896" s="219"/>
      <c r="P896" s="219"/>
      <c r="Q896" s="219"/>
      <c r="R896" s="219"/>
      <c r="S896" s="219"/>
      <c r="T896" s="219"/>
      <c r="U896" s="219"/>
      <c r="V896" s="219"/>
      <c r="W896" s="219"/>
      <c r="X896" s="219"/>
      <c r="Y896" s="219"/>
      <c r="Z896" s="219"/>
    </row>
    <row r="897">
      <c r="A897" s="244"/>
      <c r="B897" s="219"/>
      <c r="C897" s="219"/>
      <c r="D897" s="219"/>
      <c r="E897" s="213"/>
      <c r="F897" s="213"/>
      <c r="G897" s="213"/>
      <c r="H897" s="219"/>
      <c r="I897" s="219"/>
      <c r="J897" s="219"/>
      <c r="K897" s="219"/>
      <c r="L897" s="219"/>
      <c r="M897" s="219"/>
      <c r="N897" s="219"/>
      <c r="O897" s="219"/>
      <c r="P897" s="219"/>
      <c r="Q897" s="219"/>
      <c r="R897" s="219"/>
      <c r="S897" s="219"/>
      <c r="T897" s="219"/>
      <c r="U897" s="219"/>
      <c r="V897" s="219"/>
      <c r="W897" s="219"/>
      <c r="X897" s="219"/>
      <c r="Y897" s="219"/>
      <c r="Z897" s="219"/>
    </row>
    <row r="898">
      <c r="A898" s="244"/>
      <c r="B898" s="219"/>
      <c r="C898" s="219"/>
      <c r="D898" s="219"/>
      <c r="E898" s="213"/>
      <c r="F898" s="213"/>
      <c r="G898" s="213"/>
      <c r="H898" s="219"/>
      <c r="I898" s="219"/>
      <c r="J898" s="219"/>
      <c r="K898" s="219"/>
      <c r="L898" s="219"/>
      <c r="M898" s="219"/>
      <c r="N898" s="219"/>
      <c r="O898" s="219"/>
      <c r="P898" s="219"/>
      <c r="Q898" s="219"/>
      <c r="R898" s="219"/>
      <c r="S898" s="219"/>
      <c r="T898" s="219"/>
      <c r="U898" s="219"/>
      <c r="V898" s="219"/>
      <c r="W898" s="219"/>
      <c r="X898" s="219"/>
      <c r="Y898" s="219"/>
      <c r="Z898" s="219"/>
    </row>
    <row r="899">
      <c r="A899" s="244"/>
      <c r="B899" s="219"/>
      <c r="C899" s="219"/>
      <c r="D899" s="219"/>
      <c r="E899" s="213"/>
      <c r="F899" s="213"/>
      <c r="G899" s="213"/>
      <c r="H899" s="219"/>
      <c r="I899" s="219"/>
      <c r="J899" s="219"/>
      <c r="K899" s="219"/>
      <c r="L899" s="219"/>
      <c r="M899" s="219"/>
      <c r="N899" s="219"/>
      <c r="O899" s="219"/>
      <c r="P899" s="219"/>
      <c r="Q899" s="219"/>
      <c r="R899" s="219"/>
      <c r="S899" s="219"/>
      <c r="T899" s="219"/>
      <c r="U899" s="219"/>
      <c r="V899" s="219"/>
      <c r="W899" s="219"/>
      <c r="X899" s="219"/>
      <c r="Y899" s="219"/>
      <c r="Z899" s="219"/>
    </row>
    <row r="900">
      <c r="A900" s="244"/>
      <c r="B900" s="219"/>
      <c r="C900" s="219"/>
      <c r="D900" s="219"/>
      <c r="E900" s="213"/>
      <c r="F900" s="213"/>
      <c r="G900" s="213"/>
      <c r="H900" s="219"/>
      <c r="I900" s="219"/>
      <c r="J900" s="219"/>
      <c r="K900" s="219"/>
      <c r="L900" s="219"/>
      <c r="M900" s="219"/>
      <c r="N900" s="219"/>
      <c r="O900" s="219"/>
      <c r="P900" s="219"/>
      <c r="Q900" s="219"/>
      <c r="R900" s="219"/>
      <c r="S900" s="219"/>
      <c r="T900" s="219"/>
      <c r="U900" s="219"/>
      <c r="V900" s="219"/>
      <c r="W900" s="219"/>
      <c r="X900" s="219"/>
      <c r="Y900" s="219"/>
      <c r="Z900" s="219"/>
    </row>
    <row r="901">
      <c r="A901" s="244"/>
      <c r="B901" s="219"/>
      <c r="C901" s="219"/>
      <c r="D901" s="219"/>
      <c r="E901" s="213"/>
      <c r="F901" s="213"/>
      <c r="G901" s="213"/>
      <c r="H901" s="219"/>
      <c r="I901" s="219"/>
      <c r="J901" s="219"/>
      <c r="K901" s="219"/>
      <c r="L901" s="219"/>
      <c r="M901" s="219"/>
      <c r="N901" s="219"/>
      <c r="O901" s="219"/>
      <c r="P901" s="219"/>
      <c r="Q901" s="219"/>
      <c r="R901" s="219"/>
      <c r="S901" s="219"/>
      <c r="T901" s="219"/>
      <c r="U901" s="219"/>
      <c r="V901" s="219"/>
      <c r="W901" s="219"/>
      <c r="X901" s="219"/>
      <c r="Y901" s="219"/>
      <c r="Z901" s="219"/>
    </row>
    <row r="902">
      <c r="A902" s="244"/>
      <c r="B902" s="219"/>
      <c r="C902" s="219"/>
      <c r="D902" s="219"/>
      <c r="E902" s="213"/>
      <c r="F902" s="213"/>
      <c r="G902" s="213"/>
      <c r="H902" s="219"/>
      <c r="I902" s="219"/>
      <c r="J902" s="219"/>
      <c r="K902" s="219"/>
      <c r="L902" s="219"/>
      <c r="M902" s="219"/>
      <c r="N902" s="219"/>
      <c r="O902" s="219"/>
      <c r="P902" s="219"/>
      <c r="Q902" s="219"/>
      <c r="R902" s="219"/>
      <c r="S902" s="219"/>
      <c r="T902" s="219"/>
      <c r="U902" s="219"/>
      <c r="V902" s="219"/>
      <c r="W902" s="219"/>
      <c r="X902" s="219"/>
      <c r="Y902" s="219"/>
      <c r="Z902" s="219"/>
    </row>
    <row r="903">
      <c r="A903" s="244"/>
      <c r="B903" s="219"/>
      <c r="C903" s="219"/>
      <c r="D903" s="219"/>
      <c r="E903" s="213"/>
      <c r="F903" s="213"/>
      <c r="G903" s="213"/>
      <c r="H903" s="219"/>
      <c r="I903" s="219"/>
      <c r="J903" s="219"/>
      <c r="K903" s="219"/>
      <c r="L903" s="219"/>
      <c r="M903" s="219"/>
      <c r="N903" s="219"/>
      <c r="O903" s="219"/>
      <c r="P903" s="219"/>
      <c r="Q903" s="219"/>
      <c r="R903" s="219"/>
      <c r="S903" s="219"/>
      <c r="T903" s="219"/>
      <c r="U903" s="219"/>
      <c r="V903" s="219"/>
      <c r="W903" s="219"/>
      <c r="X903" s="219"/>
      <c r="Y903" s="219"/>
      <c r="Z903" s="219"/>
    </row>
    <row r="904">
      <c r="A904" s="244"/>
      <c r="B904" s="219"/>
      <c r="C904" s="219"/>
      <c r="D904" s="219"/>
      <c r="E904" s="213"/>
      <c r="F904" s="213"/>
      <c r="G904" s="213"/>
      <c r="H904" s="219"/>
      <c r="I904" s="219"/>
      <c r="J904" s="219"/>
      <c r="K904" s="219"/>
      <c r="L904" s="219"/>
      <c r="M904" s="219"/>
      <c r="N904" s="219"/>
      <c r="O904" s="219"/>
      <c r="P904" s="219"/>
      <c r="Q904" s="219"/>
      <c r="R904" s="219"/>
      <c r="S904" s="219"/>
      <c r="T904" s="219"/>
      <c r="U904" s="219"/>
      <c r="V904" s="219"/>
      <c r="W904" s="219"/>
      <c r="X904" s="219"/>
      <c r="Y904" s="219"/>
      <c r="Z904" s="219"/>
    </row>
    <row r="905">
      <c r="A905" s="244"/>
      <c r="B905" s="219"/>
      <c r="C905" s="219"/>
      <c r="D905" s="219"/>
      <c r="E905" s="213"/>
      <c r="F905" s="213"/>
      <c r="G905" s="213"/>
      <c r="H905" s="219"/>
      <c r="I905" s="219"/>
      <c r="J905" s="219"/>
      <c r="K905" s="219"/>
      <c r="L905" s="219"/>
      <c r="M905" s="219"/>
      <c r="N905" s="219"/>
      <c r="O905" s="219"/>
      <c r="P905" s="219"/>
      <c r="Q905" s="219"/>
      <c r="R905" s="219"/>
      <c r="S905" s="219"/>
      <c r="T905" s="219"/>
      <c r="U905" s="219"/>
      <c r="V905" s="219"/>
      <c r="W905" s="219"/>
      <c r="X905" s="219"/>
      <c r="Y905" s="219"/>
      <c r="Z905" s="219"/>
    </row>
    <row r="906">
      <c r="A906" s="244"/>
      <c r="B906" s="219"/>
      <c r="C906" s="219"/>
      <c r="D906" s="219"/>
      <c r="E906" s="213"/>
      <c r="F906" s="213"/>
      <c r="G906" s="213"/>
      <c r="H906" s="219"/>
      <c r="I906" s="219"/>
      <c r="J906" s="219"/>
      <c r="K906" s="219"/>
      <c r="L906" s="219"/>
      <c r="M906" s="219"/>
      <c r="N906" s="219"/>
      <c r="O906" s="219"/>
      <c r="P906" s="219"/>
      <c r="Q906" s="219"/>
      <c r="R906" s="219"/>
      <c r="S906" s="219"/>
      <c r="T906" s="219"/>
      <c r="U906" s="219"/>
      <c r="V906" s="219"/>
      <c r="W906" s="219"/>
      <c r="X906" s="219"/>
      <c r="Y906" s="219"/>
      <c r="Z906" s="219"/>
    </row>
    <row r="907">
      <c r="A907" s="244"/>
      <c r="B907" s="219"/>
      <c r="C907" s="219"/>
      <c r="D907" s="219"/>
      <c r="E907" s="213"/>
      <c r="F907" s="213"/>
      <c r="G907" s="213"/>
      <c r="H907" s="219"/>
      <c r="I907" s="219"/>
      <c r="J907" s="219"/>
      <c r="K907" s="219"/>
      <c r="L907" s="219"/>
      <c r="M907" s="219"/>
      <c r="N907" s="219"/>
      <c r="O907" s="219"/>
      <c r="P907" s="219"/>
      <c r="Q907" s="219"/>
      <c r="R907" s="219"/>
      <c r="S907" s="219"/>
      <c r="T907" s="219"/>
      <c r="U907" s="219"/>
      <c r="V907" s="219"/>
      <c r="W907" s="219"/>
      <c r="X907" s="219"/>
      <c r="Y907" s="219"/>
      <c r="Z907" s="219"/>
    </row>
    <row r="908">
      <c r="A908" s="244"/>
      <c r="B908" s="219"/>
      <c r="C908" s="219"/>
      <c r="D908" s="219"/>
      <c r="E908" s="213"/>
      <c r="F908" s="213"/>
      <c r="G908" s="213"/>
      <c r="H908" s="219"/>
      <c r="I908" s="219"/>
      <c r="J908" s="219"/>
      <c r="K908" s="219"/>
      <c r="L908" s="219"/>
      <c r="M908" s="219"/>
      <c r="N908" s="219"/>
      <c r="O908" s="219"/>
      <c r="P908" s="219"/>
      <c r="Q908" s="219"/>
      <c r="R908" s="219"/>
      <c r="S908" s="219"/>
      <c r="T908" s="219"/>
      <c r="U908" s="219"/>
      <c r="V908" s="219"/>
      <c r="W908" s="219"/>
      <c r="X908" s="219"/>
      <c r="Y908" s="219"/>
      <c r="Z908" s="219"/>
    </row>
    <row r="909">
      <c r="A909" s="244"/>
      <c r="B909" s="219"/>
      <c r="C909" s="219"/>
      <c r="D909" s="219"/>
      <c r="E909" s="213"/>
      <c r="F909" s="213"/>
      <c r="G909" s="213"/>
      <c r="H909" s="219"/>
      <c r="I909" s="219"/>
      <c r="J909" s="219"/>
      <c r="K909" s="219"/>
      <c r="L909" s="219"/>
      <c r="M909" s="219"/>
      <c r="N909" s="219"/>
      <c r="O909" s="219"/>
      <c r="P909" s="219"/>
      <c r="Q909" s="219"/>
      <c r="R909" s="219"/>
      <c r="S909" s="219"/>
      <c r="T909" s="219"/>
      <c r="U909" s="219"/>
      <c r="V909" s="219"/>
      <c r="W909" s="219"/>
      <c r="X909" s="219"/>
      <c r="Y909" s="219"/>
      <c r="Z909" s="219"/>
    </row>
    <row r="910">
      <c r="A910" s="244"/>
      <c r="B910" s="219"/>
      <c r="C910" s="219"/>
      <c r="D910" s="219"/>
      <c r="E910" s="213"/>
      <c r="F910" s="213"/>
      <c r="G910" s="213"/>
      <c r="H910" s="219"/>
      <c r="I910" s="219"/>
      <c r="J910" s="219"/>
      <c r="K910" s="219"/>
      <c r="L910" s="219"/>
      <c r="M910" s="219"/>
      <c r="N910" s="219"/>
      <c r="O910" s="219"/>
      <c r="P910" s="219"/>
      <c r="Q910" s="219"/>
      <c r="R910" s="219"/>
      <c r="S910" s="219"/>
      <c r="T910" s="219"/>
      <c r="U910" s="219"/>
      <c r="V910" s="219"/>
      <c r="W910" s="219"/>
      <c r="X910" s="219"/>
      <c r="Y910" s="219"/>
      <c r="Z910" s="219"/>
    </row>
    <row r="911">
      <c r="A911" s="244"/>
      <c r="B911" s="219"/>
      <c r="C911" s="219"/>
      <c r="D911" s="219"/>
      <c r="E911" s="213"/>
      <c r="F911" s="213"/>
      <c r="G911" s="213"/>
      <c r="H911" s="219"/>
      <c r="I911" s="219"/>
      <c r="J911" s="219"/>
      <c r="K911" s="219"/>
      <c r="L911" s="219"/>
      <c r="M911" s="219"/>
      <c r="N911" s="219"/>
      <c r="O911" s="219"/>
      <c r="P911" s="219"/>
      <c r="Q911" s="219"/>
      <c r="R911" s="219"/>
      <c r="S911" s="219"/>
      <c r="T911" s="219"/>
      <c r="U911" s="219"/>
      <c r="V911" s="219"/>
      <c r="W911" s="219"/>
      <c r="X911" s="219"/>
      <c r="Y911" s="219"/>
      <c r="Z911" s="219"/>
    </row>
    <row r="912">
      <c r="A912" s="244"/>
      <c r="B912" s="219"/>
      <c r="C912" s="219"/>
      <c r="D912" s="219"/>
      <c r="E912" s="213"/>
      <c r="F912" s="213"/>
      <c r="G912" s="213"/>
      <c r="H912" s="219"/>
      <c r="I912" s="219"/>
      <c r="J912" s="219"/>
      <c r="K912" s="219"/>
      <c r="L912" s="219"/>
      <c r="M912" s="219"/>
      <c r="N912" s="219"/>
      <c r="O912" s="219"/>
      <c r="P912" s="219"/>
      <c r="Q912" s="219"/>
      <c r="R912" s="219"/>
      <c r="S912" s="219"/>
      <c r="T912" s="219"/>
      <c r="U912" s="219"/>
      <c r="V912" s="219"/>
      <c r="W912" s="219"/>
      <c r="X912" s="219"/>
      <c r="Y912" s="219"/>
      <c r="Z912" s="219"/>
    </row>
    <row r="913">
      <c r="A913" s="244"/>
      <c r="B913" s="219"/>
      <c r="C913" s="219"/>
      <c r="D913" s="219"/>
      <c r="E913" s="213"/>
      <c r="F913" s="213"/>
      <c r="G913" s="213"/>
      <c r="H913" s="219"/>
      <c r="I913" s="219"/>
      <c r="J913" s="219"/>
      <c r="K913" s="219"/>
      <c r="L913" s="219"/>
      <c r="M913" s="219"/>
      <c r="N913" s="219"/>
      <c r="O913" s="219"/>
      <c r="P913" s="219"/>
      <c r="Q913" s="219"/>
      <c r="R913" s="219"/>
      <c r="S913" s="219"/>
      <c r="T913" s="219"/>
      <c r="U913" s="219"/>
      <c r="V913" s="219"/>
      <c r="W913" s="219"/>
      <c r="X913" s="219"/>
      <c r="Y913" s="219"/>
      <c r="Z913" s="219"/>
    </row>
    <row r="914">
      <c r="A914" s="244"/>
      <c r="B914" s="219"/>
      <c r="C914" s="219"/>
      <c r="D914" s="219"/>
      <c r="E914" s="213"/>
      <c r="F914" s="213"/>
      <c r="G914" s="213"/>
      <c r="H914" s="219"/>
      <c r="I914" s="219"/>
      <c r="J914" s="219"/>
      <c r="K914" s="219"/>
      <c r="L914" s="219"/>
      <c r="M914" s="219"/>
      <c r="N914" s="219"/>
      <c r="O914" s="219"/>
      <c r="P914" s="219"/>
      <c r="Q914" s="219"/>
      <c r="R914" s="219"/>
      <c r="S914" s="219"/>
      <c r="T914" s="219"/>
      <c r="U914" s="219"/>
      <c r="V914" s="219"/>
      <c r="W914" s="219"/>
      <c r="X914" s="219"/>
      <c r="Y914" s="219"/>
      <c r="Z914" s="219"/>
    </row>
    <row r="915">
      <c r="A915" s="244"/>
      <c r="B915" s="219"/>
      <c r="C915" s="219"/>
      <c r="D915" s="219"/>
      <c r="E915" s="213"/>
      <c r="F915" s="213"/>
      <c r="G915" s="213"/>
      <c r="H915" s="219"/>
      <c r="I915" s="219"/>
      <c r="J915" s="219"/>
      <c r="K915" s="219"/>
      <c r="L915" s="219"/>
      <c r="M915" s="219"/>
      <c r="N915" s="219"/>
      <c r="O915" s="219"/>
      <c r="P915" s="219"/>
      <c r="Q915" s="219"/>
      <c r="R915" s="219"/>
      <c r="S915" s="219"/>
      <c r="T915" s="219"/>
      <c r="U915" s="219"/>
      <c r="V915" s="219"/>
      <c r="W915" s="219"/>
      <c r="X915" s="219"/>
      <c r="Y915" s="219"/>
      <c r="Z915" s="219"/>
    </row>
    <row r="916">
      <c r="A916" s="244"/>
      <c r="B916" s="219"/>
      <c r="C916" s="219"/>
      <c r="D916" s="219"/>
      <c r="E916" s="213"/>
      <c r="F916" s="213"/>
      <c r="G916" s="213"/>
      <c r="H916" s="219"/>
      <c r="I916" s="219"/>
      <c r="J916" s="219"/>
      <c r="K916" s="219"/>
      <c r="L916" s="219"/>
      <c r="M916" s="219"/>
      <c r="N916" s="219"/>
      <c r="O916" s="219"/>
      <c r="P916" s="219"/>
      <c r="Q916" s="219"/>
      <c r="R916" s="219"/>
      <c r="S916" s="219"/>
      <c r="T916" s="219"/>
      <c r="U916" s="219"/>
      <c r="V916" s="219"/>
      <c r="W916" s="219"/>
      <c r="X916" s="219"/>
      <c r="Y916" s="219"/>
      <c r="Z916" s="219"/>
    </row>
    <row r="917">
      <c r="A917" s="244"/>
      <c r="B917" s="219"/>
      <c r="C917" s="219"/>
      <c r="D917" s="219"/>
      <c r="E917" s="213"/>
      <c r="F917" s="213"/>
      <c r="G917" s="213"/>
      <c r="H917" s="219"/>
      <c r="I917" s="219"/>
      <c r="J917" s="219"/>
      <c r="K917" s="219"/>
      <c r="L917" s="219"/>
      <c r="M917" s="219"/>
      <c r="N917" s="219"/>
      <c r="O917" s="219"/>
      <c r="P917" s="219"/>
      <c r="Q917" s="219"/>
      <c r="R917" s="219"/>
      <c r="S917" s="219"/>
      <c r="T917" s="219"/>
      <c r="U917" s="219"/>
      <c r="V917" s="219"/>
      <c r="W917" s="219"/>
      <c r="X917" s="219"/>
      <c r="Y917" s="219"/>
      <c r="Z917" s="219"/>
    </row>
    <row r="918">
      <c r="A918" s="244"/>
      <c r="B918" s="219"/>
      <c r="C918" s="219"/>
      <c r="D918" s="219"/>
      <c r="E918" s="213"/>
      <c r="F918" s="213"/>
      <c r="G918" s="213"/>
      <c r="H918" s="219"/>
      <c r="I918" s="219"/>
      <c r="J918" s="219"/>
      <c r="K918" s="219"/>
      <c r="L918" s="219"/>
      <c r="M918" s="219"/>
      <c r="N918" s="219"/>
      <c r="O918" s="219"/>
      <c r="P918" s="219"/>
      <c r="Q918" s="219"/>
      <c r="R918" s="219"/>
      <c r="S918" s="219"/>
      <c r="T918" s="219"/>
      <c r="U918" s="219"/>
      <c r="V918" s="219"/>
      <c r="W918" s="219"/>
      <c r="X918" s="219"/>
      <c r="Y918" s="219"/>
      <c r="Z918" s="219"/>
    </row>
    <row r="919">
      <c r="A919" s="244"/>
      <c r="B919" s="219"/>
      <c r="C919" s="219"/>
      <c r="D919" s="219"/>
      <c r="E919" s="213"/>
      <c r="F919" s="213"/>
      <c r="G919" s="213"/>
      <c r="H919" s="219"/>
      <c r="I919" s="219"/>
      <c r="J919" s="219"/>
      <c r="K919" s="219"/>
      <c r="L919" s="219"/>
      <c r="M919" s="219"/>
      <c r="N919" s="219"/>
      <c r="O919" s="219"/>
      <c r="P919" s="219"/>
      <c r="Q919" s="219"/>
      <c r="R919" s="219"/>
      <c r="S919" s="219"/>
      <c r="T919" s="219"/>
      <c r="U919" s="219"/>
      <c r="V919" s="219"/>
      <c r="W919" s="219"/>
      <c r="X919" s="219"/>
      <c r="Y919" s="219"/>
      <c r="Z919" s="219"/>
    </row>
    <row r="920">
      <c r="A920" s="244"/>
      <c r="B920" s="219"/>
      <c r="C920" s="219"/>
      <c r="D920" s="219"/>
      <c r="E920" s="213"/>
      <c r="F920" s="213"/>
      <c r="G920" s="213"/>
      <c r="H920" s="219"/>
      <c r="I920" s="219"/>
      <c r="J920" s="219"/>
      <c r="K920" s="219"/>
      <c r="L920" s="219"/>
      <c r="M920" s="219"/>
      <c r="N920" s="219"/>
      <c r="O920" s="219"/>
      <c r="P920" s="219"/>
      <c r="Q920" s="219"/>
      <c r="R920" s="219"/>
      <c r="S920" s="219"/>
      <c r="T920" s="219"/>
      <c r="U920" s="219"/>
      <c r="V920" s="219"/>
      <c r="W920" s="219"/>
      <c r="X920" s="219"/>
      <c r="Y920" s="219"/>
      <c r="Z920" s="219"/>
    </row>
    <row r="921">
      <c r="A921" s="244"/>
      <c r="B921" s="219"/>
      <c r="C921" s="219"/>
      <c r="D921" s="219"/>
      <c r="E921" s="213"/>
      <c r="F921" s="213"/>
      <c r="G921" s="213"/>
      <c r="H921" s="219"/>
      <c r="I921" s="219"/>
      <c r="J921" s="219"/>
      <c r="K921" s="219"/>
      <c r="L921" s="219"/>
      <c r="M921" s="219"/>
      <c r="N921" s="219"/>
      <c r="O921" s="219"/>
      <c r="P921" s="219"/>
      <c r="Q921" s="219"/>
      <c r="R921" s="219"/>
      <c r="S921" s="219"/>
      <c r="T921" s="219"/>
      <c r="U921" s="219"/>
      <c r="V921" s="219"/>
      <c r="W921" s="219"/>
      <c r="X921" s="219"/>
      <c r="Y921" s="219"/>
      <c r="Z921" s="219"/>
    </row>
    <row r="922">
      <c r="A922" s="244"/>
      <c r="B922" s="219"/>
      <c r="C922" s="219"/>
      <c r="D922" s="219"/>
      <c r="E922" s="213"/>
      <c r="F922" s="213"/>
      <c r="G922" s="213"/>
      <c r="H922" s="219"/>
      <c r="I922" s="219"/>
      <c r="J922" s="219"/>
      <c r="K922" s="219"/>
      <c r="L922" s="219"/>
      <c r="M922" s="219"/>
      <c r="N922" s="219"/>
      <c r="O922" s="219"/>
      <c r="P922" s="219"/>
      <c r="Q922" s="219"/>
      <c r="R922" s="219"/>
      <c r="S922" s="219"/>
      <c r="T922" s="219"/>
      <c r="U922" s="219"/>
      <c r="V922" s="219"/>
      <c r="W922" s="219"/>
      <c r="X922" s="219"/>
      <c r="Y922" s="219"/>
      <c r="Z922" s="219"/>
    </row>
    <row r="923">
      <c r="A923" s="244"/>
      <c r="B923" s="219"/>
      <c r="C923" s="219"/>
      <c r="D923" s="219"/>
      <c r="E923" s="213"/>
      <c r="F923" s="213"/>
      <c r="G923" s="213"/>
      <c r="H923" s="219"/>
      <c r="I923" s="219"/>
      <c r="J923" s="219"/>
      <c r="K923" s="219"/>
      <c r="L923" s="219"/>
      <c r="M923" s="219"/>
      <c r="N923" s="219"/>
      <c r="O923" s="219"/>
      <c r="P923" s="219"/>
      <c r="Q923" s="219"/>
      <c r="R923" s="219"/>
      <c r="S923" s="219"/>
      <c r="T923" s="219"/>
      <c r="U923" s="219"/>
      <c r="V923" s="219"/>
      <c r="W923" s="219"/>
      <c r="X923" s="219"/>
      <c r="Y923" s="219"/>
      <c r="Z923" s="219"/>
    </row>
    <row r="924">
      <c r="A924" s="244"/>
      <c r="B924" s="219"/>
      <c r="C924" s="219"/>
      <c r="D924" s="219"/>
      <c r="E924" s="213"/>
      <c r="F924" s="213"/>
      <c r="G924" s="213"/>
      <c r="H924" s="219"/>
      <c r="I924" s="219"/>
      <c r="J924" s="219"/>
      <c r="K924" s="219"/>
      <c r="L924" s="219"/>
      <c r="M924" s="219"/>
      <c r="N924" s="219"/>
      <c r="O924" s="219"/>
      <c r="P924" s="219"/>
      <c r="Q924" s="219"/>
      <c r="R924" s="219"/>
      <c r="S924" s="219"/>
      <c r="T924" s="219"/>
      <c r="U924" s="219"/>
      <c r="V924" s="219"/>
      <c r="W924" s="219"/>
      <c r="X924" s="219"/>
      <c r="Y924" s="219"/>
      <c r="Z924" s="219"/>
    </row>
    <row r="925">
      <c r="A925" s="244"/>
      <c r="B925" s="219"/>
      <c r="C925" s="219"/>
      <c r="D925" s="219"/>
      <c r="E925" s="213"/>
      <c r="F925" s="213"/>
      <c r="G925" s="213"/>
      <c r="H925" s="219"/>
      <c r="I925" s="219"/>
      <c r="J925" s="219"/>
      <c r="K925" s="219"/>
      <c r="L925" s="219"/>
      <c r="M925" s="219"/>
      <c r="N925" s="219"/>
      <c r="O925" s="219"/>
      <c r="P925" s="219"/>
      <c r="Q925" s="219"/>
      <c r="R925" s="219"/>
      <c r="S925" s="219"/>
      <c r="T925" s="219"/>
      <c r="U925" s="219"/>
      <c r="V925" s="219"/>
      <c r="W925" s="219"/>
      <c r="X925" s="219"/>
      <c r="Y925" s="219"/>
      <c r="Z925" s="219"/>
    </row>
    <row r="926">
      <c r="A926" s="244"/>
      <c r="B926" s="219"/>
      <c r="C926" s="219"/>
      <c r="D926" s="219"/>
      <c r="E926" s="213"/>
      <c r="F926" s="213"/>
      <c r="G926" s="213"/>
      <c r="H926" s="219"/>
      <c r="I926" s="219"/>
      <c r="J926" s="219"/>
      <c r="K926" s="219"/>
      <c r="L926" s="219"/>
      <c r="M926" s="219"/>
      <c r="N926" s="219"/>
      <c r="O926" s="219"/>
      <c r="P926" s="219"/>
      <c r="Q926" s="219"/>
      <c r="R926" s="219"/>
      <c r="S926" s="219"/>
      <c r="T926" s="219"/>
      <c r="U926" s="219"/>
      <c r="V926" s="219"/>
      <c r="W926" s="219"/>
      <c r="X926" s="219"/>
      <c r="Y926" s="219"/>
      <c r="Z926" s="219"/>
    </row>
    <row r="927">
      <c r="A927" s="244"/>
      <c r="B927" s="219"/>
      <c r="C927" s="219"/>
      <c r="D927" s="219"/>
      <c r="E927" s="213"/>
      <c r="F927" s="213"/>
      <c r="G927" s="213"/>
      <c r="H927" s="219"/>
      <c r="I927" s="219"/>
      <c r="J927" s="219"/>
      <c r="K927" s="219"/>
      <c r="L927" s="219"/>
      <c r="M927" s="219"/>
      <c r="N927" s="219"/>
      <c r="O927" s="219"/>
      <c r="P927" s="219"/>
      <c r="Q927" s="219"/>
      <c r="R927" s="219"/>
      <c r="S927" s="219"/>
      <c r="T927" s="219"/>
      <c r="U927" s="219"/>
      <c r="V927" s="219"/>
      <c r="W927" s="219"/>
      <c r="X927" s="219"/>
      <c r="Y927" s="219"/>
      <c r="Z927" s="219"/>
    </row>
    <row r="928">
      <c r="A928" s="244"/>
      <c r="B928" s="219"/>
      <c r="C928" s="219"/>
      <c r="D928" s="219"/>
      <c r="E928" s="213"/>
      <c r="F928" s="213"/>
      <c r="G928" s="213"/>
      <c r="H928" s="219"/>
      <c r="I928" s="219"/>
      <c r="J928" s="219"/>
      <c r="K928" s="219"/>
      <c r="L928" s="219"/>
      <c r="M928" s="219"/>
      <c r="N928" s="219"/>
      <c r="O928" s="219"/>
      <c r="P928" s="219"/>
      <c r="Q928" s="219"/>
      <c r="R928" s="219"/>
      <c r="S928" s="219"/>
      <c r="T928" s="219"/>
      <c r="U928" s="219"/>
      <c r="V928" s="219"/>
      <c r="W928" s="219"/>
      <c r="X928" s="219"/>
      <c r="Y928" s="219"/>
      <c r="Z928" s="219"/>
    </row>
    <row r="929">
      <c r="A929" s="244"/>
      <c r="B929" s="219"/>
      <c r="C929" s="219"/>
      <c r="D929" s="219"/>
      <c r="E929" s="213"/>
      <c r="F929" s="213"/>
      <c r="G929" s="213"/>
      <c r="H929" s="219"/>
      <c r="I929" s="219"/>
      <c r="J929" s="219"/>
      <c r="K929" s="219"/>
      <c r="L929" s="219"/>
      <c r="M929" s="219"/>
      <c r="N929" s="219"/>
      <c r="O929" s="219"/>
      <c r="P929" s="219"/>
      <c r="Q929" s="219"/>
      <c r="R929" s="219"/>
      <c r="S929" s="219"/>
      <c r="T929" s="219"/>
      <c r="U929" s="219"/>
      <c r="V929" s="219"/>
      <c r="W929" s="219"/>
      <c r="X929" s="219"/>
      <c r="Y929" s="219"/>
      <c r="Z929" s="219"/>
    </row>
    <row r="930">
      <c r="A930" s="244"/>
      <c r="B930" s="219"/>
      <c r="C930" s="219"/>
      <c r="D930" s="219"/>
      <c r="E930" s="213"/>
      <c r="F930" s="213"/>
      <c r="G930" s="213"/>
      <c r="H930" s="219"/>
      <c r="I930" s="219"/>
      <c r="J930" s="219"/>
      <c r="K930" s="219"/>
      <c r="L930" s="219"/>
      <c r="M930" s="219"/>
      <c r="N930" s="219"/>
      <c r="O930" s="219"/>
      <c r="P930" s="219"/>
      <c r="Q930" s="219"/>
      <c r="R930" s="219"/>
      <c r="S930" s="219"/>
      <c r="T930" s="219"/>
      <c r="U930" s="219"/>
      <c r="V930" s="219"/>
      <c r="W930" s="219"/>
      <c r="X930" s="219"/>
      <c r="Y930" s="219"/>
      <c r="Z930" s="219"/>
    </row>
    <row r="931">
      <c r="A931" s="244"/>
      <c r="B931" s="219"/>
      <c r="C931" s="219"/>
      <c r="D931" s="219"/>
      <c r="E931" s="213"/>
      <c r="F931" s="213"/>
      <c r="G931" s="213"/>
      <c r="H931" s="219"/>
      <c r="I931" s="219"/>
      <c r="J931" s="219"/>
      <c r="K931" s="219"/>
      <c r="L931" s="219"/>
      <c r="M931" s="219"/>
      <c r="N931" s="219"/>
      <c r="O931" s="219"/>
      <c r="P931" s="219"/>
      <c r="Q931" s="219"/>
      <c r="R931" s="219"/>
      <c r="S931" s="219"/>
      <c r="T931" s="219"/>
      <c r="U931" s="219"/>
      <c r="V931" s="219"/>
      <c r="W931" s="219"/>
      <c r="X931" s="219"/>
      <c r="Y931" s="219"/>
      <c r="Z931" s="219"/>
    </row>
    <row r="932">
      <c r="A932" s="244"/>
      <c r="B932" s="219"/>
      <c r="C932" s="219"/>
      <c r="D932" s="219"/>
      <c r="E932" s="213"/>
      <c r="F932" s="213"/>
      <c r="G932" s="213"/>
      <c r="H932" s="219"/>
      <c r="I932" s="219"/>
      <c r="J932" s="219"/>
      <c r="K932" s="219"/>
      <c r="L932" s="219"/>
      <c r="M932" s="219"/>
      <c r="N932" s="219"/>
      <c r="O932" s="219"/>
      <c r="P932" s="219"/>
      <c r="Q932" s="219"/>
      <c r="R932" s="219"/>
      <c r="S932" s="219"/>
      <c r="T932" s="219"/>
      <c r="U932" s="219"/>
      <c r="V932" s="219"/>
      <c r="W932" s="219"/>
      <c r="X932" s="219"/>
      <c r="Y932" s="219"/>
      <c r="Z932" s="219"/>
    </row>
    <row r="933">
      <c r="A933" s="244"/>
      <c r="B933" s="219"/>
      <c r="C933" s="219"/>
      <c r="D933" s="219"/>
      <c r="E933" s="213"/>
      <c r="F933" s="213"/>
      <c r="G933" s="213"/>
      <c r="H933" s="219"/>
      <c r="I933" s="219"/>
      <c r="J933" s="219"/>
      <c r="K933" s="219"/>
      <c r="L933" s="219"/>
      <c r="M933" s="219"/>
      <c r="N933" s="219"/>
      <c r="O933" s="219"/>
      <c r="P933" s="219"/>
      <c r="Q933" s="219"/>
      <c r="R933" s="219"/>
      <c r="S933" s="219"/>
      <c r="T933" s="219"/>
      <c r="U933" s="219"/>
      <c r="V933" s="219"/>
      <c r="W933" s="219"/>
      <c r="X933" s="219"/>
      <c r="Y933" s="219"/>
      <c r="Z933" s="219"/>
    </row>
    <row r="934">
      <c r="A934" s="244"/>
      <c r="B934" s="219"/>
      <c r="C934" s="219"/>
      <c r="D934" s="219"/>
      <c r="E934" s="213"/>
      <c r="F934" s="213"/>
      <c r="G934" s="213"/>
      <c r="H934" s="219"/>
      <c r="I934" s="219"/>
      <c r="J934" s="219"/>
      <c r="K934" s="219"/>
      <c r="L934" s="219"/>
      <c r="M934" s="219"/>
      <c r="N934" s="219"/>
      <c r="O934" s="219"/>
      <c r="P934" s="219"/>
      <c r="Q934" s="219"/>
      <c r="R934" s="219"/>
      <c r="S934" s="219"/>
      <c r="T934" s="219"/>
      <c r="U934" s="219"/>
      <c r="V934" s="219"/>
      <c r="W934" s="219"/>
      <c r="X934" s="219"/>
      <c r="Y934" s="219"/>
      <c r="Z934" s="219"/>
    </row>
    <row r="935">
      <c r="A935" s="244"/>
      <c r="B935" s="219"/>
      <c r="C935" s="219"/>
      <c r="D935" s="219"/>
      <c r="E935" s="213"/>
      <c r="F935" s="213"/>
      <c r="G935" s="213"/>
      <c r="H935" s="219"/>
      <c r="I935" s="219"/>
      <c r="J935" s="219"/>
      <c r="K935" s="219"/>
      <c r="L935" s="219"/>
      <c r="M935" s="219"/>
      <c r="N935" s="219"/>
      <c r="O935" s="219"/>
      <c r="P935" s="219"/>
      <c r="Q935" s="219"/>
      <c r="R935" s="219"/>
      <c r="S935" s="219"/>
      <c r="T935" s="219"/>
      <c r="U935" s="219"/>
      <c r="V935" s="219"/>
      <c r="W935" s="219"/>
      <c r="X935" s="219"/>
      <c r="Y935" s="219"/>
      <c r="Z935" s="219"/>
    </row>
    <row r="936">
      <c r="A936" s="244"/>
      <c r="B936" s="219"/>
      <c r="C936" s="219"/>
      <c r="D936" s="219"/>
      <c r="E936" s="213"/>
      <c r="F936" s="213"/>
      <c r="G936" s="213"/>
      <c r="H936" s="219"/>
      <c r="I936" s="219"/>
      <c r="J936" s="219"/>
      <c r="K936" s="219"/>
      <c r="L936" s="219"/>
      <c r="M936" s="219"/>
      <c r="N936" s="219"/>
      <c r="O936" s="219"/>
      <c r="P936" s="219"/>
      <c r="Q936" s="219"/>
      <c r="R936" s="219"/>
      <c r="S936" s="219"/>
      <c r="T936" s="219"/>
      <c r="U936" s="219"/>
      <c r="V936" s="219"/>
      <c r="W936" s="219"/>
      <c r="X936" s="219"/>
      <c r="Y936" s="219"/>
      <c r="Z936" s="219"/>
    </row>
    <row r="937">
      <c r="A937" s="244"/>
      <c r="B937" s="219"/>
      <c r="C937" s="219"/>
      <c r="D937" s="219"/>
      <c r="E937" s="213"/>
      <c r="F937" s="213"/>
      <c r="G937" s="213"/>
      <c r="H937" s="219"/>
      <c r="I937" s="219"/>
      <c r="J937" s="219"/>
      <c r="K937" s="219"/>
      <c r="L937" s="219"/>
      <c r="M937" s="219"/>
      <c r="N937" s="219"/>
      <c r="O937" s="219"/>
      <c r="P937" s="219"/>
      <c r="Q937" s="219"/>
      <c r="R937" s="219"/>
      <c r="S937" s="219"/>
      <c r="T937" s="219"/>
      <c r="U937" s="219"/>
      <c r="V937" s="219"/>
      <c r="W937" s="219"/>
      <c r="X937" s="219"/>
      <c r="Y937" s="219"/>
      <c r="Z937" s="219"/>
    </row>
    <row r="938">
      <c r="A938" s="244"/>
      <c r="B938" s="219"/>
      <c r="C938" s="219"/>
      <c r="D938" s="219"/>
      <c r="E938" s="213"/>
      <c r="F938" s="213"/>
      <c r="G938" s="213"/>
      <c r="H938" s="219"/>
      <c r="I938" s="219"/>
      <c r="J938" s="219"/>
      <c r="K938" s="219"/>
      <c r="L938" s="219"/>
      <c r="M938" s="219"/>
      <c r="N938" s="219"/>
      <c r="O938" s="219"/>
      <c r="P938" s="219"/>
      <c r="Q938" s="219"/>
      <c r="R938" s="219"/>
      <c r="S938" s="219"/>
      <c r="T938" s="219"/>
      <c r="U938" s="219"/>
      <c r="V938" s="219"/>
      <c r="W938" s="219"/>
      <c r="X938" s="219"/>
      <c r="Y938" s="219"/>
      <c r="Z938" s="219"/>
    </row>
    <row r="939">
      <c r="A939" s="244"/>
      <c r="B939" s="219"/>
      <c r="C939" s="219"/>
      <c r="D939" s="219"/>
      <c r="E939" s="213"/>
      <c r="F939" s="213"/>
      <c r="G939" s="213"/>
      <c r="H939" s="219"/>
      <c r="I939" s="219"/>
      <c r="J939" s="219"/>
      <c r="K939" s="219"/>
      <c r="L939" s="219"/>
      <c r="M939" s="219"/>
      <c r="N939" s="219"/>
      <c r="O939" s="219"/>
      <c r="P939" s="219"/>
      <c r="Q939" s="219"/>
      <c r="R939" s="219"/>
      <c r="S939" s="219"/>
      <c r="T939" s="219"/>
      <c r="U939" s="219"/>
      <c r="V939" s="219"/>
      <c r="W939" s="219"/>
      <c r="X939" s="219"/>
      <c r="Y939" s="219"/>
      <c r="Z939" s="219"/>
    </row>
    <row r="940">
      <c r="A940" s="244"/>
      <c r="B940" s="219"/>
      <c r="C940" s="219"/>
      <c r="D940" s="219"/>
      <c r="E940" s="213"/>
      <c r="F940" s="213"/>
      <c r="G940" s="213"/>
      <c r="H940" s="219"/>
      <c r="I940" s="219"/>
      <c r="J940" s="219"/>
      <c r="K940" s="219"/>
      <c r="L940" s="219"/>
      <c r="M940" s="219"/>
      <c r="N940" s="219"/>
      <c r="O940" s="219"/>
      <c r="P940" s="219"/>
      <c r="Q940" s="219"/>
      <c r="R940" s="219"/>
      <c r="S940" s="219"/>
      <c r="T940" s="219"/>
      <c r="U940" s="219"/>
      <c r="V940" s="219"/>
      <c r="W940" s="219"/>
      <c r="X940" s="219"/>
      <c r="Y940" s="219"/>
      <c r="Z940" s="219"/>
    </row>
    <row r="941">
      <c r="A941" s="244"/>
      <c r="B941" s="219"/>
      <c r="C941" s="219"/>
      <c r="D941" s="219"/>
      <c r="E941" s="213"/>
      <c r="F941" s="213"/>
      <c r="G941" s="213"/>
      <c r="H941" s="219"/>
      <c r="I941" s="219"/>
      <c r="J941" s="219"/>
      <c r="K941" s="219"/>
      <c r="L941" s="219"/>
      <c r="M941" s="219"/>
      <c r="N941" s="219"/>
      <c r="O941" s="219"/>
      <c r="P941" s="219"/>
      <c r="Q941" s="219"/>
      <c r="R941" s="219"/>
      <c r="S941" s="219"/>
      <c r="T941" s="219"/>
      <c r="U941" s="219"/>
      <c r="V941" s="219"/>
      <c r="W941" s="219"/>
      <c r="X941" s="219"/>
      <c r="Y941" s="219"/>
      <c r="Z941" s="219"/>
    </row>
    <row r="942">
      <c r="A942" s="244"/>
      <c r="B942" s="219"/>
      <c r="C942" s="219"/>
      <c r="D942" s="219"/>
      <c r="E942" s="213"/>
      <c r="F942" s="213"/>
      <c r="G942" s="213"/>
      <c r="H942" s="219"/>
      <c r="I942" s="219"/>
      <c r="J942" s="219"/>
      <c r="K942" s="219"/>
      <c r="L942" s="219"/>
      <c r="M942" s="219"/>
      <c r="N942" s="219"/>
      <c r="O942" s="219"/>
      <c r="P942" s="219"/>
      <c r="Q942" s="219"/>
      <c r="R942" s="219"/>
      <c r="S942" s="219"/>
      <c r="T942" s="219"/>
      <c r="U942" s="219"/>
      <c r="V942" s="219"/>
      <c r="W942" s="219"/>
      <c r="X942" s="219"/>
      <c r="Y942" s="219"/>
      <c r="Z942" s="219"/>
    </row>
    <row r="943">
      <c r="A943" s="244"/>
      <c r="B943" s="219"/>
      <c r="C943" s="219"/>
      <c r="D943" s="219"/>
      <c r="E943" s="213"/>
      <c r="F943" s="213"/>
      <c r="G943" s="213"/>
      <c r="H943" s="219"/>
      <c r="I943" s="219"/>
      <c r="J943" s="219"/>
      <c r="K943" s="219"/>
      <c r="L943" s="219"/>
      <c r="M943" s="219"/>
      <c r="N943" s="219"/>
      <c r="O943" s="219"/>
      <c r="P943" s="219"/>
      <c r="Q943" s="219"/>
      <c r="R943" s="219"/>
      <c r="S943" s="219"/>
      <c r="T943" s="219"/>
      <c r="U943" s="219"/>
      <c r="V943" s="219"/>
      <c r="W943" s="219"/>
      <c r="X943" s="219"/>
      <c r="Y943" s="219"/>
      <c r="Z943" s="219"/>
    </row>
    <row r="944">
      <c r="A944" s="244"/>
      <c r="B944" s="219"/>
      <c r="C944" s="219"/>
      <c r="D944" s="219"/>
      <c r="E944" s="213"/>
      <c r="F944" s="213"/>
      <c r="G944" s="213"/>
      <c r="H944" s="219"/>
      <c r="I944" s="219"/>
      <c r="J944" s="219"/>
      <c r="K944" s="219"/>
      <c r="L944" s="219"/>
      <c r="M944" s="219"/>
      <c r="N944" s="219"/>
      <c r="O944" s="219"/>
      <c r="P944" s="219"/>
      <c r="Q944" s="219"/>
      <c r="R944" s="219"/>
      <c r="S944" s="219"/>
      <c r="T944" s="219"/>
      <c r="U944" s="219"/>
      <c r="V944" s="219"/>
      <c r="W944" s="219"/>
      <c r="X944" s="219"/>
      <c r="Y944" s="219"/>
      <c r="Z944" s="219"/>
    </row>
    <row r="945">
      <c r="A945" s="244"/>
      <c r="B945" s="219"/>
      <c r="C945" s="219"/>
      <c r="D945" s="219"/>
      <c r="E945" s="213"/>
      <c r="F945" s="213"/>
      <c r="G945" s="213"/>
      <c r="H945" s="219"/>
      <c r="I945" s="219"/>
      <c r="J945" s="219"/>
      <c r="K945" s="219"/>
      <c r="L945" s="219"/>
      <c r="M945" s="219"/>
      <c r="N945" s="219"/>
      <c r="O945" s="219"/>
      <c r="P945" s="219"/>
      <c r="Q945" s="219"/>
      <c r="R945" s="219"/>
      <c r="S945" s="219"/>
      <c r="T945" s="219"/>
      <c r="U945" s="219"/>
      <c r="V945" s="219"/>
      <c r="W945" s="219"/>
      <c r="X945" s="219"/>
      <c r="Y945" s="219"/>
      <c r="Z945" s="219"/>
    </row>
    <row r="946">
      <c r="A946" s="244"/>
      <c r="B946" s="219"/>
      <c r="C946" s="219"/>
      <c r="D946" s="219"/>
      <c r="E946" s="213"/>
      <c r="F946" s="213"/>
      <c r="G946" s="213"/>
      <c r="H946" s="219"/>
      <c r="I946" s="219"/>
      <c r="J946" s="219"/>
      <c r="K946" s="219"/>
      <c r="L946" s="219"/>
      <c r="M946" s="219"/>
      <c r="N946" s="219"/>
      <c r="O946" s="219"/>
      <c r="P946" s="219"/>
      <c r="Q946" s="219"/>
      <c r="R946" s="219"/>
      <c r="S946" s="219"/>
      <c r="T946" s="219"/>
      <c r="U946" s="219"/>
      <c r="V946" s="219"/>
      <c r="W946" s="219"/>
      <c r="X946" s="219"/>
      <c r="Y946" s="219"/>
      <c r="Z946" s="219"/>
    </row>
    <row r="947">
      <c r="A947" s="244"/>
      <c r="B947" s="219"/>
      <c r="C947" s="219"/>
      <c r="D947" s="219"/>
      <c r="E947" s="213"/>
      <c r="F947" s="213"/>
      <c r="G947" s="213"/>
      <c r="H947" s="219"/>
      <c r="I947" s="219"/>
      <c r="J947" s="219"/>
      <c r="K947" s="219"/>
      <c r="L947" s="219"/>
      <c r="M947" s="219"/>
      <c r="N947" s="219"/>
      <c r="O947" s="219"/>
      <c r="P947" s="219"/>
      <c r="Q947" s="219"/>
      <c r="R947" s="219"/>
      <c r="S947" s="219"/>
      <c r="T947" s="219"/>
      <c r="U947" s="219"/>
      <c r="V947" s="219"/>
      <c r="W947" s="219"/>
      <c r="X947" s="219"/>
      <c r="Y947" s="219"/>
      <c r="Z947" s="219"/>
    </row>
    <row r="948">
      <c r="A948" s="244"/>
      <c r="B948" s="219"/>
      <c r="C948" s="219"/>
      <c r="D948" s="219"/>
      <c r="E948" s="213"/>
      <c r="F948" s="213"/>
      <c r="G948" s="213"/>
      <c r="H948" s="219"/>
      <c r="I948" s="219"/>
      <c r="J948" s="219"/>
      <c r="K948" s="219"/>
      <c r="L948" s="219"/>
      <c r="M948" s="219"/>
      <c r="N948" s="219"/>
      <c r="O948" s="219"/>
      <c r="P948" s="219"/>
      <c r="Q948" s="219"/>
      <c r="R948" s="219"/>
      <c r="S948" s="219"/>
      <c r="T948" s="219"/>
      <c r="U948" s="219"/>
      <c r="V948" s="219"/>
      <c r="W948" s="219"/>
      <c r="X948" s="219"/>
      <c r="Y948" s="219"/>
      <c r="Z948" s="219"/>
    </row>
    <row r="949">
      <c r="A949" s="244"/>
      <c r="B949" s="219"/>
      <c r="C949" s="219"/>
      <c r="D949" s="219"/>
      <c r="E949" s="213"/>
      <c r="F949" s="213"/>
      <c r="G949" s="213"/>
      <c r="H949" s="219"/>
      <c r="I949" s="219"/>
      <c r="J949" s="219"/>
      <c r="K949" s="219"/>
      <c r="L949" s="219"/>
      <c r="M949" s="219"/>
      <c r="N949" s="219"/>
      <c r="O949" s="219"/>
      <c r="P949" s="219"/>
      <c r="Q949" s="219"/>
      <c r="R949" s="219"/>
      <c r="S949" s="219"/>
      <c r="T949" s="219"/>
      <c r="U949" s="219"/>
      <c r="V949" s="219"/>
      <c r="W949" s="219"/>
      <c r="X949" s="219"/>
      <c r="Y949" s="219"/>
      <c r="Z949" s="219"/>
    </row>
    <row r="950">
      <c r="A950" s="244"/>
      <c r="B950" s="219"/>
      <c r="C950" s="219"/>
      <c r="D950" s="219"/>
      <c r="E950" s="213"/>
      <c r="F950" s="213"/>
      <c r="G950" s="213"/>
      <c r="H950" s="219"/>
      <c r="I950" s="219"/>
      <c r="J950" s="219"/>
      <c r="K950" s="219"/>
      <c r="L950" s="219"/>
      <c r="M950" s="219"/>
      <c r="N950" s="219"/>
      <c r="O950" s="219"/>
      <c r="P950" s="219"/>
      <c r="Q950" s="219"/>
      <c r="R950" s="219"/>
      <c r="S950" s="219"/>
      <c r="T950" s="219"/>
      <c r="U950" s="219"/>
      <c r="V950" s="219"/>
      <c r="W950" s="219"/>
      <c r="X950" s="219"/>
      <c r="Y950" s="219"/>
      <c r="Z950" s="219"/>
    </row>
    <row r="951">
      <c r="A951" s="244"/>
      <c r="B951" s="219"/>
      <c r="C951" s="219"/>
      <c r="D951" s="219"/>
      <c r="E951" s="213"/>
      <c r="F951" s="213"/>
      <c r="G951" s="213"/>
      <c r="H951" s="219"/>
      <c r="I951" s="219"/>
      <c r="J951" s="219"/>
      <c r="K951" s="219"/>
      <c r="L951" s="219"/>
      <c r="M951" s="219"/>
      <c r="N951" s="219"/>
      <c r="O951" s="219"/>
      <c r="P951" s="219"/>
      <c r="Q951" s="219"/>
      <c r="R951" s="219"/>
      <c r="S951" s="219"/>
      <c r="T951" s="219"/>
      <c r="U951" s="219"/>
      <c r="V951" s="219"/>
      <c r="W951" s="219"/>
      <c r="X951" s="219"/>
      <c r="Y951" s="219"/>
      <c r="Z951" s="219"/>
    </row>
    <row r="952">
      <c r="A952" s="244"/>
      <c r="B952" s="219"/>
      <c r="C952" s="219"/>
      <c r="D952" s="219"/>
      <c r="E952" s="213"/>
      <c r="F952" s="213"/>
      <c r="G952" s="213"/>
      <c r="H952" s="219"/>
      <c r="I952" s="219"/>
      <c r="J952" s="219"/>
      <c r="K952" s="219"/>
      <c r="L952" s="219"/>
      <c r="M952" s="219"/>
      <c r="N952" s="219"/>
      <c r="O952" s="219"/>
      <c r="P952" s="219"/>
      <c r="Q952" s="219"/>
      <c r="R952" s="219"/>
      <c r="S952" s="219"/>
      <c r="T952" s="219"/>
      <c r="U952" s="219"/>
      <c r="V952" s="219"/>
      <c r="W952" s="219"/>
      <c r="X952" s="219"/>
      <c r="Y952" s="219"/>
      <c r="Z952" s="219"/>
    </row>
    <row r="953">
      <c r="A953" s="244"/>
      <c r="B953" s="219"/>
      <c r="C953" s="219"/>
      <c r="D953" s="219"/>
      <c r="E953" s="213"/>
      <c r="F953" s="213"/>
      <c r="G953" s="213"/>
      <c r="H953" s="219"/>
      <c r="I953" s="219"/>
      <c r="J953" s="219"/>
      <c r="K953" s="219"/>
      <c r="L953" s="219"/>
      <c r="M953" s="219"/>
      <c r="N953" s="219"/>
      <c r="O953" s="219"/>
      <c r="P953" s="219"/>
      <c r="Q953" s="219"/>
      <c r="R953" s="219"/>
      <c r="S953" s="219"/>
      <c r="T953" s="219"/>
      <c r="U953" s="219"/>
      <c r="V953" s="219"/>
      <c r="W953" s="219"/>
      <c r="X953" s="219"/>
      <c r="Y953" s="219"/>
      <c r="Z953" s="219"/>
    </row>
    <row r="954">
      <c r="A954" s="244"/>
      <c r="B954" s="219"/>
      <c r="C954" s="219"/>
      <c r="D954" s="219"/>
      <c r="E954" s="213"/>
      <c r="F954" s="213"/>
      <c r="G954" s="213"/>
      <c r="H954" s="219"/>
      <c r="I954" s="219"/>
      <c r="J954" s="219"/>
      <c r="K954" s="219"/>
      <c r="L954" s="219"/>
      <c r="M954" s="219"/>
      <c r="N954" s="219"/>
      <c r="O954" s="219"/>
      <c r="P954" s="219"/>
      <c r="Q954" s="219"/>
      <c r="R954" s="219"/>
      <c r="S954" s="219"/>
      <c r="T954" s="219"/>
      <c r="U954" s="219"/>
      <c r="V954" s="219"/>
      <c r="W954" s="219"/>
      <c r="X954" s="219"/>
      <c r="Y954" s="219"/>
      <c r="Z954" s="219"/>
    </row>
    <row r="955">
      <c r="A955" s="244"/>
      <c r="B955" s="219"/>
      <c r="C955" s="219"/>
      <c r="D955" s="219"/>
      <c r="E955" s="213"/>
      <c r="F955" s="213"/>
      <c r="G955" s="213"/>
      <c r="H955" s="219"/>
      <c r="I955" s="219"/>
      <c r="J955" s="219"/>
      <c r="K955" s="219"/>
      <c r="L955" s="219"/>
      <c r="M955" s="219"/>
      <c r="N955" s="219"/>
      <c r="O955" s="219"/>
      <c r="P955" s="219"/>
      <c r="Q955" s="219"/>
      <c r="R955" s="219"/>
      <c r="S955" s="219"/>
      <c r="T955" s="219"/>
      <c r="U955" s="219"/>
      <c r="V955" s="219"/>
      <c r="W955" s="219"/>
      <c r="X955" s="219"/>
      <c r="Y955" s="219"/>
      <c r="Z955" s="219"/>
    </row>
    <row r="956">
      <c r="A956" s="244"/>
      <c r="B956" s="219"/>
      <c r="C956" s="219"/>
      <c r="D956" s="219"/>
      <c r="E956" s="213"/>
      <c r="F956" s="213"/>
      <c r="G956" s="213"/>
      <c r="H956" s="219"/>
      <c r="I956" s="219"/>
      <c r="J956" s="219"/>
      <c r="K956" s="219"/>
      <c r="L956" s="219"/>
      <c r="M956" s="219"/>
      <c r="N956" s="219"/>
      <c r="O956" s="219"/>
      <c r="P956" s="219"/>
      <c r="Q956" s="219"/>
      <c r="R956" s="219"/>
      <c r="S956" s="219"/>
      <c r="T956" s="219"/>
      <c r="U956" s="219"/>
      <c r="V956" s="219"/>
      <c r="W956" s="219"/>
      <c r="X956" s="219"/>
      <c r="Y956" s="219"/>
      <c r="Z956" s="219"/>
    </row>
    <row r="957">
      <c r="A957" s="244"/>
      <c r="B957" s="219"/>
      <c r="C957" s="219"/>
      <c r="D957" s="219"/>
      <c r="E957" s="213"/>
      <c r="F957" s="213"/>
      <c r="G957" s="213"/>
      <c r="H957" s="219"/>
      <c r="I957" s="219"/>
      <c r="J957" s="219"/>
      <c r="K957" s="219"/>
      <c r="L957" s="219"/>
      <c r="M957" s="219"/>
      <c r="N957" s="219"/>
      <c r="O957" s="219"/>
      <c r="P957" s="219"/>
      <c r="Q957" s="219"/>
      <c r="R957" s="219"/>
      <c r="S957" s="219"/>
      <c r="T957" s="219"/>
      <c r="U957" s="219"/>
      <c r="V957" s="219"/>
      <c r="W957" s="219"/>
      <c r="X957" s="219"/>
      <c r="Y957" s="219"/>
      <c r="Z957" s="219"/>
    </row>
    <row r="958">
      <c r="A958" s="244"/>
      <c r="B958" s="219"/>
      <c r="C958" s="219"/>
      <c r="D958" s="219"/>
      <c r="E958" s="213"/>
      <c r="F958" s="213"/>
      <c r="G958" s="213"/>
      <c r="H958" s="219"/>
      <c r="I958" s="219"/>
      <c r="J958" s="219"/>
      <c r="K958" s="219"/>
      <c r="L958" s="219"/>
      <c r="M958" s="219"/>
      <c r="N958" s="219"/>
      <c r="O958" s="219"/>
      <c r="P958" s="219"/>
      <c r="Q958" s="219"/>
      <c r="R958" s="219"/>
      <c r="S958" s="219"/>
      <c r="T958" s="219"/>
      <c r="U958" s="219"/>
      <c r="V958" s="219"/>
      <c r="W958" s="219"/>
      <c r="X958" s="219"/>
      <c r="Y958" s="219"/>
      <c r="Z958" s="219"/>
    </row>
    <row r="959">
      <c r="A959" s="244"/>
      <c r="B959" s="219"/>
      <c r="C959" s="219"/>
      <c r="D959" s="219"/>
      <c r="E959" s="213"/>
      <c r="F959" s="213"/>
      <c r="G959" s="213"/>
      <c r="H959" s="219"/>
      <c r="I959" s="219"/>
      <c r="J959" s="219"/>
      <c r="K959" s="219"/>
      <c r="L959" s="219"/>
      <c r="M959" s="219"/>
      <c r="N959" s="219"/>
      <c r="O959" s="219"/>
      <c r="P959" s="219"/>
      <c r="Q959" s="219"/>
      <c r="R959" s="219"/>
      <c r="S959" s="219"/>
      <c r="T959" s="219"/>
      <c r="U959" s="219"/>
      <c r="V959" s="219"/>
      <c r="W959" s="219"/>
      <c r="X959" s="219"/>
      <c r="Y959" s="219"/>
      <c r="Z959" s="219"/>
    </row>
    <row r="960">
      <c r="A960" s="244"/>
      <c r="B960" s="219"/>
      <c r="C960" s="219"/>
      <c r="D960" s="219"/>
      <c r="E960" s="213"/>
      <c r="F960" s="213"/>
      <c r="G960" s="213"/>
      <c r="H960" s="219"/>
      <c r="I960" s="219"/>
      <c r="J960" s="219"/>
      <c r="K960" s="219"/>
      <c r="L960" s="219"/>
      <c r="M960" s="219"/>
      <c r="N960" s="219"/>
      <c r="O960" s="219"/>
      <c r="P960" s="219"/>
      <c r="Q960" s="219"/>
      <c r="R960" s="219"/>
      <c r="S960" s="219"/>
      <c r="T960" s="219"/>
      <c r="U960" s="219"/>
      <c r="V960" s="219"/>
      <c r="W960" s="219"/>
      <c r="X960" s="219"/>
      <c r="Y960" s="219"/>
      <c r="Z960" s="219"/>
    </row>
    <row r="961">
      <c r="A961" s="244"/>
      <c r="B961" s="219"/>
      <c r="C961" s="219"/>
      <c r="D961" s="219"/>
      <c r="E961" s="213"/>
      <c r="F961" s="213"/>
      <c r="G961" s="213"/>
      <c r="H961" s="219"/>
      <c r="I961" s="219"/>
      <c r="J961" s="219"/>
      <c r="K961" s="219"/>
      <c r="L961" s="219"/>
      <c r="M961" s="219"/>
      <c r="N961" s="219"/>
      <c r="O961" s="219"/>
      <c r="P961" s="219"/>
      <c r="Q961" s="219"/>
      <c r="R961" s="219"/>
      <c r="S961" s="219"/>
      <c r="T961" s="219"/>
      <c r="U961" s="219"/>
      <c r="V961" s="219"/>
      <c r="W961" s="219"/>
      <c r="X961" s="219"/>
      <c r="Y961" s="219"/>
      <c r="Z961" s="219"/>
    </row>
    <row r="962">
      <c r="A962" s="244"/>
      <c r="B962" s="219"/>
      <c r="C962" s="219"/>
      <c r="D962" s="219"/>
      <c r="E962" s="213"/>
      <c r="F962" s="213"/>
      <c r="G962" s="213"/>
      <c r="H962" s="219"/>
      <c r="I962" s="219"/>
      <c r="J962" s="219"/>
      <c r="K962" s="219"/>
      <c r="L962" s="219"/>
      <c r="M962" s="219"/>
      <c r="N962" s="219"/>
      <c r="O962" s="219"/>
      <c r="P962" s="219"/>
      <c r="Q962" s="219"/>
      <c r="R962" s="219"/>
      <c r="S962" s="219"/>
      <c r="T962" s="219"/>
      <c r="U962" s="219"/>
      <c r="V962" s="219"/>
      <c r="W962" s="219"/>
      <c r="X962" s="219"/>
      <c r="Y962" s="219"/>
      <c r="Z962" s="219"/>
    </row>
    <row r="963">
      <c r="A963" s="244"/>
      <c r="B963" s="219"/>
      <c r="C963" s="219"/>
      <c r="D963" s="219"/>
      <c r="E963" s="213"/>
      <c r="F963" s="213"/>
      <c r="G963" s="213"/>
      <c r="H963" s="219"/>
      <c r="I963" s="219"/>
      <c r="J963" s="219"/>
      <c r="K963" s="219"/>
      <c r="L963" s="219"/>
      <c r="M963" s="219"/>
      <c r="N963" s="219"/>
      <c r="O963" s="219"/>
      <c r="P963" s="219"/>
      <c r="Q963" s="219"/>
      <c r="R963" s="219"/>
      <c r="S963" s="219"/>
      <c r="T963" s="219"/>
      <c r="U963" s="219"/>
      <c r="V963" s="219"/>
      <c r="W963" s="219"/>
      <c r="X963" s="219"/>
      <c r="Y963" s="219"/>
      <c r="Z963" s="219"/>
    </row>
    <row r="964">
      <c r="A964" s="244"/>
      <c r="B964" s="219"/>
      <c r="C964" s="219"/>
      <c r="D964" s="219"/>
      <c r="E964" s="213"/>
      <c r="F964" s="213"/>
      <c r="G964" s="213"/>
      <c r="H964" s="219"/>
      <c r="I964" s="219"/>
      <c r="J964" s="219"/>
      <c r="K964" s="219"/>
      <c r="L964" s="219"/>
      <c r="M964" s="219"/>
      <c r="N964" s="219"/>
      <c r="O964" s="219"/>
      <c r="P964" s="219"/>
      <c r="Q964" s="219"/>
      <c r="R964" s="219"/>
      <c r="S964" s="219"/>
      <c r="T964" s="219"/>
      <c r="U964" s="219"/>
      <c r="V964" s="219"/>
      <c r="W964" s="219"/>
      <c r="X964" s="219"/>
      <c r="Y964" s="219"/>
      <c r="Z964" s="219"/>
    </row>
    <row r="965">
      <c r="A965" s="244"/>
      <c r="B965" s="219"/>
      <c r="C965" s="219"/>
      <c r="D965" s="219"/>
      <c r="E965" s="213"/>
      <c r="F965" s="213"/>
      <c r="G965" s="213"/>
      <c r="H965" s="219"/>
      <c r="I965" s="219"/>
      <c r="J965" s="219"/>
      <c r="K965" s="219"/>
      <c r="L965" s="219"/>
      <c r="M965" s="219"/>
      <c r="N965" s="219"/>
      <c r="O965" s="219"/>
      <c r="P965" s="219"/>
      <c r="Q965" s="219"/>
      <c r="R965" s="219"/>
      <c r="S965" s="219"/>
      <c r="T965" s="219"/>
      <c r="U965" s="219"/>
      <c r="V965" s="219"/>
      <c r="W965" s="219"/>
      <c r="X965" s="219"/>
      <c r="Y965" s="219"/>
      <c r="Z965" s="219"/>
    </row>
    <row r="966">
      <c r="A966" s="244"/>
      <c r="B966" s="219"/>
      <c r="C966" s="219"/>
      <c r="D966" s="219"/>
      <c r="E966" s="213"/>
      <c r="F966" s="213"/>
      <c r="G966" s="213"/>
      <c r="H966" s="219"/>
      <c r="I966" s="219"/>
      <c r="J966" s="219"/>
      <c r="K966" s="219"/>
      <c r="L966" s="219"/>
      <c r="M966" s="219"/>
      <c r="N966" s="219"/>
      <c r="O966" s="219"/>
      <c r="P966" s="219"/>
      <c r="Q966" s="219"/>
      <c r="R966" s="219"/>
      <c r="S966" s="219"/>
      <c r="T966" s="219"/>
      <c r="U966" s="219"/>
      <c r="V966" s="219"/>
      <c r="W966" s="219"/>
      <c r="X966" s="219"/>
      <c r="Y966" s="219"/>
      <c r="Z966" s="219"/>
    </row>
    <row r="967">
      <c r="A967" s="244"/>
      <c r="B967" s="219"/>
      <c r="C967" s="219"/>
      <c r="D967" s="219"/>
      <c r="E967" s="213"/>
      <c r="F967" s="213"/>
      <c r="G967" s="213"/>
      <c r="H967" s="219"/>
      <c r="I967" s="219"/>
      <c r="J967" s="219"/>
      <c r="K967" s="219"/>
      <c r="L967" s="219"/>
      <c r="M967" s="219"/>
      <c r="N967" s="219"/>
      <c r="O967" s="219"/>
      <c r="P967" s="219"/>
      <c r="Q967" s="219"/>
      <c r="R967" s="219"/>
      <c r="S967" s="219"/>
      <c r="T967" s="219"/>
      <c r="U967" s="219"/>
      <c r="V967" s="219"/>
      <c r="W967" s="219"/>
      <c r="X967" s="219"/>
      <c r="Y967" s="219"/>
      <c r="Z967" s="219"/>
    </row>
    <row r="968">
      <c r="A968" s="244"/>
      <c r="B968" s="219"/>
      <c r="C968" s="219"/>
      <c r="D968" s="219"/>
      <c r="E968" s="213"/>
      <c r="F968" s="213"/>
      <c r="G968" s="213"/>
      <c r="H968" s="219"/>
      <c r="I968" s="219"/>
      <c r="J968" s="219"/>
      <c r="K968" s="219"/>
      <c r="L968" s="219"/>
      <c r="M968" s="219"/>
      <c r="N968" s="219"/>
      <c r="O968" s="219"/>
      <c r="P968" s="219"/>
      <c r="Q968" s="219"/>
      <c r="R968" s="219"/>
      <c r="S968" s="219"/>
      <c r="T968" s="219"/>
      <c r="U968" s="219"/>
      <c r="V968" s="219"/>
      <c r="W968" s="219"/>
      <c r="X968" s="219"/>
      <c r="Y968" s="219"/>
      <c r="Z968" s="219"/>
    </row>
    <row r="969">
      <c r="A969" s="244"/>
      <c r="B969" s="219"/>
      <c r="C969" s="219"/>
      <c r="D969" s="219"/>
      <c r="E969" s="213"/>
      <c r="F969" s="213"/>
      <c r="G969" s="213"/>
      <c r="H969" s="219"/>
      <c r="I969" s="219"/>
      <c r="J969" s="219"/>
      <c r="K969" s="219"/>
      <c r="L969" s="219"/>
      <c r="M969" s="219"/>
      <c r="N969" s="219"/>
      <c r="O969" s="219"/>
      <c r="P969" s="219"/>
      <c r="Q969" s="219"/>
      <c r="R969" s="219"/>
      <c r="S969" s="219"/>
      <c r="T969" s="219"/>
      <c r="U969" s="219"/>
      <c r="V969" s="219"/>
      <c r="W969" s="219"/>
      <c r="X969" s="219"/>
      <c r="Y969" s="219"/>
      <c r="Z969" s="219"/>
    </row>
    <row r="970">
      <c r="A970" s="244"/>
      <c r="B970" s="219"/>
      <c r="C970" s="219"/>
      <c r="D970" s="219"/>
      <c r="E970" s="213"/>
      <c r="F970" s="213"/>
      <c r="G970" s="213"/>
      <c r="H970" s="219"/>
      <c r="I970" s="219"/>
      <c r="J970" s="219"/>
      <c r="K970" s="219"/>
      <c r="L970" s="219"/>
      <c r="M970" s="219"/>
      <c r="N970" s="219"/>
      <c r="O970" s="219"/>
      <c r="P970" s="219"/>
      <c r="Q970" s="219"/>
      <c r="R970" s="219"/>
      <c r="S970" s="219"/>
      <c r="T970" s="219"/>
      <c r="U970" s="219"/>
      <c r="V970" s="219"/>
      <c r="W970" s="219"/>
      <c r="X970" s="219"/>
      <c r="Y970" s="219"/>
      <c r="Z970" s="219"/>
    </row>
    <row r="971">
      <c r="A971" s="244"/>
      <c r="B971" s="219"/>
      <c r="C971" s="219"/>
      <c r="D971" s="219"/>
      <c r="E971" s="213"/>
      <c r="F971" s="213"/>
      <c r="G971" s="213"/>
      <c r="H971" s="219"/>
      <c r="I971" s="219"/>
      <c r="J971" s="219"/>
      <c r="K971" s="219"/>
      <c r="L971" s="219"/>
      <c r="M971" s="219"/>
      <c r="N971" s="219"/>
      <c r="O971" s="219"/>
      <c r="P971" s="219"/>
      <c r="Q971" s="219"/>
      <c r="R971" s="219"/>
      <c r="S971" s="219"/>
      <c r="T971" s="219"/>
      <c r="U971" s="219"/>
      <c r="V971" s="219"/>
      <c r="W971" s="219"/>
      <c r="X971" s="219"/>
      <c r="Y971" s="219"/>
      <c r="Z971" s="219"/>
    </row>
    <row r="972">
      <c r="A972" s="244"/>
      <c r="B972" s="219"/>
      <c r="C972" s="219"/>
      <c r="D972" s="219"/>
      <c r="E972" s="213"/>
      <c r="F972" s="213"/>
      <c r="G972" s="213"/>
      <c r="H972" s="219"/>
      <c r="I972" s="219"/>
      <c r="J972" s="219"/>
      <c r="K972" s="219"/>
      <c r="L972" s="219"/>
      <c r="M972" s="219"/>
      <c r="N972" s="219"/>
      <c r="O972" s="219"/>
      <c r="P972" s="219"/>
      <c r="Q972" s="219"/>
      <c r="R972" s="219"/>
      <c r="S972" s="219"/>
      <c r="T972" s="219"/>
      <c r="U972" s="219"/>
      <c r="V972" s="219"/>
      <c r="W972" s="219"/>
      <c r="X972" s="219"/>
      <c r="Y972" s="219"/>
      <c r="Z972" s="219"/>
    </row>
    <row r="973">
      <c r="A973" s="244"/>
      <c r="B973" s="219"/>
      <c r="C973" s="219"/>
      <c r="D973" s="219"/>
      <c r="E973" s="213"/>
      <c r="F973" s="213"/>
      <c r="G973" s="213"/>
      <c r="H973" s="219"/>
      <c r="I973" s="219"/>
      <c r="J973" s="219"/>
      <c r="K973" s="219"/>
      <c r="L973" s="219"/>
      <c r="M973" s="219"/>
      <c r="N973" s="219"/>
      <c r="O973" s="219"/>
      <c r="P973" s="219"/>
      <c r="Q973" s="219"/>
      <c r="R973" s="219"/>
      <c r="S973" s="219"/>
      <c r="T973" s="219"/>
      <c r="U973" s="219"/>
      <c r="V973" s="219"/>
      <c r="W973" s="219"/>
      <c r="X973" s="219"/>
      <c r="Y973" s="219"/>
      <c r="Z973" s="219"/>
    </row>
    <row r="974">
      <c r="A974" s="244"/>
      <c r="B974" s="219"/>
      <c r="C974" s="219"/>
      <c r="D974" s="219"/>
      <c r="E974" s="213"/>
      <c r="F974" s="213"/>
      <c r="G974" s="213"/>
      <c r="H974" s="219"/>
      <c r="I974" s="219"/>
      <c r="J974" s="219"/>
      <c r="K974" s="219"/>
      <c r="L974" s="219"/>
      <c r="M974" s="219"/>
      <c r="N974" s="219"/>
      <c r="O974" s="219"/>
      <c r="P974" s="219"/>
      <c r="Q974" s="219"/>
      <c r="R974" s="219"/>
      <c r="S974" s="219"/>
      <c r="T974" s="219"/>
      <c r="U974" s="219"/>
      <c r="V974" s="219"/>
      <c r="W974" s="219"/>
      <c r="X974" s="219"/>
      <c r="Y974" s="219"/>
      <c r="Z974" s="219"/>
    </row>
    <row r="975">
      <c r="A975" s="244"/>
      <c r="B975" s="219"/>
      <c r="C975" s="219"/>
      <c r="D975" s="219"/>
      <c r="E975" s="213"/>
      <c r="F975" s="213"/>
      <c r="G975" s="213"/>
      <c r="H975" s="219"/>
      <c r="I975" s="219"/>
      <c r="J975" s="219"/>
      <c r="K975" s="219"/>
      <c r="L975" s="219"/>
      <c r="M975" s="219"/>
      <c r="N975" s="219"/>
      <c r="O975" s="219"/>
      <c r="P975" s="219"/>
      <c r="Q975" s="219"/>
      <c r="R975" s="219"/>
      <c r="S975" s="219"/>
      <c r="T975" s="219"/>
      <c r="U975" s="219"/>
      <c r="V975" s="219"/>
      <c r="W975" s="219"/>
      <c r="X975" s="219"/>
      <c r="Y975" s="219"/>
      <c r="Z975" s="219"/>
    </row>
    <row r="976">
      <c r="A976" s="244"/>
      <c r="B976" s="219"/>
      <c r="C976" s="219"/>
      <c r="D976" s="219"/>
      <c r="E976" s="213"/>
      <c r="F976" s="213"/>
      <c r="G976" s="213"/>
      <c r="H976" s="219"/>
      <c r="I976" s="219"/>
      <c r="J976" s="219"/>
      <c r="K976" s="219"/>
      <c r="L976" s="219"/>
      <c r="M976" s="219"/>
      <c r="N976" s="219"/>
      <c r="O976" s="219"/>
      <c r="P976" s="219"/>
      <c r="Q976" s="219"/>
      <c r="R976" s="219"/>
      <c r="S976" s="219"/>
      <c r="T976" s="219"/>
      <c r="U976" s="219"/>
      <c r="V976" s="219"/>
      <c r="W976" s="219"/>
      <c r="X976" s="219"/>
      <c r="Y976" s="219"/>
      <c r="Z976" s="219"/>
    </row>
    <row r="977">
      <c r="A977" s="244"/>
      <c r="B977" s="219"/>
      <c r="C977" s="219"/>
      <c r="D977" s="219"/>
      <c r="E977" s="213"/>
      <c r="F977" s="213"/>
      <c r="G977" s="213"/>
      <c r="H977" s="219"/>
      <c r="I977" s="219"/>
      <c r="J977" s="219"/>
      <c r="K977" s="219"/>
      <c r="L977" s="219"/>
      <c r="M977" s="219"/>
      <c r="N977" s="219"/>
      <c r="O977" s="219"/>
      <c r="P977" s="219"/>
      <c r="Q977" s="219"/>
      <c r="R977" s="219"/>
      <c r="S977" s="219"/>
      <c r="T977" s="219"/>
      <c r="U977" s="219"/>
      <c r="V977" s="219"/>
      <c r="W977" s="219"/>
      <c r="X977" s="219"/>
      <c r="Y977" s="219"/>
      <c r="Z977" s="219"/>
    </row>
    <row r="978">
      <c r="A978" s="244"/>
      <c r="B978" s="219"/>
      <c r="C978" s="219"/>
      <c r="D978" s="219"/>
      <c r="E978" s="213"/>
      <c r="F978" s="213"/>
      <c r="G978" s="213"/>
      <c r="H978" s="219"/>
      <c r="I978" s="219"/>
      <c r="J978" s="219"/>
      <c r="K978" s="219"/>
      <c r="L978" s="219"/>
      <c r="M978" s="219"/>
      <c r="N978" s="219"/>
      <c r="O978" s="219"/>
      <c r="P978" s="219"/>
      <c r="Q978" s="219"/>
      <c r="R978" s="219"/>
      <c r="S978" s="219"/>
      <c r="T978" s="219"/>
      <c r="U978" s="219"/>
      <c r="V978" s="219"/>
      <c r="W978" s="219"/>
      <c r="X978" s="219"/>
      <c r="Y978" s="219"/>
      <c r="Z978" s="219"/>
    </row>
    <row r="979">
      <c r="A979" s="244"/>
      <c r="B979" s="219"/>
      <c r="C979" s="219"/>
      <c r="D979" s="219"/>
      <c r="E979" s="213"/>
      <c r="F979" s="213"/>
      <c r="G979" s="213"/>
      <c r="H979" s="219"/>
      <c r="I979" s="219"/>
      <c r="J979" s="219"/>
      <c r="K979" s="219"/>
      <c r="L979" s="219"/>
      <c r="M979" s="219"/>
      <c r="N979" s="219"/>
      <c r="O979" s="219"/>
      <c r="P979" s="219"/>
      <c r="Q979" s="219"/>
      <c r="R979" s="219"/>
      <c r="S979" s="219"/>
      <c r="T979" s="219"/>
      <c r="U979" s="219"/>
      <c r="V979" s="219"/>
      <c r="W979" s="219"/>
      <c r="X979" s="219"/>
      <c r="Y979" s="219"/>
      <c r="Z979" s="219"/>
    </row>
    <row r="980">
      <c r="A980" s="244"/>
      <c r="B980" s="219"/>
      <c r="C980" s="219"/>
      <c r="D980" s="219"/>
      <c r="E980" s="213"/>
      <c r="F980" s="213"/>
      <c r="G980" s="213"/>
      <c r="H980" s="219"/>
      <c r="I980" s="219"/>
      <c r="J980" s="219"/>
      <c r="K980" s="219"/>
      <c r="L980" s="219"/>
      <c r="M980" s="219"/>
      <c r="N980" s="219"/>
      <c r="O980" s="219"/>
      <c r="P980" s="219"/>
      <c r="Q980" s="219"/>
      <c r="R980" s="219"/>
      <c r="S980" s="219"/>
      <c r="T980" s="219"/>
      <c r="U980" s="219"/>
      <c r="V980" s="219"/>
      <c r="W980" s="219"/>
      <c r="X980" s="219"/>
      <c r="Y980" s="219"/>
      <c r="Z980" s="219"/>
    </row>
    <row r="981">
      <c r="A981" s="244"/>
      <c r="B981" s="219"/>
      <c r="C981" s="219"/>
      <c r="D981" s="219"/>
      <c r="E981" s="213"/>
      <c r="F981" s="213"/>
      <c r="G981" s="213"/>
      <c r="H981" s="219"/>
      <c r="I981" s="219"/>
      <c r="J981" s="219"/>
      <c r="K981" s="219"/>
      <c r="L981" s="219"/>
      <c r="M981" s="219"/>
      <c r="N981" s="219"/>
      <c r="O981" s="219"/>
      <c r="P981" s="219"/>
      <c r="Q981" s="219"/>
      <c r="R981" s="219"/>
      <c r="S981" s="219"/>
      <c r="T981" s="219"/>
      <c r="U981" s="219"/>
      <c r="V981" s="219"/>
      <c r="W981" s="219"/>
      <c r="X981" s="219"/>
      <c r="Y981" s="219"/>
      <c r="Z981" s="219"/>
    </row>
    <row r="982">
      <c r="A982" s="244"/>
      <c r="B982" s="219"/>
      <c r="C982" s="219"/>
      <c r="D982" s="219"/>
      <c r="E982" s="213"/>
      <c r="F982" s="213"/>
      <c r="G982" s="213"/>
      <c r="H982" s="219"/>
      <c r="I982" s="219"/>
      <c r="J982" s="219"/>
      <c r="K982" s="219"/>
      <c r="L982" s="219"/>
      <c r="M982" s="219"/>
      <c r="N982" s="219"/>
      <c r="O982" s="219"/>
      <c r="P982" s="219"/>
      <c r="Q982" s="219"/>
      <c r="R982" s="219"/>
      <c r="S982" s="219"/>
      <c r="T982" s="219"/>
      <c r="U982" s="219"/>
      <c r="V982" s="219"/>
      <c r="W982" s="219"/>
      <c r="X982" s="219"/>
      <c r="Y982" s="219"/>
      <c r="Z982" s="219"/>
    </row>
    <row r="983">
      <c r="A983" s="244"/>
      <c r="B983" s="219"/>
      <c r="C983" s="219"/>
      <c r="D983" s="219"/>
      <c r="E983" s="213"/>
      <c r="F983" s="213"/>
      <c r="G983" s="213"/>
      <c r="H983" s="219"/>
      <c r="I983" s="219"/>
      <c r="J983" s="219"/>
      <c r="K983" s="219"/>
      <c r="L983" s="219"/>
      <c r="M983" s="219"/>
      <c r="N983" s="219"/>
      <c r="O983" s="219"/>
      <c r="P983" s="219"/>
      <c r="Q983" s="219"/>
      <c r="R983" s="219"/>
      <c r="S983" s="219"/>
      <c r="T983" s="219"/>
      <c r="U983" s="219"/>
      <c r="V983" s="219"/>
      <c r="W983" s="219"/>
      <c r="X983" s="219"/>
      <c r="Y983" s="219"/>
      <c r="Z983" s="219"/>
    </row>
    <row r="984">
      <c r="A984" s="244"/>
      <c r="B984" s="219"/>
      <c r="C984" s="219"/>
      <c r="D984" s="219"/>
      <c r="E984" s="213"/>
      <c r="F984" s="213"/>
      <c r="G984" s="213"/>
      <c r="H984" s="219"/>
      <c r="I984" s="219"/>
      <c r="J984" s="219"/>
      <c r="K984" s="219"/>
      <c r="L984" s="219"/>
      <c r="M984" s="219"/>
      <c r="N984" s="219"/>
      <c r="O984" s="219"/>
      <c r="P984" s="219"/>
      <c r="Q984" s="219"/>
      <c r="R984" s="219"/>
      <c r="S984" s="219"/>
      <c r="T984" s="219"/>
      <c r="U984" s="219"/>
      <c r="V984" s="219"/>
      <c r="W984" s="219"/>
      <c r="X984" s="219"/>
      <c r="Y984" s="219"/>
      <c r="Z984" s="219"/>
    </row>
    <row r="985">
      <c r="A985" s="244"/>
      <c r="B985" s="219"/>
      <c r="C985" s="219"/>
      <c r="D985" s="219"/>
      <c r="E985" s="213"/>
      <c r="F985" s="213"/>
      <c r="G985" s="213"/>
      <c r="H985" s="219"/>
      <c r="I985" s="219"/>
      <c r="J985" s="219"/>
      <c r="K985" s="219"/>
      <c r="L985" s="219"/>
      <c r="M985" s="219"/>
      <c r="N985" s="219"/>
      <c r="O985" s="219"/>
      <c r="P985" s="219"/>
      <c r="Q985" s="219"/>
      <c r="R985" s="219"/>
      <c r="S985" s="219"/>
      <c r="T985" s="219"/>
      <c r="U985" s="219"/>
      <c r="V985" s="219"/>
      <c r="W985" s="219"/>
      <c r="X985" s="219"/>
      <c r="Y985" s="219"/>
      <c r="Z985" s="219"/>
    </row>
    <row r="986">
      <c r="A986" s="244"/>
      <c r="B986" s="219"/>
      <c r="C986" s="219"/>
      <c r="D986" s="219"/>
      <c r="E986" s="213"/>
      <c r="F986" s="213"/>
      <c r="G986" s="213"/>
      <c r="H986" s="219"/>
      <c r="I986" s="219"/>
      <c r="J986" s="219"/>
      <c r="K986" s="219"/>
      <c r="L986" s="219"/>
      <c r="M986" s="219"/>
      <c r="N986" s="219"/>
      <c r="O986" s="219"/>
      <c r="P986" s="219"/>
      <c r="Q986" s="219"/>
      <c r="R986" s="219"/>
      <c r="S986" s="219"/>
      <c r="T986" s="219"/>
      <c r="U986" s="219"/>
      <c r="V986" s="219"/>
      <c r="W986" s="219"/>
      <c r="X986" s="219"/>
      <c r="Y986" s="219"/>
      <c r="Z986" s="219"/>
    </row>
    <row r="987">
      <c r="A987" s="244"/>
      <c r="B987" s="219"/>
      <c r="C987" s="219"/>
      <c r="D987" s="219"/>
      <c r="E987" s="213"/>
      <c r="F987" s="213"/>
      <c r="G987" s="213"/>
      <c r="H987" s="219"/>
      <c r="I987" s="219"/>
      <c r="J987" s="219"/>
      <c r="K987" s="219"/>
      <c r="L987" s="219"/>
      <c r="M987" s="219"/>
      <c r="N987" s="219"/>
      <c r="O987" s="219"/>
      <c r="P987" s="219"/>
      <c r="Q987" s="219"/>
      <c r="R987" s="219"/>
      <c r="S987" s="219"/>
      <c r="T987" s="219"/>
      <c r="U987" s="219"/>
      <c r="V987" s="219"/>
      <c r="W987" s="219"/>
      <c r="X987" s="219"/>
      <c r="Y987" s="219"/>
      <c r="Z987" s="219"/>
    </row>
    <row r="988">
      <c r="A988" s="244"/>
      <c r="B988" s="219"/>
      <c r="C988" s="219"/>
      <c r="D988" s="219"/>
      <c r="E988" s="213"/>
      <c r="F988" s="213"/>
      <c r="G988" s="213"/>
      <c r="H988" s="219"/>
      <c r="I988" s="219"/>
      <c r="J988" s="219"/>
      <c r="K988" s="219"/>
      <c r="L988" s="219"/>
      <c r="M988" s="219"/>
      <c r="N988" s="219"/>
      <c r="O988" s="219"/>
      <c r="P988" s="219"/>
      <c r="Q988" s="219"/>
      <c r="R988" s="219"/>
      <c r="S988" s="219"/>
      <c r="T988" s="219"/>
      <c r="U988" s="219"/>
      <c r="V988" s="219"/>
      <c r="W988" s="219"/>
      <c r="X988" s="219"/>
      <c r="Y988" s="219"/>
      <c r="Z988" s="219"/>
    </row>
    <row r="989">
      <c r="A989" s="244"/>
      <c r="B989" s="219"/>
      <c r="C989" s="219"/>
      <c r="D989" s="219"/>
      <c r="E989" s="213"/>
      <c r="F989" s="213"/>
      <c r="G989" s="213"/>
      <c r="H989" s="219"/>
      <c r="I989" s="219"/>
      <c r="J989" s="219"/>
      <c r="K989" s="219"/>
      <c r="L989" s="219"/>
      <c r="M989" s="219"/>
      <c r="N989" s="219"/>
      <c r="O989" s="219"/>
      <c r="P989" s="219"/>
      <c r="Q989" s="219"/>
      <c r="R989" s="219"/>
      <c r="S989" s="219"/>
      <c r="T989" s="219"/>
      <c r="U989" s="219"/>
      <c r="V989" s="219"/>
      <c r="W989" s="219"/>
      <c r="X989" s="219"/>
      <c r="Y989" s="219"/>
      <c r="Z989" s="219"/>
    </row>
    <row r="990">
      <c r="A990" s="244"/>
      <c r="B990" s="219"/>
      <c r="C990" s="219"/>
      <c r="D990" s="219"/>
      <c r="E990" s="213"/>
      <c r="F990" s="213"/>
      <c r="G990" s="213"/>
      <c r="H990" s="219"/>
      <c r="I990" s="219"/>
      <c r="J990" s="219"/>
      <c r="K990" s="219"/>
      <c r="L990" s="219"/>
      <c r="M990" s="219"/>
      <c r="N990" s="219"/>
      <c r="O990" s="219"/>
      <c r="P990" s="219"/>
      <c r="Q990" s="219"/>
      <c r="R990" s="219"/>
      <c r="S990" s="219"/>
      <c r="T990" s="219"/>
      <c r="U990" s="219"/>
      <c r="V990" s="219"/>
      <c r="W990" s="219"/>
      <c r="X990" s="219"/>
      <c r="Y990" s="219"/>
      <c r="Z990" s="219"/>
    </row>
    <row r="991">
      <c r="A991" s="244"/>
      <c r="B991" s="219"/>
      <c r="C991" s="219"/>
      <c r="D991" s="219"/>
      <c r="E991" s="213"/>
      <c r="F991" s="213"/>
      <c r="G991" s="213"/>
      <c r="H991" s="219"/>
      <c r="I991" s="219"/>
      <c r="J991" s="219"/>
      <c r="K991" s="219"/>
      <c r="L991" s="219"/>
      <c r="M991" s="219"/>
      <c r="N991" s="219"/>
      <c r="O991" s="219"/>
      <c r="P991" s="219"/>
      <c r="Q991" s="219"/>
      <c r="R991" s="219"/>
      <c r="S991" s="219"/>
      <c r="T991" s="219"/>
      <c r="U991" s="219"/>
      <c r="V991" s="219"/>
      <c r="W991" s="219"/>
      <c r="X991" s="219"/>
      <c r="Y991" s="219"/>
      <c r="Z991" s="219"/>
    </row>
    <row r="992">
      <c r="A992" s="244"/>
      <c r="B992" s="219"/>
      <c r="C992" s="219"/>
      <c r="D992" s="219"/>
      <c r="E992" s="213"/>
      <c r="F992" s="213"/>
      <c r="G992" s="213"/>
      <c r="H992" s="219"/>
      <c r="I992" s="219"/>
      <c r="J992" s="219"/>
      <c r="K992" s="219"/>
      <c r="L992" s="219"/>
      <c r="M992" s="219"/>
      <c r="N992" s="219"/>
      <c r="O992" s="219"/>
      <c r="P992" s="219"/>
      <c r="Q992" s="219"/>
      <c r="R992" s="219"/>
      <c r="S992" s="219"/>
      <c r="T992" s="219"/>
      <c r="U992" s="219"/>
      <c r="V992" s="219"/>
      <c r="W992" s="219"/>
      <c r="X992" s="219"/>
      <c r="Y992" s="219"/>
      <c r="Z992" s="219"/>
    </row>
    <row r="993">
      <c r="A993" s="244"/>
      <c r="B993" s="219"/>
      <c r="C993" s="219"/>
      <c r="D993" s="219"/>
      <c r="E993" s="213"/>
      <c r="F993" s="213"/>
      <c r="G993" s="213"/>
      <c r="H993" s="219"/>
      <c r="I993" s="219"/>
      <c r="J993" s="219"/>
      <c r="K993" s="219"/>
      <c r="L993" s="219"/>
      <c r="M993" s="219"/>
      <c r="N993" s="219"/>
      <c r="O993" s="219"/>
      <c r="P993" s="219"/>
      <c r="Q993" s="219"/>
      <c r="R993" s="219"/>
      <c r="S993" s="219"/>
      <c r="T993" s="219"/>
      <c r="U993" s="219"/>
      <c r="V993" s="219"/>
      <c r="W993" s="219"/>
      <c r="X993" s="219"/>
      <c r="Y993" s="219"/>
      <c r="Z993" s="219"/>
    </row>
    <row r="994">
      <c r="A994" s="244"/>
      <c r="B994" s="219"/>
      <c r="C994" s="219"/>
      <c r="D994" s="219"/>
      <c r="E994" s="213"/>
      <c r="F994" s="213"/>
      <c r="G994" s="213"/>
      <c r="H994" s="219"/>
      <c r="I994" s="219"/>
      <c r="J994" s="219"/>
      <c r="K994" s="219"/>
      <c r="L994" s="219"/>
      <c r="M994" s="219"/>
      <c r="N994" s="219"/>
      <c r="O994" s="219"/>
      <c r="P994" s="219"/>
      <c r="Q994" s="219"/>
      <c r="R994" s="219"/>
      <c r="S994" s="219"/>
      <c r="T994" s="219"/>
      <c r="U994" s="219"/>
      <c r="V994" s="219"/>
      <c r="W994" s="219"/>
      <c r="X994" s="219"/>
      <c r="Y994" s="219"/>
      <c r="Z994" s="219"/>
    </row>
    <row r="995">
      <c r="A995" s="244"/>
      <c r="B995" s="219"/>
      <c r="C995" s="219"/>
      <c r="D995" s="219"/>
      <c r="E995" s="213"/>
      <c r="F995" s="213"/>
      <c r="G995" s="213"/>
      <c r="H995" s="219"/>
      <c r="I995" s="219"/>
      <c r="J995" s="219"/>
      <c r="K995" s="219"/>
      <c r="L995" s="219"/>
      <c r="M995" s="219"/>
      <c r="N995" s="219"/>
      <c r="O995" s="219"/>
      <c r="P995" s="219"/>
      <c r="Q995" s="219"/>
      <c r="R995" s="219"/>
      <c r="S995" s="219"/>
      <c r="T995" s="219"/>
      <c r="U995" s="219"/>
      <c r="V995" s="219"/>
      <c r="W995" s="219"/>
      <c r="X995" s="219"/>
      <c r="Y995" s="219"/>
      <c r="Z995" s="219"/>
    </row>
    <row r="996">
      <c r="A996" s="244"/>
      <c r="B996" s="219"/>
      <c r="C996" s="219"/>
      <c r="D996" s="219"/>
      <c r="E996" s="213"/>
      <c r="F996" s="213"/>
      <c r="G996" s="213"/>
      <c r="H996" s="219"/>
      <c r="I996" s="219"/>
      <c r="J996" s="219"/>
      <c r="K996" s="219"/>
      <c r="L996" s="219"/>
      <c r="M996" s="219"/>
      <c r="N996" s="219"/>
      <c r="O996" s="219"/>
      <c r="P996" s="219"/>
      <c r="Q996" s="219"/>
      <c r="R996" s="219"/>
      <c r="S996" s="219"/>
      <c r="T996" s="219"/>
      <c r="U996" s="219"/>
      <c r="V996" s="219"/>
      <c r="W996" s="219"/>
      <c r="X996" s="219"/>
      <c r="Y996" s="219"/>
      <c r="Z996" s="219"/>
    </row>
    <row r="997">
      <c r="A997" s="244"/>
      <c r="B997" s="219"/>
      <c r="C997" s="219"/>
      <c r="D997" s="219"/>
      <c r="E997" s="213"/>
      <c r="F997" s="213"/>
      <c r="G997" s="213"/>
      <c r="H997" s="219"/>
      <c r="I997" s="219"/>
      <c r="J997" s="219"/>
      <c r="K997" s="219"/>
      <c r="L997" s="219"/>
      <c r="M997" s="219"/>
      <c r="N997" s="219"/>
      <c r="O997" s="219"/>
      <c r="P997" s="219"/>
      <c r="Q997" s="219"/>
      <c r="R997" s="219"/>
      <c r="S997" s="219"/>
      <c r="T997" s="219"/>
      <c r="U997" s="219"/>
      <c r="V997" s="219"/>
      <c r="W997" s="219"/>
      <c r="X997" s="219"/>
      <c r="Y997" s="219"/>
      <c r="Z997" s="219"/>
    </row>
    <row r="998">
      <c r="A998" s="244"/>
      <c r="B998" s="219"/>
      <c r="C998" s="219"/>
      <c r="D998" s="219"/>
      <c r="E998" s="213"/>
      <c r="F998" s="213"/>
      <c r="G998" s="213"/>
      <c r="H998" s="219"/>
      <c r="I998" s="219"/>
      <c r="J998" s="219"/>
      <c r="K998" s="219"/>
      <c r="L998" s="219"/>
      <c r="M998" s="219"/>
      <c r="N998" s="219"/>
      <c r="O998" s="219"/>
      <c r="P998" s="219"/>
      <c r="Q998" s="219"/>
      <c r="R998" s="219"/>
      <c r="S998" s="219"/>
      <c r="T998" s="219"/>
      <c r="U998" s="219"/>
      <c r="V998" s="219"/>
      <c r="W998" s="219"/>
      <c r="X998" s="219"/>
      <c r="Y998" s="219"/>
      <c r="Z998" s="219"/>
    </row>
    <row r="999">
      <c r="A999" s="244"/>
      <c r="B999" s="219"/>
      <c r="C999" s="219"/>
      <c r="D999" s="219"/>
      <c r="E999" s="213"/>
      <c r="F999" s="213"/>
      <c r="G999" s="213"/>
      <c r="H999" s="219"/>
      <c r="I999" s="219"/>
      <c r="J999" s="219"/>
      <c r="K999" s="219"/>
      <c r="L999" s="219"/>
      <c r="M999" s="219"/>
      <c r="N999" s="219"/>
      <c r="O999" s="219"/>
      <c r="P999" s="219"/>
      <c r="Q999" s="219"/>
      <c r="R999" s="219"/>
      <c r="S999" s="219"/>
      <c r="T999" s="219"/>
      <c r="U999" s="219"/>
      <c r="V999" s="219"/>
      <c r="W999" s="219"/>
      <c r="X999" s="219"/>
      <c r="Y999" s="219"/>
      <c r="Z999" s="219"/>
    </row>
    <row r="1000">
      <c r="A1000" s="244"/>
      <c r="B1000" s="219"/>
      <c r="C1000" s="219"/>
      <c r="D1000" s="219"/>
      <c r="E1000" s="213"/>
      <c r="F1000" s="213"/>
      <c r="G1000" s="213"/>
      <c r="H1000" s="219"/>
      <c r="I1000" s="219"/>
      <c r="J1000" s="219"/>
      <c r="K1000" s="219"/>
      <c r="L1000" s="219"/>
      <c r="M1000" s="219"/>
      <c r="N1000" s="219"/>
      <c r="O1000" s="219"/>
      <c r="P1000" s="219"/>
      <c r="Q1000" s="219"/>
      <c r="R1000" s="219"/>
      <c r="S1000" s="219"/>
      <c r="T1000" s="219"/>
      <c r="U1000" s="219"/>
      <c r="V1000" s="219"/>
      <c r="W1000" s="219"/>
      <c r="X1000" s="219"/>
      <c r="Y1000" s="219"/>
      <c r="Z1000" s="219"/>
    </row>
  </sheetData>
  <mergeCells count="5">
    <mergeCell ref="A161:C161"/>
    <mergeCell ref="A162:C162"/>
    <mergeCell ref="A163:C163"/>
    <mergeCell ref="A164:D164"/>
    <mergeCell ref="A165:C16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3" max="3" width="23.0"/>
    <col customWidth="1" min="4" max="4" width="30.25"/>
    <col customWidth="1" min="5" max="5" width="13.0"/>
  </cols>
  <sheetData>
    <row r="1">
      <c r="A1" s="248" t="s">
        <v>395</v>
      </c>
      <c r="B1" s="249" t="s">
        <v>396</v>
      </c>
      <c r="C1" s="249" t="s">
        <v>397</v>
      </c>
      <c r="D1" s="249" t="s">
        <v>398</v>
      </c>
      <c r="E1" s="250" t="s">
        <v>399</v>
      </c>
      <c r="F1" s="251" t="s">
        <v>400</v>
      </c>
      <c r="G1" s="251" t="s">
        <v>401</v>
      </c>
      <c r="H1" s="252"/>
      <c r="I1" s="253"/>
      <c r="J1" s="253"/>
      <c r="K1" s="253"/>
      <c r="L1" s="253"/>
      <c r="M1" s="253"/>
      <c r="N1" s="254"/>
      <c r="O1" s="254"/>
      <c r="P1" s="254"/>
      <c r="Q1" s="254"/>
      <c r="R1" s="254"/>
      <c r="S1" s="254"/>
      <c r="T1" s="254"/>
      <c r="U1" s="254"/>
      <c r="V1" s="254"/>
    </row>
    <row r="2">
      <c r="A2" s="255">
        <v>1.0</v>
      </c>
      <c r="B2" s="256" t="s">
        <v>402</v>
      </c>
      <c r="C2" s="257" t="s">
        <v>403</v>
      </c>
      <c r="D2" s="257" t="s">
        <v>403</v>
      </c>
      <c r="E2" s="258" t="s">
        <v>404</v>
      </c>
      <c r="F2" s="259" t="s">
        <v>405</v>
      </c>
      <c r="G2" s="259" t="s">
        <v>404</v>
      </c>
      <c r="H2" s="241"/>
    </row>
    <row r="3">
      <c r="A3" s="255">
        <v>2.0</v>
      </c>
      <c r="B3" s="256" t="s">
        <v>406</v>
      </c>
      <c r="C3" s="257" t="s">
        <v>407</v>
      </c>
      <c r="D3" s="257" t="s">
        <v>407</v>
      </c>
      <c r="E3" s="258" t="s">
        <v>408</v>
      </c>
      <c r="F3" s="259" t="s">
        <v>409</v>
      </c>
      <c r="G3" s="259" t="s">
        <v>408</v>
      </c>
      <c r="H3" s="241"/>
    </row>
    <row r="4">
      <c r="A4" s="255">
        <v>3.0</v>
      </c>
      <c r="B4" s="256" t="s">
        <v>410</v>
      </c>
      <c r="C4" s="257" t="s">
        <v>411</v>
      </c>
      <c r="D4" s="257" t="s">
        <v>411</v>
      </c>
      <c r="E4" s="258" t="s">
        <v>412</v>
      </c>
      <c r="F4" s="259" t="s">
        <v>413</v>
      </c>
      <c r="G4" s="259" t="s">
        <v>412</v>
      </c>
      <c r="H4" s="241"/>
    </row>
    <row r="5">
      <c r="A5" s="260">
        <v>4.0</v>
      </c>
      <c r="B5" s="256" t="s">
        <v>414</v>
      </c>
      <c r="C5" s="257" t="s">
        <v>415</v>
      </c>
      <c r="D5" s="257" t="s">
        <v>415</v>
      </c>
      <c r="E5" s="258" t="s">
        <v>416</v>
      </c>
      <c r="F5" s="259" t="s">
        <v>417</v>
      </c>
      <c r="G5" s="259" t="s">
        <v>416</v>
      </c>
      <c r="H5" s="241"/>
    </row>
    <row r="6">
      <c r="A6" s="260">
        <v>5.0</v>
      </c>
      <c r="B6" s="256" t="s">
        <v>418</v>
      </c>
      <c r="C6" s="257" t="s">
        <v>419</v>
      </c>
      <c r="D6" s="257" t="s">
        <v>419</v>
      </c>
      <c r="E6" s="258" t="s">
        <v>420</v>
      </c>
      <c r="F6" s="259" t="s">
        <v>421</v>
      </c>
      <c r="G6" s="259" t="s">
        <v>420</v>
      </c>
      <c r="H6" s="241"/>
    </row>
    <row r="7">
      <c r="A7" s="260">
        <v>6.0</v>
      </c>
      <c r="B7" s="256" t="s">
        <v>422</v>
      </c>
      <c r="C7" s="257" t="s">
        <v>423</v>
      </c>
      <c r="D7" s="257" t="s">
        <v>423</v>
      </c>
      <c r="E7" s="258" t="s">
        <v>424</v>
      </c>
      <c r="F7" s="259" t="s">
        <v>425</v>
      </c>
      <c r="G7" s="259" t="s">
        <v>424</v>
      </c>
      <c r="H7" s="241"/>
    </row>
    <row r="8">
      <c r="A8" s="260">
        <v>7.0</v>
      </c>
      <c r="B8" s="256" t="s">
        <v>426</v>
      </c>
      <c r="C8" s="257" t="s">
        <v>427</v>
      </c>
      <c r="D8" s="257" t="s">
        <v>427</v>
      </c>
      <c r="E8" s="258" t="s">
        <v>428</v>
      </c>
      <c r="F8" s="259" t="s">
        <v>429</v>
      </c>
      <c r="G8" s="259" t="s">
        <v>428</v>
      </c>
      <c r="H8" s="241"/>
    </row>
    <row r="9">
      <c r="A9" s="260">
        <v>8.0</v>
      </c>
      <c r="B9" s="256" t="s">
        <v>430</v>
      </c>
      <c r="C9" s="257" t="s">
        <v>431</v>
      </c>
      <c r="D9" s="257" t="s">
        <v>431</v>
      </c>
      <c r="E9" s="258" t="s">
        <v>432</v>
      </c>
      <c r="F9" s="259" t="s">
        <v>433</v>
      </c>
      <c r="G9" s="259" t="s">
        <v>432</v>
      </c>
      <c r="H9" s="241"/>
    </row>
    <row r="10">
      <c r="A10" s="261"/>
      <c r="B10" s="262"/>
      <c r="C10" s="262"/>
      <c r="D10" s="262"/>
      <c r="E10" s="263"/>
      <c r="F10" s="241"/>
      <c r="G10" s="241"/>
      <c r="H10" s="241"/>
    </row>
    <row r="11">
      <c r="A11" s="260">
        <v>9.0</v>
      </c>
      <c r="B11" s="256" t="s">
        <v>434</v>
      </c>
      <c r="C11" s="257" t="s">
        <v>435</v>
      </c>
      <c r="D11" s="257" t="s">
        <v>435</v>
      </c>
      <c r="E11" s="258" t="s">
        <v>436</v>
      </c>
      <c r="F11" s="259" t="s">
        <v>437</v>
      </c>
      <c r="G11" s="259" t="s">
        <v>436</v>
      </c>
      <c r="H11" s="241"/>
    </row>
    <row r="12">
      <c r="A12" s="260">
        <v>10.0</v>
      </c>
      <c r="B12" s="256" t="s">
        <v>438</v>
      </c>
      <c r="C12" s="257" t="s">
        <v>439</v>
      </c>
      <c r="D12" s="257" t="s">
        <v>439</v>
      </c>
      <c r="E12" s="258" t="s">
        <v>440</v>
      </c>
      <c r="F12" s="259" t="s">
        <v>441</v>
      </c>
      <c r="G12" s="259" t="s">
        <v>440</v>
      </c>
      <c r="H12" s="241"/>
    </row>
    <row r="13">
      <c r="A13" s="260">
        <v>11.0</v>
      </c>
      <c r="B13" s="256" t="s">
        <v>442</v>
      </c>
      <c r="C13" s="257" t="s">
        <v>443</v>
      </c>
      <c r="D13" s="257" t="s">
        <v>443</v>
      </c>
      <c r="E13" s="258" t="s">
        <v>444</v>
      </c>
      <c r="F13" s="259" t="s">
        <v>445</v>
      </c>
      <c r="G13" s="259" t="s">
        <v>444</v>
      </c>
      <c r="H13" s="241"/>
    </row>
    <row r="14">
      <c r="A14" s="260">
        <v>12.0</v>
      </c>
      <c r="B14" s="256" t="s">
        <v>446</v>
      </c>
      <c r="C14" s="257" t="s">
        <v>447</v>
      </c>
      <c r="D14" s="257" t="s">
        <v>447</v>
      </c>
      <c r="E14" s="258" t="s">
        <v>448</v>
      </c>
      <c r="F14" s="259" t="s">
        <v>449</v>
      </c>
      <c r="G14" s="259" t="s">
        <v>448</v>
      </c>
      <c r="H14" s="241"/>
    </row>
    <row r="15">
      <c r="A15" s="260">
        <v>13.0</v>
      </c>
      <c r="B15" s="256" t="s">
        <v>450</v>
      </c>
      <c r="C15" s="257" t="s">
        <v>451</v>
      </c>
      <c r="D15" s="257" t="s">
        <v>451</v>
      </c>
      <c r="E15" s="258" t="s">
        <v>452</v>
      </c>
      <c r="F15" s="259" t="s">
        <v>453</v>
      </c>
      <c r="G15" s="259" t="s">
        <v>452</v>
      </c>
      <c r="H15" s="241"/>
    </row>
    <row r="16">
      <c r="A16" s="260">
        <v>14.0</v>
      </c>
      <c r="B16" s="256" t="s">
        <v>454</v>
      </c>
      <c r="C16" s="257" t="s">
        <v>455</v>
      </c>
      <c r="D16" s="257" t="s">
        <v>455</v>
      </c>
      <c r="E16" s="258" t="s">
        <v>456</v>
      </c>
      <c r="F16" s="259" t="s">
        <v>457</v>
      </c>
      <c r="G16" s="259" t="s">
        <v>456</v>
      </c>
      <c r="H16" s="241"/>
    </row>
    <row r="17">
      <c r="A17" s="260">
        <v>15.0</v>
      </c>
      <c r="B17" s="256" t="s">
        <v>458</v>
      </c>
      <c r="C17" s="257" t="s">
        <v>459</v>
      </c>
      <c r="D17" s="257" t="s">
        <v>459</v>
      </c>
      <c r="E17" s="258" t="s">
        <v>460</v>
      </c>
      <c r="F17" s="259" t="s">
        <v>461</v>
      </c>
      <c r="G17" s="259" t="s">
        <v>460</v>
      </c>
      <c r="H17" s="241"/>
    </row>
    <row r="18">
      <c r="A18" s="260">
        <v>16.0</v>
      </c>
      <c r="B18" s="256" t="s">
        <v>462</v>
      </c>
      <c r="C18" s="257" t="s">
        <v>463</v>
      </c>
      <c r="D18" s="257" t="s">
        <v>463</v>
      </c>
      <c r="E18" s="258" t="s">
        <v>464</v>
      </c>
      <c r="F18" s="259" t="s">
        <v>465</v>
      </c>
      <c r="G18" s="259" t="s">
        <v>464</v>
      </c>
      <c r="H18" s="241"/>
    </row>
    <row r="19">
      <c r="A19" s="261"/>
      <c r="B19" s="262"/>
      <c r="C19" s="262"/>
      <c r="D19" s="262"/>
      <c r="E19" s="263"/>
      <c r="F19" s="241"/>
      <c r="G19" s="241"/>
      <c r="H19" s="241"/>
    </row>
    <row r="20">
      <c r="A20" s="260">
        <v>17.0</v>
      </c>
      <c r="B20" s="256" t="s">
        <v>466</v>
      </c>
      <c r="C20" s="257" t="s">
        <v>467</v>
      </c>
      <c r="D20" s="257" t="s">
        <v>467</v>
      </c>
      <c r="E20" s="258" t="s">
        <v>468</v>
      </c>
      <c r="F20" s="259" t="s">
        <v>469</v>
      </c>
      <c r="G20" s="259" t="s">
        <v>468</v>
      </c>
      <c r="H20" s="241"/>
    </row>
    <row r="21">
      <c r="A21" s="260">
        <v>18.0</v>
      </c>
      <c r="B21" s="256" t="s">
        <v>470</v>
      </c>
      <c r="C21" s="257" t="s">
        <v>471</v>
      </c>
      <c r="D21" s="257" t="s">
        <v>471</v>
      </c>
      <c r="E21" s="258" t="s">
        <v>472</v>
      </c>
      <c r="F21" s="259" t="s">
        <v>473</v>
      </c>
      <c r="G21" s="259" t="s">
        <v>472</v>
      </c>
      <c r="H21" s="241"/>
    </row>
    <row r="22">
      <c r="A22" s="260">
        <v>19.0</v>
      </c>
      <c r="B22" s="256" t="s">
        <v>474</v>
      </c>
      <c r="C22" s="257" t="s">
        <v>475</v>
      </c>
      <c r="D22" s="257" t="s">
        <v>475</v>
      </c>
      <c r="E22" s="258" t="s">
        <v>476</v>
      </c>
      <c r="F22" s="259" t="s">
        <v>477</v>
      </c>
      <c r="G22" s="259" t="s">
        <v>476</v>
      </c>
      <c r="H22" s="241"/>
    </row>
    <row r="23">
      <c r="A23" s="260">
        <v>20.0</v>
      </c>
      <c r="B23" s="256" t="s">
        <v>478</v>
      </c>
      <c r="C23" s="257" t="s">
        <v>479</v>
      </c>
      <c r="D23" s="257" t="s">
        <v>479</v>
      </c>
      <c r="E23" s="258" t="s">
        <v>480</v>
      </c>
      <c r="F23" s="259" t="s">
        <v>481</v>
      </c>
      <c r="G23" s="259" t="s">
        <v>480</v>
      </c>
      <c r="H23" s="241"/>
    </row>
    <row r="24">
      <c r="A24" s="260">
        <v>21.0</v>
      </c>
      <c r="B24" s="256" t="s">
        <v>482</v>
      </c>
      <c r="C24" s="257" t="s">
        <v>483</v>
      </c>
      <c r="D24" s="257" t="s">
        <v>483</v>
      </c>
      <c r="E24" s="258" t="s">
        <v>484</v>
      </c>
      <c r="F24" s="259" t="s">
        <v>485</v>
      </c>
      <c r="G24" s="259" t="s">
        <v>484</v>
      </c>
      <c r="H24" s="241"/>
    </row>
    <row r="25">
      <c r="A25" s="260">
        <v>22.0</v>
      </c>
      <c r="B25" s="256" t="s">
        <v>486</v>
      </c>
      <c r="C25" s="257" t="s">
        <v>487</v>
      </c>
      <c r="D25" s="257" t="s">
        <v>487</v>
      </c>
      <c r="E25" s="258" t="s">
        <v>488</v>
      </c>
      <c r="F25" s="259" t="s">
        <v>489</v>
      </c>
      <c r="G25" s="259" t="s">
        <v>488</v>
      </c>
      <c r="H25" s="241"/>
    </row>
    <row r="26">
      <c r="A26" s="260">
        <v>23.0</v>
      </c>
      <c r="B26" s="256" t="s">
        <v>490</v>
      </c>
      <c r="C26" s="257" t="s">
        <v>491</v>
      </c>
      <c r="D26" s="257" t="s">
        <v>491</v>
      </c>
      <c r="E26" s="258" t="s">
        <v>492</v>
      </c>
      <c r="F26" s="259" t="s">
        <v>493</v>
      </c>
      <c r="G26" s="259" t="s">
        <v>492</v>
      </c>
      <c r="H26" s="241"/>
    </row>
    <row r="27">
      <c r="A27" s="260">
        <v>24.0</v>
      </c>
      <c r="B27" s="256" t="s">
        <v>494</v>
      </c>
      <c r="C27" s="257" t="s">
        <v>495</v>
      </c>
      <c r="D27" s="257" t="s">
        <v>495</v>
      </c>
      <c r="E27" s="258" t="s">
        <v>496</v>
      </c>
      <c r="F27" s="259" t="s">
        <v>497</v>
      </c>
      <c r="G27" s="259" t="s">
        <v>496</v>
      </c>
      <c r="H27" s="241"/>
    </row>
    <row r="28">
      <c r="A28" s="261"/>
      <c r="B28" s="262"/>
      <c r="C28" s="262"/>
      <c r="D28" s="262"/>
      <c r="E28" s="263"/>
      <c r="F28" s="241"/>
      <c r="G28" s="241"/>
      <c r="H28" s="241"/>
    </row>
    <row r="29">
      <c r="A29" s="260">
        <v>25.0</v>
      </c>
      <c r="B29" s="256" t="s">
        <v>498</v>
      </c>
      <c r="C29" s="257" t="s">
        <v>499</v>
      </c>
      <c r="D29" s="257" t="s">
        <v>499</v>
      </c>
      <c r="E29" s="258" t="s">
        <v>500</v>
      </c>
      <c r="F29" s="259" t="s">
        <v>501</v>
      </c>
      <c r="G29" s="259" t="s">
        <v>500</v>
      </c>
      <c r="H29" s="241"/>
    </row>
    <row r="30">
      <c r="A30" s="260">
        <v>26.0</v>
      </c>
      <c r="B30" s="256" t="s">
        <v>502</v>
      </c>
      <c r="C30" s="257" t="s">
        <v>503</v>
      </c>
      <c r="D30" s="257" t="s">
        <v>503</v>
      </c>
      <c r="E30" s="258" t="s">
        <v>504</v>
      </c>
      <c r="F30" s="259" t="s">
        <v>505</v>
      </c>
      <c r="G30" s="259" t="s">
        <v>504</v>
      </c>
      <c r="H30" s="241"/>
    </row>
    <row r="31">
      <c r="A31" s="260">
        <v>27.0</v>
      </c>
      <c r="B31" s="256" t="s">
        <v>506</v>
      </c>
      <c r="C31" s="257" t="s">
        <v>507</v>
      </c>
      <c r="D31" s="257" t="s">
        <v>507</v>
      </c>
      <c r="E31" s="258" t="s">
        <v>508</v>
      </c>
      <c r="F31" s="259" t="s">
        <v>509</v>
      </c>
      <c r="G31" s="259" t="s">
        <v>508</v>
      </c>
      <c r="H31" s="241"/>
    </row>
    <row r="32">
      <c r="A32" s="260">
        <v>28.0</v>
      </c>
      <c r="B32" s="256" t="s">
        <v>510</v>
      </c>
      <c r="C32" s="257" t="s">
        <v>511</v>
      </c>
      <c r="D32" s="257" t="s">
        <v>511</v>
      </c>
      <c r="E32" s="258" t="s">
        <v>512</v>
      </c>
      <c r="F32" s="259" t="s">
        <v>513</v>
      </c>
      <c r="G32" s="259" t="s">
        <v>512</v>
      </c>
      <c r="H32" s="241"/>
    </row>
    <row r="33">
      <c r="A33" s="260">
        <v>29.0</v>
      </c>
      <c r="B33" s="256" t="s">
        <v>514</v>
      </c>
      <c r="C33" s="257" t="s">
        <v>515</v>
      </c>
      <c r="D33" s="257" t="s">
        <v>515</v>
      </c>
      <c r="E33" s="258" t="s">
        <v>516</v>
      </c>
      <c r="F33" s="259" t="s">
        <v>517</v>
      </c>
      <c r="G33" s="259" t="s">
        <v>516</v>
      </c>
      <c r="H33" s="241"/>
    </row>
    <row r="34">
      <c r="A34" s="260">
        <v>30.0</v>
      </c>
      <c r="B34" s="256" t="s">
        <v>518</v>
      </c>
      <c r="C34" s="257" t="s">
        <v>519</v>
      </c>
      <c r="D34" s="257" t="s">
        <v>519</v>
      </c>
      <c r="E34" s="258" t="s">
        <v>520</v>
      </c>
      <c r="F34" s="259" t="s">
        <v>521</v>
      </c>
      <c r="G34" s="259" t="s">
        <v>520</v>
      </c>
      <c r="H34" s="241"/>
    </row>
    <row r="35">
      <c r="A35" s="260">
        <v>31.0</v>
      </c>
      <c r="B35" s="256" t="s">
        <v>522</v>
      </c>
      <c r="C35" s="257" t="s">
        <v>523</v>
      </c>
      <c r="D35" s="257" t="s">
        <v>523</v>
      </c>
      <c r="E35" s="258" t="s">
        <v>524</v>
      </c>
      <c r="F35" s="259" t="s">
        <v>525</v>
      </c>
      <c r="G35" s="259" t="s">
        <v>524</v>
      </c>
      <c r="H35" s="241"/>
    </row>
    <row r="36">
      <c r="A36" s="260">
        <v>32.0</v>
      </c>
      <c r="B36" s="256" t="s">
        <v>526</v>
      </c>
      <c r="C36" s="257" t="s">
        <v>527</v>
      </c>
      <c r="D36" s="257" t="s">
        <v>527</v>
      </c>
      <c r="E36" s="258" t="s">
        <v>528</v>
      </c>
      <c r="F36" s="259" t="s">
        <v>529</v>
      </c>
      <c r="G36" s="259" t="s">
        <v>528</v>
      </c>
      <c r="H36" s="241"/>
    </row>
    <row r="37">
      <c r="A37" s="261"/>
      <c r="B37" s="262"/>
      <c r="C37" s="262"/>
      <c r="D37" s="262"/>
      <c r="E37" s="263"/>
      <c r="F37" s="241"/>
      <c r="G37" s="241"/>
      <c r="H37" s="241"/>
    </row>
    <row r="38">
      <c r="A38" s="260">
        <v>33.0</v>
      </c>
      <c r="B38" s="256" t="s">
        <v>530</v>
      </c>
      <c r="C38" s="257" t="s">
        <v>531</v>
      </c>
      <c r="D38" s="257" t="s">
        <v>531</v>
      </c>
      <c r="E38" s="258" t="s">
        <v>532</v>
      </c>
      <c r="F38" s="259" t="s">
        <v>533</v>
      </c>
      <c r="G38" s="259" t="s">
        <v>532</v>
      </c>
      <c r="H38" s="241"/>
    </row>
    <row r="39">
      <c r="A39" s="260">
        <v>34.0</v>
      </c>
      <c r="B39" s="256" t="s">
        <v>534</v>
      </c>
      <c r="C39" s="257" t="s">
        <v>535</v>
      </c>
      <c r="D39" s="257" t="s">
        <v>535</v>
      </c>
      <c r="E39" s="258" t="s">
        <v>536</v>
      </c>
      <c r="F39" s="259" t="s">
        <v>537</v>
      </c>
      <c r="G39" s="259" t="s">
        <v>536</v>
      </c>
      <c r="H39" s="241"/>
    </row>
    <row r="40">
      <c r="A40" s="260">
        <v>35.0</v>
      </c>
      <c r="B40" s="256" t="s">
        <v>538</v>
      </c>
      <c r="C40" s="257" t="s">
        <v>539</v>
      </c>
      <c r="D40" s="257" t="s">
        <v>539</v>
      </c>
      <c r="E40" s="258" t="s">
        <v>540</v>
      </c>
      <c r="F40" s="259" t="s">
        <v>541</v>
      </c>
      <c r="G40" s="259" t="s">
        <v>540</v>
      </c>
      <c r="H40" s="241"/>
    </row>
    <row r="41">
      <c r="A41" s="260">
        <v>36.0</v>
      </c>
      <c r="B41" s="256" t="s">
        <v>542</v>
      </c>
      <c r="C41" s="257" t="s">
        <v>543</v>
      </c>
      <c r="D41" s="257" t="s">
        <v>543</v>
      </c>
      <c r="E41" s="258" t="s">
        <v>544</v>
      </c>
      <c r="F41" s="259" t="s">
        <v>545</v>
      </c>
      <c r="G41" s="259" t="s">
        <v>544</v>
      </c>
      <c r="H41" s="241"/>
    </row>
    <row r="42">
      <c r="A42" s="260">
        <v>37.0</v>
      </c>
      <c r="B42" s="256" t="s">
        <v>546</v>
      </c>
      <c r="C42" s="257" t="s">
        <v>547</v>
      </c>
      <c r="D42" s="257" t="s">
        <v>547</v>
      </c>
      <c r="E42" s="258" t="s">
        <v>548</v>
      </c>
      <c r="F42" s="259" t="s">
        <v>549</v>
      </c>
      <c r="G42" s="259" t="s">
        <v>548</v>
      </c>
      <c r="H42" s="241"/>
    </row>
    <row r="43">
      <c r="A43" s="260">
        <v>38.0</v>
      </c>
      <c r="B43" s="256" t="s">
        <v>550</v>
      </c>
      <c r="C43" s="257" t="s">
        <v>551</v>
      </c>
      <c r="D43" s="257" t="s">
        <v>551</v>
      </c>
      <c r="E43" s="258" t="s">
        <v>552</v>
      </c>
      <c r="F43" s="259" t="s">
        <v>553</v>
      </c>
      <c r="G43" s="259" t="s">
        <v>552</v>
      </c>
      <c r="H43" s="241"/>
    </row>
    <row r="44">
      <c r="A44" s="260">
        <v>39.0</v>
      </c>
      <c r="B44" s="256" t="s">
        <v>554</v>
      </c>
      <c r="C44" s="257" t="s">
        <v>555</v>
      </c>
      <c r="D44" s="257" t="s">
        <v>555</v>
      </c>
      <c r="E44" s="258" t="s">
        <v>556</v>
      </c>
      <c r="F44" s="259" t="s">
        <v>557</v>
      </c>
      <c r="G44" s="259" t="s">
        <v>556</v>
      </c>
      <c r="H44" s="241"/>
    </row>
    <row r="45">
      <c r="A45" s="260">
        <v>40.0</v>
      </c>
      <c r="B45" s="256" t="s">
        <v>558</v>
      </c>
      <c r="C45" s="257" t="s">
        <v>559</v>
      </c>
      <c r="D45" s="257" t="s">
        <v>559</v>
      </c>
      <c r="E45" s="258" t="s">
        <v>560</v>
      </c>
      <c r="F45" s="259" t="s">
        <v>561</v>
      </c>
      <c r="G45" s="259" t="s">
        <v>560</v>
      </c>
      <c r="H45" s="241"/>
    </row>
    <row r="46">
      <c r="A46" s="261"/>
      <c r="B46" s="262"/>
      <c r="C46" s="262"/>
      <c r="D46" s="262"/>
      <c r="E46" s="263"/>
      <c r="F46" s="241"/>
      <c r="G46" s="241"/>
      <c r="H46" s="241"/>
    </row>
    <row r="47">
      <c r="A47" s="260">
        <v>41.0</v>
      </c>
      <c r="B47" s="256" t="s">
        <v>562</v>
      </c>
      <c r="C47" s="257" t="s">
        <v>563</v>
      </c>
      <c r="D47" s="257" t="s">
        <v>563</v>
      </c>
      <c r="E47" s="258" t="s">
        <v>564</v>
      </c>
      <c r="F47" s="259" t="s">
        <v>565</v>
      </c>
      <c r="G47" s="259" t="s">
        <v>564</v>
      </c>
      <c r="H47" s="241"/>
    </row>
    <row r="48">
      <c r="A48" s="260">
        <v>42.0</v>
      </c>
      <c r="B48" s="256" t="s">
        <v>566</v>
      </c>
      <c r="C48" s="257" t="s">
        <v>567</v>
      </c>
      <c r="D48" s="257" t="s">
        <v>567</v>
      </c>
      <c r="E48" s="258" t="s">
        <v>568</v>
      </c>
      <c r="F48" s="259" t="s">
        <v>569</v>
      </c>
      <c r="G48" s="259" t="s">
        <v>568</v>
      </c>
      <c r="H48" s="241"/>
    </row>
    <row r="49">
      <c r="A49" s="260">
        <v>43.0</v>
      </c>
      <c r="B49" s="256" t="s">
        <v>570</v>
      </c>
      <c r="C49" s="257" t="s">
        <v>571</v>
      </c>
      <c r="D49" s="257" t="s">
        <v>571</v>
      </c>
      <c r="E49" s="258" t="s">
        <v>572</v>
      </c>
      <c r="F49" s="259" t="s">
        <v>573</v>
      </c>
      <c r="G49" s="259" t="s">
        <v>572</v>
      </c>
      <c r="H49" s="241"/>
    </row>
    <row r="50">
      <c r="A50" s="260">
        <v>44.0</v>
      </c>
      <c r="B50" s="256" t="s">
        <v>574</v>
      </c>
      <c r="C50" s="257" t="s">
        <v>575</v>
      </c>
      <c r="D50" s="257" t="s">
        <v>575</v>
      </c>
      <c r="E50" s="258" t="s">
        <v>576</v>
      </c>
      <c r="F50" s="259" t="s">
        <v>577</v>
      </c>
      <c r="G50" s="259" t="s">
        <v>576</v>
      </c>
      <c r="H50" s="241"/>
    </row>
    <row r="51">
      <c r="A51" s="260">
        <v>45.0</v>
      </c>
      <c r="B51" s="256" t="s">
        <v>578</v>
      </c>
      <c r="C51" s="257" t="s">
        <v>579</v>
      </c>
      <c r="D51" s="257" t="s">
        <v>579</v>
      </c>
      <c r="E51" s="258" t="s">
        <v>580</v>
      </c>
      <c r="F51" s="259" t="s">
        <v>581</v>
      </c>
      <c r="G51" s="259" t="s">
        <v>580</v>
      </c>
      <c r="H51" s="241"/>
    </row>
    <row r="52">
      <c r="A52" s="260">
        <v>46.0</v>
      </c>
      <c r="B52" s="256" t="s">
        <v>582</v>
      </c>
      <c r="C52" s="257" t="s">
        <v>583</v>
      </c>
      <c r="D52" s="257" t="s">
        <v>583</v>
      </c>
      <c r="E52" s="258" t="s">
        <v>584</v>
      </c>
      <c r="F52" s="259" t="s">
        <v>585</v>
      </c>
      <c r="G52" s="259" t="s">
        <v>584</v>
      </c>
      <c r="H52" s="241"/>
    </row>
    <row r="53">
      <c r="A53" s="260">
        <v>47.0</v>
      </c>
      <c r="B53" s="256" t="s">
        <v>586</v>
      </c>
      <c r="C53" s="257" t="s">
        <v>587</v>
      </c>
      <c r="D53" s="257" t="s">
        <v>587</v>
      </c>
      <c r="E53" s="258" t="s">
        <v>588</v>
      </c>
      <c r="F53" s="259" t="s">
        <v>589</v>
      </c>
      <c r="G53" s="259" t="s">
        <v>588</v>
      </c>
      <c r="H53" s="241"/>
    </row>
    <row r="54">
      <c r="A54" s="260">
        <v>48.0</v>
      </c>
      <c r="B54" s="256" t="s">
        <v>590</v>
      </c>
      <c r="C54" s="257" t="s">
        <v>591</v>
      </c>
      <c r="D54" s="257" t="s">
        <v>591</v>
      </c>
      <c r="E54" s="258" t="s">
        <v>592</v>
      </c>
      <c r="F54" s="259" t="s">
        <v>593</v>
      </c>
      <c r="G54" s="259" t="s">
        <v>592</v>
      </c>
      <c r="H54" s="241"/>
    </row>
    <row r="55">
      <c r="A55" s="261"/>
      <c r="B55" s="262"/>
      <c r="C55" s="262"/>
      <c r="D55" s="262"/>
      <c r="E55" s="263"/>
      <c r="F55" s="241"/>
      <c r="G55" s="241"/>
      <c r="H55" s="241"/>
    </row>
    <row r="56">
      <c r="A56" s="260">
        <v>49.0</v>
      </c>
      <c r="B56" s="256" t="s">
        <v>594</v>
      </c>
      <c r="C56" s="257" t="s">
        <v>595</v>
      </c>
      <c r="D56" s="257" t="s">
        <v>595</v>
      </c>
      <c r="E56" s="258" t="s">
        <v>596</v>
      </c>
      <c r="F56" s="259" t="s">
        <v>597</v>
      </c>
      <c r="G56" s="259" t="s">
        <v>596</v>
      </c>
      <c r="H56" s="241"/>
    </row>
    <row r="57">
      <c r="A57" s="260">
        <v>50.0</v>
      </c>
      <c r="B57" s="256" t="s">
        <v>598</v>
      </c>
      <c r="C57" s="257" t="s">
        <v>599</v>
      </c>
      <c r="D57" s="257" t="s">
        <v>599</v>
      </c>
      <c r="E57" s="258" t="s">
        <v>600</v>
      </c>
      <c r="F57" s="259" t="s">
        <v>601</v>
      </c>
      <c r="G57" s="259" t="s">
        <v>600</v>
      </c>
      <c r="H57" s="241"/>
    </row>
    <row r="58">
      <c r="A58" s="260">
        <v>51.0</v>
      </c>
      <c r="B58" s="256" t="s">
        <v>602</v>
      </c>
      <c r="C58" s="257" t="s">
        <v>603</v>
      </c>
      <c r="D58" s="257" t="s">
        <v>603</v>
      </c>
      <c r="E58" s="258" t="s">
        <v>604</v>
      </c>
      <c r="F58" s="259" t="s">
        <v>605</v>
      </c>
      <c r="G58" s="259" t="s">
        <v>604</v>
      </c>
      <c r="H58" s="241"/>
    </row>
    <row r="59">
      <c r="A59" s="260">
        <v>52.0</v>
      </c>
      <c r="B59" s="256" t="s">
        <v>606</v>
      </c>
      <c r="C59" s="257" t="s">
        <v>607</v>
      </c>
      <c r="D59" s="257" t="s">
        <v>607</v>
      </c>
      <c r="E59" s="258" t="s">
        <v>608</v>
      </c>
      <c r="F59" s="259" t="s">
        <v>609</v>
      </c>
      <c r="G59" s="259" t="s">
        <v>608</v>
      </c>
      <c r="H59" s="241"/>
    </row>
    <row r="60">
      <c r="A60" s="260">
        <v>53.0</v>
      </c>
      <c r="B60" s="256" t="s">
        <v>610</v>
      </c>
      <c r="C60" s="257" t="s">
        <v>611</v>
      </c>
      <c r="D60" s="257" t="s">
        <v>611</v>
      </c>
      <c r="E60" s="258" t="s">
        <v>612</v>
      </c>
      <c r="F60" s="259" t="s">
        <v>613</v>
      </c>
      <c r="G60" s="259" t="s">
        <v>612</v>
      </c>
      <c r="H60" s="241"/>
    </row>
    <row r="61">
      <c r="A61" s="260">
        <v>54.0</v>
      </c>
      <c r="B61" s="256" t="s">
        <v>614</v>
      </c>
      <c r="C61" s="257" t="s">
        <v>615</v>
      </c>
      <c r="D61" s="257" t="s">
        <v>615</v>
      </c>
      <c r="E61" s="258" t="s">
        <v>616</v>
      </c>
      <c r="F61" s="259" t="s">
        <v>617</v>
      </c>
      <c r="G61" s="259" t="s">
        <v>616</v>
      </c>
      <c r="H61" s="241"/>
    </row>
    <row r="62">
      <c r="A62" s="260">
        <v>55.0</v>
      </c>
      <c r="B62" s="256" t="s">
        <v>618</v>
      </c>
      <c r="C62" s="257" t="s">
        <v>619</v>
      </c>
      <c r="D62" s="257" t="s">
        <v>619</v>
      </c>
      <c r="E62" s="258" t="s">
        <v>620</v>
      </c>
      <c r="F62" s="259" t="s">
        <v>621</v>
      </c>
      <c r="G62" s="259" t="s">
        <v>620</v>
      </c>
      <c r="H62" s="241"/>
    </row>
    <row r="63">
      <c r="A63" s="260">
        <v>56.0</v>
      </c>
      <c r="B63" s="256" t="s">
        <v>622</v>
      </c>
      <c r="C63" s="257" t="s">
        <v>623</v>
      </c>
      <c r="D63" s="257" t="s">
        <v>623</v>
      </c>
      <c r="E63" s="258" t="s">
        <v>624</v>
      </c>
      <c r="F63" s="259" t="s">
        <v>625</v>
      </c>
      <c r="G63" s="259" t="s">
        <v>624</v>
      </c>
      <c r="H63" s="241"/>
    </row>
    <row r="64">
      <c r="A64" s="261"/>
      <c r="B64" s="262"/>
      <c r="C64" s="262"/>
      <c r="D64" s="262"/>
      <c r="E64" s="263"/>
      <c r="F64" s="241"/>
      <c r="G64" s="241"/>
      <c r="H64" s="241"/>
    </row>
    <row r="65">
      <c r="A65" s="260">
        <v>57.0</v>
      </c>
      <c r="B65" s="256" t="s">
        <v>626</v>
      </c>
      <c r="C65" s="257" t="s">
        <v>627</v>
      </c>
      <c r="D65" s="257" t="s">
        <v>627</v>
      </c>
      <c r="E65" s="258" t="s">
        <v>628</v>
      </c>
      <c r="F65" s="259" t="s">
        <v>629</v>
      </c>
      <c r="G65" s="259" t="s">
        <v>628</v>
      </c>
      <c r="H65" s="241"/>
    </row>
    <row r="66">
      <c r="A66" s="260">
        <v>58.0</v>
      </c>
      <c r="B66" s="256" t="s">
        <v>630</v>
      </c>
      <c r="C66" s="257" t="s">
        <v>631</v>
      </c>
      <c r="D66" s="257" t="s">
        <v>631</v>
      </c>
      <c r="E66" s="258" t="s">
        <v>632</v>
      </c>
      <c r="F66" s="259" t="s">
        <v>633</v>
      </c>
      <c r="G66" s="259" t="s">
        <v>632</v>
      </c>
      <c r="H66" s="241"/>
    </row>
    <row r="67">
      <c r="A67" s="260">
        <v>59.0</v>
      </c>
      <c r="B67" s="256" t="s">
        <v>634</v>
      </c>
      <c r="C67" s="257" t="s">
        <v>635</v>
      </c>
      <c r="D67" s="257" t="s">
        <v>635</v>
      </c>
      <c r="E67" s="258" t="s">
        <v>636</v>
      </c>
      <c r="F67" s="259" t="s">
        <v>637</v>
      </c>
      <c r="G67" s="259" t="s">
        <v>636</v>
      </c>
      <c r="H67" s="241"/>
    </row>
    <row r="68">
      <c r="A68" s="260">
        <v>60.0</v>
      </c>
      <c r="B68" s="256" t="s">
        <v>638</v>
      </c>
      <c r="C68" s="257" t="s">
        <v>639</v>
      </c>
      <c r="D68" s="257" t="s">
        <v>639</v>
      </c>
      <c r="E68" s="258" t="s">
        <v>640</v>
      </c>
      <c r="F68" s="259" t="s">
        <v>641</v>
      </c>
      <c r="G68" s="259" t="s">
        <v>640</v>
      </c>
      <c r="H68" s="241"/>
    </row>
    <row r="69">
      <c r="A69" s="260">
        <v>61.0</v>
      </c>
      <c r="B69" s="256" t="s">
        <v>642</v>
      </c>
      <c r="C69" s="257" t="s">
        <v>643</v>
      </c>
      <c r="D69" s="257" t="s">
        <v>643</v>
      </c>
      <c r="E69" s="258" t="s">
        <v>644</v>
      </c>
      <c r="F69" s="259" t="s">
        <v>645</v>
      </c>
      <c r="G69" s="259" t="s">
        <v>644</v>
      </c>
      <c r="H69" s="241"/>
    </row>
    <row r="70">
      <c r="A70" s="260">
        <v>62.0</v>
      </c>
      <c r="B70" s="256" t="s">
        <v>646</v>
      </c>
      <c r="C70" s="257" t="s">
        <v>647</v>
      </c>
      <c r="D70" s="257" t="s">
        <v>647</v>
      </c>
      <c r="E70" s="258" t="s">
        <v>648</v>
      </c>
      <c r="F70" s="259" t="s">
        <v>649</v>
      </c>
      <c r="G70" s="259" t="s">
        <v>648</v>
      </c>
      <c r="H70" s="241"/>
    </row>
    <row r="71">
      <c r="A71" s="260">
        <v>63.0</v>
      </c>
      <c r="B71" s="256" t="s">
        <v>650</v>
      </c>
      <c r="C71" s="257" t="s">
        <v>651</v>
      </c>
      <c r="D71" s="257" t="s">
        <v>651</v>
      </c>
      <c r="E71" s="258" t="s">
        <v>652</v>
      </c>
      <c r="F71" s="259" t="s">
        <v>653</v>
      </c>
      <c r="G71" s="259" t="s">
        <v>652</v>
      </c>
      <c r="H71" s="241"/>
    </row>
    <row r="72">
      <c r="A72" s="260">
        <v>64.0</v>
      </c>
      <c r="B72" s="256" t="s">
        <v>654</v>
      </c>
      <c r="C72" s="257" t="s">
        <v>655</v>
      </c>
      <c r="D72" s="257" t="s">
        <v>655</v>
      </c>
      <c r="E72" s="258" t="s">
        <v>656</v>
      </c>
      <c r="F72" s="259" t="s">
        <v>657</v>
      </c>
      <c r="G72" s="259" t="s">
        <v>656</v>
      </c>
      <c r="H72" s="241"/>
    </row>
    <row r="73">
      <c r="A73" s="261"/>
      <c r="B73" s="262"/>
      <c r="C73" s="262"/>
      <c r="D73" s="262"/>
      <c r="E73" s="263"/>
      <c r="F73" s="241"/>
      <c r="G73" s="241"/>
      <c r="H73" s="241"/>
    </row>
    <row r="74">
      <c r="A74" s="260">
        <v>65.0</v>
      </c>
      <c r="B74" s="256" t="s">
        <v>658</v>
      </c>
      <c r="C74" s="257" t="s">
        <v>659</v>
      </c>
      <c r="D74" s="257" t="s">
        <v>659</v>
      </c>
      <c r="E74" s="258" t="s">
        <v>660</v>
      </c>
      <c r="F74" s="259" t="s">
        <v>661</v>
      </c>
      <c r="G74" s="259" t="s">
        <v>660</v>
      </c>
      <c r="H74" s="241"/>
    </row>
    <row r="75">
      <c r="A75" s="260">
        <v>66.0</v>
      </c>
      <c r="B75" s="256" t="s">
        <v>662</v>
      </c>
      <c r="C75" s="257" t="s">
        <v>663</v>
      </c>
      <c r="D75" s="257" t="s">
        <v>663</v>
      </c>
      <c r="E75" s="258" t="s">
        <v>664</v>
      </c>
      <c r="F75" s="259" t="s">
        <v>665</v>
      </c>
      <c r="G75" s="259" t="s">
        <v>664</v>
      </c>
      <c r="H75" s="241"/>
    </row>
    <row r="76">
      <c r="A76" s="260">
        <v>67.0</v>
      </c>
      <c r="B76" s="256" t="s">
        <v>666</v>
      </c>
      <c r="C76" s="257" t="s">
        <v>667</v>
      </c>
      <c r="D76" s="257" t="s">
        <v>667</v>
      </c>
      <c r="E76" s="258" t="s">
        <v>668</v>
      </c>
      <c r="F76" s="259" t="s">
        <v>669</v>
      </c>
      <c r="G76" s="259" t="s">
        <v>668</v>
      </c>
      <c r="H76" s="241"/>
    </row>
    <row r="77">
      <c r="A77" s="260">
        <v>68.0</v>
      </c>
      <c r="B77" s="256" t="s">
        <v>670</v>
      </c>
      <c r="C77" s="257" t="s">
        <v>671</v>
      </c>
      <c r="D77" s="257" t="s">
        <v>671</v>
      </c>
      <c r="E77" s="258" t="s">
        <v>672</v>
      </c>
      <c r="F77" s="259" t="s">
        <v>673</v>
      </c>
      <c r="G77" s="259" t="s">
        <v>672</v>
      </c>
      <c r="H77" s="241"/>
    </row>
    <row r="78">
      <c r="A78" s="260">
        <v>69.0</v>
      </c>
      <c r="B78" s="256" t="s">
        <v>674</v>
      </c>
      <c r="C78" s="257" t="s">
        <v>675</v>
      </c>
      <c r="D78" s="257" t="s">
        <v>675</v>
      </c>
      <c r="E78" s="258" t="s">
        <v>676</v>
      </c>
      <c r="F78" s="259" t="s">
        <v>677</v>
      </c>
      <c r="G78" s="259" t="s">
        <v>676</v>
      </c>
      <c r="H78" s="241"/>
    </row>
    <row r="79">
      <c r="A79" s="260">
        <v>70.0</v>
      </c>
      <c r="B79" s="256" t="s">
        <v>678</v>
      </c>
      <c r="C79" s="257" t="s">
        <v>679</v>
      </c>
      <c r="D79" s="257" t="s">
        <v>679</v>
      </c>
      <c r="E79" s="258" t="s">
        <v>681</v>
      </c>
      <c r="F79" s="259" t="s">
        <v>682</v>
      </c>
      <c r="G79" s="259" t="s">
        <v>681</v>
      </c>
      <c r="H79" s="241"/>
    </row>
    <row r="80">
      <c r="A80" s="260">
        <v>71.0</v>
      </c>
      <c r="B80" s="256" t="s">
        <v>683</v>
      </c>
      <c r="C80" s="257" t="s">
        <v>685</v>
      </c>
      <c r="D80" s="257" t="s">
        <v>685</v>
      </c>
      <c r="E80" s="258" t="s">
        <v>413</v>
      </c>
      <c r="F80" s="259" t="s">
        <v>412</v>
      </c>
      <c r="G80" s="259" t="s">
        <v>413</v>
      </c>
      <c r="H80" s="241"/>
    </row>
    <row r="81">
      <c r="A81" s="260">
        <v>72.0</v>
      </c>
      <c r="B81" s="256" t="s">
        <v>690</v>
      </c>
      <c r="C81" s="257" t="s">
        <v>691</v>
      </c>
      <c r="D81" s="257" t="s">
        <v>691</v>
      </c>
      <c r="E81" s="258" t="s">
        <v>692</v>
      </c>
      <c r="F81" s="259" t="s">
        <v>693</v>
      </c>
      <c r="G81" s="259" t="s">
        <v>692</v>
      </c>
      <c r="H81" s="241"/>
    </row>
    <row r="82">
      <c r="A82" s="261"/>
      <c r="B82" s="262"/>
      <c r="C82" s="262"/>
      <c r="D82" s="262"/>
      <c r="E82" s="263"/>
      <c r="F82" s="241"/>
      <c r="G82" s="241"/>
      <c r="H82" s="241"/>
    </row>
    <row r="83">
      <c r="A83" s="260">
        <v>73.0</v>
      </c>
      <c r="B83" s="256" t="s">
        <v>695</v>
      </c>
      <c r="C83" s="257" t="s">
        <v>697</v>
      </c>
      <c r="D83" s="257" t="s">
        <v>697</v>
      </c>
      <c r="E83" s="258" t="s">
        <v>699</v>
      </c>
      <c r="F83" s="259" t="s">
        <v>701</v>
      </c>
      <c r="G83" s="259" t="s">
        <v>699</v>
      </c>
      <c r="H83" s="241"/>
    </row>
    <row r="84">
      <c r="A84" s="260">
        <v>74.0</v>
      </c>
      <c r="B84" s="256" t="s">
        <v>702</v>
      </c>
      <c r="C84" s="257" t="s">
        <v>703</v>
      </c>
      <c r="D84" s="257" t="s">
        <v>703</v>
      </c>
      <c r="E84" s="258" t="s">
        <v>704</v>
      </c>
      <c r="F84" s="259" t="s">
        <v>705</v>
      </c>
      <c r="G84" s="259" t="s">
        <v>704</v>
      </c>
      <c r="H84" s="241"/>
    </row>
    <row r="85">
      <c r="A85" s="260">
        <v>75.0</v>
      </c>
      <c r="B85" s="256" t="s">
        <v>708</v>
      </c>
      <c r="C85" s="257" t="s">
        <v>710</v>
      </c>
      <c r="D85" s="257" t="s">
        <v>710</v>
      </c>
      <c r="E85" s="258" t="s">
        <v>712</v>
      </c>
      <c r="F85" s="259" t="s">
        <v>713</v>
      </c>
      <c r="G85" s="259" t="s">
        <v>712</v>
      </c>
      <c r="H85" s="241"/>
    </row>
    <row r="86">
      <c r="A86" s="260">
        <v>76.0</v>
      </c>
      <c r="B86" s="256" t="s">
        <v>714</v>
      </c>
      <c r="C86" s="257" t="s">
        <v>715</v>
      </c>
      <c r="D86" s="257" t="s">
        <v>715</v>
      </c>
      <c r="E86" s="258" t="s">
        <v>716</v>
      </c>
      <c r="F86" s="259" t="s">
        <v>718</v>
      </c>
      <c r="G86" s="259" t="s">
        <v>716</v>
      </c>
      <c r="H86" s="241"/>
    </row>
    <row r="87">
      <c r="A87" s="260">
        <v>77.0</v>
      </c>
      <c r="B87" s="256" t="s">
        <v>721</v>
      </c>
      <c r="C87" s="257" t="s">
        <v>722</v>
      </c>
      <c r="D87" s="257" t="s">
        <v>722</v>
      </c>
      <c r="E87" s="258" t="s">
        <v>723</v>
      </c>
      <c r="F87" s="259" t="s">
        <v>724</v>
      </c>
      <c r="G87" s="259" t="s">
        <v>723</v>
      </c>
      <c r="H87" s="241"/>
    </row>
    <row r="88">
      <c r="A88" s="260">
        <v>78.0</v>
      </c>
      <c r="B88" s="256" t="s">
        <v>725</v>
      </c>
      <c r="C88" s="257" t="s">
        <v>726</v>
      </c>
      <c r="D88" s="257" t="s">
        <v>726</v>
      </c>
      <c r="E88" s="258" t="s">
        <v>727</v>
      </c>
      <c r="F88" s="259" t="s">
        <v>730</v>
      </c>
      <c r="G88" s="259" t="s">
        <v>727</v>
      </c>
      <c r="H88" s="241"/>
    </row>
    <row r="89">
      <c r="A89" s="260">
        <v>79.0</v>
      </c>
      <c r="B89" s="256" t="s">
        <v>734</v>
      </c>
      <c r="C89" s="257" t="s">
        <v>548</v>
      </c>
      <c r="D89" s="257" t="s">
        <v>548</v>
      </c>
      <c r="E89" s="258" t="s">
        <v>547</v>
      </c>
      <c r="F89" s="259" t="s">
        <v>735</v>
      </c>
      <c r="G89" s="259" t="s">
        <v>547</v>
      </c>
      <c r="H89" s="241"/>
    </row>
    <row r="90">
      <c r="A90" s="260">
        <v>80.0</v>
      </c>
      <c r="B90" s="256" t="s">
        <v>737</v>
      </c>
      <c r="C90" s="257" t="s">
        <v>740</v>
      </c>
      <c r="D90" s="257" t="s">
        <v>740</v>
      </c>
      <c r="E90" s="258" t="s">
        <v>743</v>
      </c>
      <c r="F90" s="259" t="s">
        <v>744</v>
      </c>
      <c r="G90" s="259" t="s">
        <v>743</v>
      </c>
      <c r="H90" s="241"/>
    </row>
    <row r="91">
      <c r="A91" s="261"/>
      <c r="B91" s="262"/>
      <c r="C91" s="262"/>
      <c r="D91" s="262"/>
      <c r="E91" s="263"/>
      <c r="F91" s="241"/>
      <c r="G91" s="241"/>
      <c r="H91" s="241"/>
    </row>
    <row r="92">
      <c r="A92" s="260">
        <v>81.0</v>
      </c>
      <c r="B92" s="256" t="s">
        <v>750</v>
      </c>
      <c r="C92" s="257" t="s">
        <v>751</v>
      </c>
      <c r="D92" s="257" t="s">
        <v>751</v>
      </c>
      <c r="E92" s="258" t="s">
        <v>752</v>
      </c>
      <c r="F92" s="259" t="s">
        <v>753</v>
      </c>
      <c r="G92" s="259" t="s">
        <v>752</v>
      </c>
      <c r="H92" s="241"/>
    </row>
    <row r="93">
      <c r="A93" s="260">
        <v>82.0</v>
      </c>
      <c r="B93" s="256" t="s">
        <v>755</v>
      </c>
      <c r="C93" s="257" t="s">
        <v>757</v>
      </c>
      <c r="D93" s="257" t="s">
        <v>757</v>
      </c>
      <c r="E93" s="258" t="s">
        <v>761</v>
      </c>
      <c r="F93" s="259" t="s">
        <v>762</v>
      </c>
      <c r="G93" s="259" t="s">
        <v>761</v>
      </c>
      <c r="H93" s="241"/>
    </row>
    <row r="94">
      <c r="A94" s="260">
        <v>83.0</v>
      </c>
      <c r="B94" s="256" t="s">
        <v>763</v>
      </c>
      <c r="C94" s="257" t="s">
        <v>764</v>
      </c>
      <c r="D94" s="257" t="s">
        <v>764</v>
      </c>
      <c r="E94" s="258" t="s">
        <v>765</v>
      </c>
      <c r="F94" s="259" t="s">
        <v>766</v>
      </c>
      <c r="G94" s="259" t="s">
        <v>765</v>
      </c>
      <c r="H94" s="241"/>
    </row>
    <row r="95">
      <c r="A95" s="260">
        <v>84.0</v>
      </c>
      <c r="B95" s="256" t="s">
        <v>771</v>
      </c>
      <c r="C95" s="257" t="s">
        <v>772</v>
      </c>
      <c r="D95" s="257" t="s">
        <v>772</v>
      </c>
      <c r="E95" s="258" t="s">
        <v>776</v>
      </c>
      <c r="F95" s="259" t="s">
        <v>779</v>
      </c>
      <c r="G95" s="259" t="s">
        <v>776</v>
      </c>
      <c r="H95" s="241"/>
    </row>
    <row r="96">
      <c r="A96" s="260">
        <v>85.0</v>
      </c>
      <c r="B96" s="256" t="s">
        <v>780</v>
      </c>
      <c r="C96" s="257" t="s">
        <v>781</v>
      </c>
      <c r="D96" s="257" t="s">
        <v>781</v>
      </c>
      <c r="E96" s="258" t="s">
        <v>782</v>
      </c>
      <c r="F96" s="259" t="s">
        <v>783</v>
      </c>
      <c r="G96" s="259" t="s">
        <v>782</v>
      </c>
      <c r="H96" s="241"/>
    </row>
    <row r="97">
      <c r="A97" s="260">
        <v>86.0</v>
      </c>
      <c r="B97" s="256" t="s">
        <v>789</v>
      </c>
      <c r="C97" s="257" t="s">
        <v>790</v>
      </c>
      <c r="D97" s="257" t="s">
        <v>790</v>
      </c>
      <c r="E97" s="258" t="s">
        <v>791</v>
      </c>
      <c r="F97" s="259" t="s">
        <v>792</v>
      </c>
      <c r="G97" s="259" t="s">
        <v>791</v>
      </c>
      <c r="H97" s="241"/>
    </row>
    <row r="98">
      <c r="A98" s="260">
        <v>87.0</v>
      </c>
      <c r="B98" s="256" t="s">
        <v>793</v>
      </c>
      <c r="C98" s="257" t="s">
        <v>795</v>
      </c>
      <c r="D98" s="257" t="s">
        <v>795</v>
      </c>
      <c r="E98" s="258" t="s">
        <v>799</v>
      </c>
      <c r="F98" s="259" t="s">
        <v>801</v>
      </c>
      <c r="G98" s="259" t="s">
        <v>799</v>
      </c>
      <c r="H98" s="241"/>
    </row>
    <row r="99">
      <c r="A99" s="260">
        <v>88.0</v>
      </c>
      <c r="B99" s="256" t="s">
        <v>802</v>
      </c>
      <c r="C99" s="257" t="s">
        <v>803</v>
      </c>
      <c r="D99" s="257" t="s">
        <v>803</v>
      </c>
      <c r="E99" s="258" t="s">
        <v>804</v>
      </c>
      <c r="F99" s="259" t="s">
        <v>806</v>
      </c>
      <c r="G99" s="259" t="s">
        <v>804</v>
      </c>
      <c r="H99" s="241"/>
    </row>
    <row r="100">
      <c r="A100" s="261"/>
      <c r="B100" s="262"/>
      <c r="C100" s="262"/>
      <c r="D100" s="262"/>
      <c r="E100" s="263"/>
      <c r="F100" s="241"/>
      <c r="G100" s="241"/>
      <c r="H100" s="241"/>
    </row>
    <row r="101">
      <c r="A101" s="260">
        <v>89.0</v>
      </c>
      <c r="B101" s="256" t="s">
        <v>816</v>
      </c>
      <c r="C101" s="257" t="s">
        <v>817</v>
      </c>
      <c r="D101" s="257" t="s">
        <v>817</v>
      </c>
      <c r="E101" s="258" t="s">
        <v>818</v>
      </c>
      <c r="F101" s="259" t="s">
        <v>819</v>
      </c>
      <c r="G101" s="259" t="s">
        <v>818</v>
      </c>
      <c r="H101" s="241"/>
    </row>
    <row r="102">
      <c r="A102" s="260">
        <v>90.0</v>
      </c>
      <c r="B102" s="256" t="s">
        <v>824</v>
      </c>
      <c r="C102" s="257" t="s">
        <v>825</v>
      </c>
      <c r="D102" s="257" t="s">
        <v>825</v>
      </c>
      <c r="E102" s="258" t="s">
        <v>826</v>
      </c>
      <c r="F102" s="259" t="s">
        <v>827</v>
      </c>
      <c r="G102" s="259" t="s">
        <v>826</v>
      </c>
      <c r="H102" s="241"/>
    </row>
    <row r="103">
      <c r="A103" s="260">
        <v>91.0</v>
      </c>
      <c r="B103" s="256" t="s">
        <v>828</v>
      </c>
      <c r="C103" s="257" t="s">
        <v>831</v>
      </c>
      <c r="D103" s="257" t="s">
        <v>831</v>
      </c>
      <c r="E103" s="258" t="s">
        <v>835</v>
      </c>
      <c r="F103" s="259" t="s">
        <v>836</v>
      </c>
      <c r="G103" s="259" t="s">
        <v>835</v>
      </c>
      <c r="H103" s="241"/>
    </row>
    <row r="104">
      <c r="A104" s="260">
        <v>92.0</v>
      </c>
      <c r="B104" s="256" t="s">
        <v>837</v>
      </c>
      <c r="C104" s="257" t="s">
        <v>838</v>
      </c>
      <c r="D104" s="257" t="s">
        <v>838</v>
      </c>
      <c r="E104" s="258" t="s">
        <v>839</v>
      </c>
      <c r="F104" s="259" t="s">
        <v>841</v>
      </c>
      <c r="G104" s="259" t="s">
        <v>839</v>
      </c>
      <c r="H104" s="241"/>
    </row>
    <row r="105">
      <c r="A105" s="260">
        <v>93.0</v>
      </c>
      <c r="B105" s="256" t="s">
        <v>845</v>
      </c>
      <c r="C105" s="257" t="s">
        <v>846</v>
      </c>
      <c r="D105" s="257" t="s">
        <v>846</v>
      </c>
      <c r="E105" s="258" t="s">
        <v>847</v>
      </c>
      <c r="F105" s="259" t="s">
        <v>848</v>
      </c>
      <c r="G105" s="259" t="s">
        <v>847</v>
      </c>
      <c r="H105" s="241"/>
    </row>
    <row r="106">
      <c r="A106" s="260">
        <v>94.0</v>
      </c>
      <c r="B106" s="256" t="s">
        <v>851</v>
      </c>
      <c r="C106" s="257" t="s">
        <v>853</v>
      </c>
      <c r="D106" s="257" t="s">
        <v>853</v>
      </c>
      <c r="E106" s="258" t="s">
        <v>856</v>
      </c>
      <c r="F106" s="259" t="s">
        <v>857</v>
      </c>
      <c r="G106" s="259" t="s">
        <v>856</v>
      </c>
      <c r="H106" s="241"/>
    </row>
    <row r="107">
      <c r="A107" s="260">
        <v>95.0</v>
      </c>
      <c r="B107" s="256" t="s">
        <v>858</v>
      </c>
      <c r="C107" s="257" t="s">
        <v>859</v>
      </c>
      <c r="D107" s="257" t="s">
        <v>859</v>
      </c>
      <c r="E107" s="258" t="s">
        <v>864</v>
      </c>
      <c r="F107" s="259" t="s">
        <v>865</v>
      </c>
      <c r="G107" s="259" t="s">
        <v>864</v>
      </c>
      <c r="H107" s="241"/>
    </row>
    <row r="108">
      <c r="A108" s="260">
        <v>96.0</v>
      </c>
      <c r="B108" s="256" t="s">
        <v>867</v>
      </c>
      <c r="C108" s="257" t="s">
        <v>869</v>
      </c>
      <c r="D108" s="257" t="s">
        <v>869</v>
      </c>
      <c r="E108" s="258" t="s">
        <v>778</v>
      </c>
      <c r="F108" s="259" t="s">
        <v>873</v>
      </c>
      <c r="G108" s="259" t="s">
        <v>778</v>
      </c>
      <c r="H108" s="241"/>
    </row>
    <row r="109">
      <c r="A109" s="261"/>
      <c r="B109" s="262"/>
      <c r="C109" s="262"/>
      <c r="D109" s="262"/>
      <c r="E109" s="263"/>
      <c r="F109" s="241"/>
      <c r="G109" s="241"/>
      <c r="H109" s="241"/>
    </row>
    <row r="110">
      <c r="A110" s="260">
        <v>97.0</v>
      </c>
      <c r="B110" s="256" t="s">
        <v>878</v>
      </c>
      <c r="C110" s="257" t="s">
        <v>879</v>
      </c>
      <c r="D110" s="257" t="s">
        <v>879</v>
      </c>
      <c r="E110" s="258" t="s">
        <v>770</v>
      </c>
      <c r="F110" s="259" t="s">
        <v>880</v>
      </c>
      <c r="G110" s="259" t="s">
        <v>770</v>
      </c>
      <c r="H110" s="241"/>
    </row>
    <row r="111">
      <c r="A111" s="260">
        <v>98.0</v>
      </c>
      <c r="B111" s="256" t="s">
        <v>881</v>
      </c>
      <c r="C111" s="257" t="s">
        <v>883</v>
      </c>
      <c r="D111" s="257" t="s">
        <v>883</v>
      </c>
      <c r="E111" s="258" t="s">
        <v>887</v>
      </c>
      <c r="F111" s="259" t="s">
        <v>889</v>
      </c>
      <c r="G111" s="259" t="s">
        <v>887</v>
      </c>
      <c r="H111" s="241"/>
    </row>
    <row r="112">
      <c r="A112" s="260">
        <v>99.0</v>
      </c>
      <c r="B112" s="256" t="s">
        <v>890</v>
      </c>
      <c r="C112" s="257" t="s">
        <v>891</v>
      </c>
      <c r="D112" s="257" t="s">
        <v>891</v>
      </c>
      <c r="E112" s="258" t="s">
        <v>892</v>
      </c>
      <c r="F112" s="259" t="s">
        <v>893</v>
      </c>
      <c r="G112" s="259" t="s">
        <v>892</v>
      </c>
      <c r="H112" s="241"/>
    </row>
    <row r="113">
      <c r="A113" s="260">
        <v>100.0</v>
      </c>
      <c r="B113" s="256" t="s">
        <v>899</v>
      </c>
      <c r="C113" s="257" t="s">
        <v>900</v>
      </c>
      <c r="D113" s="257" t="s">
        <v>900</v>
      </c>
      <c r="E113" s="258" t="s">
        <v>901</v>
      </c>
      <c r="F113" s="259" t="s">
        <v>902</v>
      </c>
      <c r="G113" s="259" t="s">
        <v>901</v>
      </c>
      <c r="H113" s="241"/>
    </row>
    <row r="114">
      <c r="A114" s="260">
        <v>101.0</v>
      </c>
      <c r="B114" s="256" t="s">
        <v>904</v>
      </c>
      <c r="C114" s="257" t="s">
        <v>906</v>
      </c>
      <c r="D114" s="257" t="s">
        <v>906</v>
      </c>
      <c r="E114" s="258" t="s">
        <v>908</v>
      </c>
      <c r="F114" s="259" t="s">
        <v>909</v>
      </c>
      <c r="G114" s="259" t="s">
        <v>908</v>
      </c>
      <c r="H114" s="241"/>
    </row>
    <row r="115">
      <c r="A115" s="260">
        <v>102.0</v>
      </c>
      <c r="B115" s="256" t="s">
        <v>910</v>
      </c>
      <c r="C115" s="257" t="s">
        <v>911</v>
      </c>
      <c r="D115" s="257" t="s">
        <v>911</v>
      </c>
      <c r="E115" s="258" t="s">
        <v>912</v>
      </c>
      <c r="F115" s="259" t="s">
        <v>914</v>
      </c>
      <c r="G115" s="259" t="s">
        <v>912</v>
      </c>
      <c r="H115" s="241"/>
    </row>
    <row r="116">
      <c r="A116" s="260">
        <v>103.0</v>
      </c>
      <c r="B116" s="256" t="s">
        <v>918</v>
      </c>
      <c r="C116" s="257" t="s">
        <v>919</v>
      </c>
      <c r="D116" s="257" t="s">
        <v>919</v>
      </c>
      <c r="E116" s="258" t="s">
        <v>920</v>
      </c>
      <c r="F116" s="259" t="s">
        <v>921</v>
      </c>
      <c r="G116" s="259" t="s">
        <v>920</v>
      </c>
      <c r="H116" s="241"/>
    </row>
    <row r="117">
      <c r="A117" s="260">
        <v>104.0</v>
      </c>
      <c r="B117" s="256" t="s">
        <v>923</v>
      </c>
      <c r="C117" s="257" t="s">
        <v>925</v>
      </c>
      <c r="D117" s="257" t="s">
        <v>925</v>
      </c>
      <c r="E117" s="258" t="s">
        <v>927</v>
      </c>
      <c r="F117" s="259" t="s">
        <v>928</v>
      </c>
      <c r="G117" s="259" t="s">
        <v>927</v>
      </c>
      <c r="H117" s="241"/>
    </row>
    <row r="118">
      <c r="A118" s="261"/>
      <c r="B118" s="262"/>
      <c r="C118" s="262"/>
      <c r="D118" s="262"/>
      <c r="E118" s="263"/>
      <c r="F118" s="241"/>
      <c r="G118" s="241"/>
      <c r="H118" s="241"/>
    </row>
    <row r="119">
      <c r="A119" s="260">
        <v>105.0</v>
      </c>
      <c r="B119" s="256" t="s">
        <v>933</v>
      </c>
      <c r="C119" s="257" t="s">
        <v>934</v>
      </c>
      <c r="D119" s="257" t="s">
        <v>934</v>
      </c>
      <c r="E119" s="258" t="s">
        <v>935</v>
      </c>
      <c r="F119" s="259" t="s">
        <v>936</v>
      </c>
      <c r="G119" s="259" t="s">
        <v>935</v>
      </c>
      <c r="H119" s="241"/>
    </row>
    <row r="120">
      <c r="A120" s="260">
        <v>106.0</v>
      </c>
      <c r="B120" s="256" t="s">
        <v>937</v>
      </c>
      <c r="C120" s="257" t="s">
        <v>939</v>
      </c>
      <c r="D120" s="257" t="s">
        <v>939</v>
      </c>
      <c r="E120" s="258" t="s">
        <v>943</v>
      </c>
      <c r="F120" s="259" t="s">
        <v>945</v>
      </c>
      <c r="G120" s="259" t="s">
        <v>943</v>
      </c>
      <c r="H120" s="241"/>
    </row>
    <row r="121">
      <c r="A121" s="260">
        <v>107.0</v>
      </c>
      <c r="B121" s="256" t="s">
        <v>946</v>
      </c>
      <c r="C121" s="257" t="s">
        <v>947</v>
      </c>
      <c r="D121" s="257" t="s">
        <v>947</v>
      </c>
      <c r="E121" s="258" t="s">
        <v>948</v>
      </c>
      <c r="F121" s="259" t="s">
        <v>949</v>
      </c>
      <c r="G121" s="259" t="s">
        <v>948</v>
      </c>
      <c r="H121" s="241"/>
    </row>
    <row r="122">
      <c r="A122" s="260">
        <v>108.0</v>
      </c>
      <c r="B122" s="256" t="s">
        <v>954</v>
      </c>
      <c r="C122" s="257" t="s">
        <v>955</v>
      </c>
      <c r="D122" s="257" t="s">
        <v>955</v>
      </c>
      <c r="E122" s="258" t="s">
        <v>956</v>
      </c>
      <c r="F122" s="259" t="s">
        <v>957</v>
      </c>
      <c r="G122" s="259" t="s">
        <v>956</v>
      </c>
      <c r="H122" s="241"/>
    </row>
    <row r="123">
      <c r="A123" s="260">
        <v>109.0</v>
      </c>
      <c r="B123" s="256" t="s">
        <v>958</v>
      </c>
      <c r="C123" s="257" t="s">
        <v>961</v>
      </c>
      <c r="D123" s="257" t="s">
        <v>961</v>
      </c>
      <c r="E123" s="258" t="s">
        <v>964</v>
      </c>
      <c r="F123" s="259" t="s">
        <v>965</v>
      </c>
      <c r="G123" s="259" t="s">
        <v>964</v>
      </c>
      <c r="H123" s="241"/>
    </row>
    <row r="124">
      <c r="A124" s="260">
        <v>110.0</v>
      </c>
      <c r="B124" s="256" t="s">
        <v>966</v>
      </c>
      <c r="C124" s="257" t="s">
        <v>967</v>
      </c>
      <c r="D124" s="257" t="s">
        <v>967</v>
      </c>
      <c r="E124" s="258" t="s">
        <v>968</v>
      </c>
      <c r="F124" s="259" t="s">
        <v>969</v>
      </c>
      <c r="G124" s="259" t="s">
        <v>968</v>
      </c>
      <c r="H124" s="241"/>
    </row>
    <row r="125">
      <c r="A125" s="260">
        <v>111.0</v>
      </c>
      <c r="B125" s="256" t="s">
        <v>974</v>
      </c>
      <c r="C125" s="257" t="s">
        <v>975</v>
      </c>
      <c r="D125" s="257" t="s">
        <v>975</v>
      </c>
      <c r="E125" s="258" t="s">
        <v>976</v>
      </c>
      <c r="F125" s="259" t="s">
        <v>977</v>
      </c>
      <c r="G125" s="259" t="s">
        <v>976</v>
      </c>
      <c r="H125" s="241"/>
    </row>
    <row r="126">
      <c r="A126" s="260">
        <v>112.0</v>
      </c>
      <c r="B126" s="256" t="s">
        <v>978</v>
      </c>
      <c r="C126" s="257" t="s">
        <v>979</v>
      </c>
      <c r="D126" s="257" t="s">
        <v>979</v>
      </c>
      <c r="E126" s="258" t="s">
        <v>982</v>
      </c>
      <c r="F126" s="259" t="s">
        <v>984</v>
      </c>
      <c r="G126" s="259" t="s">
        <v>982</v>
      </c>
      <c r="H126" s="241"/>
    </row>
    <row r="127">
      <c r="A127" s="261"/>
      <c r="B127" s="262"/>
      <c r="C127" s="262"/>
      <c r="D127" s="262"/>
      <c r="E127" s="263"/>
      <c r="F127" s="241"/>
      <c r="G127" s="241"/>
      <c r="H127" s="241"/>
    </row>
    <row r="128">
      <c r="A128" s="260">
        <v>113.0</v>
      </c>
      <c r="B128" s="256" t="s">
        <v>989</v>
      </c>
      <c r="C128" s="257" t="s">
        <v>991</v>
      </c>
      <c r="D128" s="257" t="s">
        <v>991</v>
      </c>
      <c r="E128" s="258" t="s">
        <v>992</v>
      </c>
      <c r="F128" s="259" t="s">
        <v>993</v>
      </c>
      <c r="G128" s="259" t="s">
        <v>992</v>
      </c>
      <c r="H128" s="241"/>
    </row>
    <row r="129">
      <c r="A129" s="260">
        <v>114.0</v>
      </c>
      <c r="B129" s="256" t="s">
        <v>994</v>
      </c>
      <c r="C129" s="257" t="s">
        <v>995</v>
      </c>
      <c r="D129" s="257" t="s">
        <v>995</v>
      </c>
      <c r="E129" s="258" t="s">
        <v>999</v>
      </c>
      <c r="F129" s="259" t="s">
        <v>1002</v>
      </c>
      <c r="G129" s="259" t="s">
        <v>999</v>
      </c>
      <c r="H129" s="241"/>
    </row>
    <row r="130">
      <c r="A130" s="260">
        <v>115.0</v>
      </c>
      <c r="B130" s="256" t="s">
        <v>1003</v>
      </c>
      <c r="C130" s="257" t="s">
        <v>1004</v>
      </c>
      <c r="D130" s="257" t="s">
        <v>1004</v>
      </c>
      <c r="E130" s="258" t="s">
        <v>1005</v>
      </c>
      <c r="F130" s="259" t="s">
        <v>1007</v>
      </c>
      <c r="G130" s="259" t="s">
        <v>1005</v>
      </c>
      <c r="H130" s="241"/>
    </row>
    <row r="131">
      <c r="A131" s="260">
        <v>116.0</v>
      </c>
      <c r="B131" s="256" t="s">
        <v>1012</v>
      </c>
      <c r="C131" s="257" t="s">
        <v>1013</v>
      </c>
      <c r="D131" s="257" t="s">
        <v>1013</v>
      </c>
      <c r="E131" s="258" t="s">
        <v>1014</v>
      </c>
      <c r="F131" s="259" t="s">
        <v>1015</v>
      </c>
      <c r="G131" s="259" t="s">
        <v>1014</v>
      </c>
      <c r="H131" s="241"/>
    </row>
    <row r="132">
      <c r="A132" s="260">
        <v>117.0</v>
      </c>
      <c r="B132" s="256" t="s">
        <v>1019</v>
      </c>
      <c r="C132" s="257" t="s">
        <v>1022</v>
      </c>
      <c r="D132" s="257" t="s">
        <v>1022</v>
      </c>
      <c r="E132" s="258" t="s">
        <v>1023</v>
      </c>
      <c r="F132" s="259" t="s">
        <v>1024</v>
      </c>
      <c r="G132" s="259" t="s">
        <v>1023</v>
      </c>
      <c r="H132" s="241"/>
    </row>
    <row r="133">
      <c r="A133" s="260">
        <v>118.0</v>
      </c>
      <c r="B133" s="256" t="s">
        <v>1025</v>
      </c>
      <c r="C133" s="257" t="s">
        <v>1028</v>
      </c>
      <c r="D133" s="257" t="s">
        <v>1028</v>
      </c>
      <c r="E133" s="258" t="s">
        <v>985</v>
      </c>
      <c r="F133" s="259" t="s">
        <v>1032</v>
      </c>
      <c r="G133" s="259" t="s">
        <v>985</v>
      </c>
      <c r="H133" s="241"/>
    </row>
    <row r="134">
      <c r="A134" s="260">
        <v>119.0</v>
      </c>
      <c r="B134" s="256" t="s">
        <v>1033</v>
      </c>
      <c r="C134" s="257" t="s">
        <v>1034</v>
      </c>
      <c r="D134" s="257" t="s">
        <v>1034</v>
      </c>
      <c r="E134" s="258" t="s">
        <v>1037</v>
      </c>
      <c r="F134" s="259" t="s">
        <v>1039</v>
      </c>
      <c r="G134" s="259" t="s">
        <v>1037</v>
      </c>
      <c r="H134" s="241"/>
    </row>
    <row r="135">
      <c r="A135" s="260">
        <v>120.0</v>
      </c>
      <c r="B135" s="256" t="s">
        <v>1041</v>
      </c>
      <c r="C135" s="257" t="s">
        <v>1042</v>
      </c>
      <c r="D135" s="257" t="s">
        <v>1042</v>
      </c>
      <c r="E135" s="258" t="s">
        <v>1043</v>
      </c>
      <c r="F135" s="259" t="s">
        <v>1044</v>
      </c>
      <c r="G135" s="259" t="s">
        <v>1043</v>
      </c>
      <c r="H135" s="241"/>
    </row>
    <row r="136">
      <c r="A136" s="261"/>
      <c r="B136" s="262"/>
      <c r="C136" s="262"/>
      <c r="D136" s="262"/>
      <c r="E136" s="263"/>
      <c r="F136" s="241"/>
      <c r="G136" s="241"/>
      <c r="H136" s="241"/>
    </row>
    <row r="137">
      <c r="A137" s="260">
        <v>121.0</v>
      </c>
      <c r="B137" s="256" t="s">
        <v>1049</v>
      </c>
      <c r="C137" s="257" t="s">
        <v>1052</v>
      </c>
      <c r="D137" s="257" t="s">
        <v>1052</v>
      </c>
      <c r="E137" s="258" t="s">
        <v>1055</v>
      </c>
      <c r="F137" s="259" t="s">
        <v>1057</v>
      </c>
      <c r="G137" s="259" t="s">
        <v>1055</v>
      </c>
      <c r="H137" s="241"/>
    </row>
    <row r="138">
      <c r="A138" s="260">
        <v>122.0</v>
      </c>
      <c r="B138" s="256" t="s">
        <v>1058</v>
      </c>
      <c r="C138" s="257" t="s">
        <v>1059</v>
      </c>
      <c r="D138" s="257" t="s">
        <v>1059</v>
      </c>
      <c r="E138" s="258" t="s">
        <v>1060</v>
      </c>
      <c r="F138" s="259" t="s">
        <v>1061</v>
      </c>
      <c r="G138" s="259" t="s">
        <v>1060</v>
      </c>
      <c r="H138" s="241"/>
    </row>
    <row r="139">
      <c r="A139" s="260">
        <v>123.0</v>
      </c>
      <c r="B139" s="256" t="s">
        <v>1064</v>
      </c>
      <c r="C139" s="257" t="s">
        <v>1066</v>
      </c>
      <c r="D139" s="257" t="s">
        <v>1066</v>
      </c>
      <c r="E139" s="258" t="s">
        <v>993</v>
      </c>
      <c r="F139" s="259" t="s">
        <v>992</v>
      </c>
      <c r="G139" s="259" t="s">
        <v>993</v>
      </c>
      <c r="H139" s="241"/>
    </row>
    <row r="140">
      <c r="A140" s="260">
        <v>124.0</v>
      </c>
      <c r="B140" s="256" t="s">
        <v>1067</v>
      </c>
      <c r="C140" s="257" t="s">
        <v>1068</v>
      </c>
      <c r="D140" s="257" t="s">
        <v>1068</v>
      </c>
      <c r="E140" s="258" t="s">
        <v>1069</v>
      </c>
      <c r="F140" s="259" t="s">
        <v>1070</v>
      </c>
      <c r="G140" s="259" t="s">
        <v>1069</v>
      </c>
      <c r="H140" s="241"/>
    </row>
    <row r="141">
      <c r="A141" s="260">
        <v>125.0</v>
      </c>
      <c r="B141" s="256" t="s">
        <v>1075</v>
      </c>
      <c r="C141" s="257" t="s">
        <v>1077</v>
      </c>
      <c r="D141" s="257" t="s">
        <v>1077</v>
      </c>
      <c r="E141" s="258" t="s">
        <v>1078</v>
      </c>
      <c r="F141" s="259" t="s">
        <v>1079</v>
      </c>
      <c r="G141" s="259" t="s">
        <v>1078</v>
      </c>
      <c r="H141" s="241"/>
    </row>
    <row r="142">
      <c r="A142" s="260">
        <v>126.0</v>
      </c>
      <c r="B142" s="256" t="s">
        <v>1080</v>
      </c>
      <c r="C142" s="257" t="s">
        <v>1081</v>
      </c>
      <c r="D142" s="257" t="s">
        <v>1081</v>
      </c>
      <c r="E142" s="258" t="s">
        <v>1082</v>
      </c>
      <c r="F142" s="259" t="s">
        <v>1083</v>
      </c>
      <c r="G142" s="259" t="s">
        <v>1082</v>
      </c>
      <c r="H142" s="241"/>
    </row>
    <row r="143">
      <c r="A143" s="260">
        <v>127.0</v>
      </c>
      <c r="B143" s="256" t="s">
        <v>1087</v>
      </c>
      <c r="C143" s="257" t="s">
        <v>1090</v>
      </c>
      <c r="D143" s="257" t="s">
        <v>1090</v>
      </c>
      <c r="E143" s="258" t="s">
        <v>1091</v>
      </c>
      <c r="F143" s="259" t="s">
        <v>1092</v>
      </c>
      <c r="G143" s="259" t="s">
        <v>1091</v>
      </c>
      <c r="H143" s="241"/>
    </row>
    <row r="144">
      <c r="A144" s="260">
        <v>128.0</v>
      </c>
      <c r="B144" s="256" t="s">
        <v>1093</v>
      </c>
      <c r="C144" s="257" t="s">
        <v>1094</v>
      </c>
      <c r="D144" s="257" t="s">
        <v>1094</v>
      </c>
      <c r="E144" s="258" t="s">
        <v>1095</v>
      </c>
      <c r="F144" s="259" t="s">
        <v>1096</v>
      </c>
      <c r="G144" s="259" t="s">
        <v>1095</v>
      </c>
      <c r="H144" s="241"/>
    </row>
    <row r="145">
      <c r="A145" s="261"/>
      <c r="B145" s="262"/>
      <c r="C145" s="262"/>
      <c r="D145" s="262"/>
      <c r="E145" s="263"/>
      <c r="F145" s="241"/>
      <c r="G145" s="241"/>
      <c r="H145" s="241"/>
    </row>
    <row r="146">
      <c r="A146" s="260">
        <v>129.0</v>
      </c>
      <c r="B146" s="256" t="s">
        <v>1102</v>
      </c>
      <c r="C146" s="257" t="s">
        <v>808</v>
      </c>
      <c r="D146" s="257" t="s">
        <v>808</v>
      </c>
      <c r="E146" s="258" t="s">
        <v>1103</v>
      </c>
      <c r="F146" s="259" t="s">
        <v>1104</v>
      </c>
      <c r="G146" s="259" t="s">
        <v>1103</v>
      </c>
      <c r="H146" s="241"/>
    </row>
    <row r="147">
      <c r="A147" s="260">
        <v>130.0</v>
      </c>
      <c r="B147" s="256" t="s">
        <v>1105</v>
      </c>
      <c r="C147" s="257" t="s">
        <v>1106</v>
      </c>
      <c r="D147" s="257" t="s">
        <v>1106</v>
      </c>
      <c r="E147" s="258" t="s">
        <v>1107</v>
      </c>
      <c r="F147" s="259" t="s">
        <v>1109</v>
      </c>
      <c r="G147" s="259" t="s">
        <v>1107</v>
      </c>
      <c r="H147" s="241"/>
    </row>
    <row r="148">
      <c r="A148" s="260">
        <v>131.0</v>
      </c>
      <c r="B148" s="256" t="s">
        <v>1114</v>
      </c>
      <c r="C148" s="257" t="s">
        <v>1115</v>
      </c>
      <c r="D148" s="257" t="s">
        <v>1115</v>
      </c>
      <c r="E148" s="258" t="s">
        <v>1116</v>
      </c>
      <c r="F148" s="259" t="s">
        <v>1117</v>
      </c>
      <c r="G148" s="259" t="s">
        <v>1116</v>
      </c>
      <c r="H148" s="241"/>
    </row>
    <row r="149">
      <c r="A149" s="260">
        <v>132.0</v>
      </c>
      <c r="B149" s="256" t="s">
        <v>1118</v>
      </c>
      <c r="C149" s="257" t="s">
        <v>1119</v>
      </c>
      <c r="D149" s="257" t="s">
        <v>1119</v>
      </c>
      <c r="E149" s="258" t="s">
        <v>1120</v>
      </c>
      <c r="F149" s="259" t="s">
        <v>1121</v>
      </c>
      <c r="G149" s="259" t="s">
        <v>1120</v>
      </c>
      <c r="H149" s="241"/>
    </row>
    <row r="150">
      <c r="A150" s="260">
        <v>133.0</v>
      </c>
      <c r="B150" s="256" t="s">
        <v>1126</v>
      </c>
      <c r="C150" s="257" t="s">
        <v>1128</v>
      </c>
      <c r="D150" s="257" t="s">
        <v>1128</v>
      </c>
      <c r="E150" s="258" t="s">
        <v>917</v>
      </c>
      <c r="F150" s="259" t="s">
        <v>1129</v>
      </c>
      <c r="G150" s="259" t="s">
        <v>917</v>
      </c>
      <c r="H150" s="241"/>
    </row>
    <row r="151">
      <c r="A151" s="260">
        <v>134.0</v>
      </c>
      <c r="B151" s="256" t="s">
        <v>1130</v>
      </c>
      <c r="C151" s="257" t="s">
        <v>1131</v>
      </c>
      <c r="D151" s="257" t="s">
        <v>1131</v>
      </c>
      <c r="E151" s="258" t="s">
        <v>1132</v>
      </c>
      <c r="F151" s="259" t="s">
        <v>1133</v>
      </c>
      <c r="G151" s="259" t="s">
        <v>1132</v>
      </c>
      <c r="H151" s="241"/>
    </row>
    <row r="152">
      <c r="A152" s="260">
        <v>135.0</v>
      </c>
      <c r="B152" s="256" t="s">
        <v>1135</v>
      </c>
      <c r="C152" s="257" t="s">
        <v>1137</v>
      </c>
      <c r="D152" s="257" t="s">
        <v>1137</v>
      </c>
      <c r="E152" s="258" t="s">
        <v>1139</v>
      </c>
      <c r="F152" s="259" t="s">
        <v>1141</v>
      </c>
      <c r="G152" s="259" t="s">
        <v>1139</v>
      </c>
      <c r="H152" s="241"/>
    </row>
    <row r="153">
      <c r="A153" s="260">
        <v>136.0</v>
      </c>
      <c r="B153" s="256" t="s">
        <v>1142</v>
      </c>
      <c r="C153" s="257" t="s">
        <v>1143</v>
      </c>
      <c r="D153" s="257" t="s">
        <v>1143</v>
      </c>
      <c r="E153" s="258" t="s">
        <v>1144</v>
      </c>
      <c r="F153" s="259" t="s">
        <v>1145</v>
      </c>
      <c r="G153" s="259" t="s">
        <v>1144</v>
      </c>
      <c r="H153" s="241"/>
    </row>
    <row r="154">
      <c r="A154" s="261"/>
      <c r="B154" s="262"/>
      <c r="C154" s="262"/>
      <c r="D154" s="262"/>
      <c r="E154" s="263"/>
      <c r="F154" s="241"/>
      <c r="G154" s="241"/>
      <c r="H154" s="241"/>
    </row>
    <row r="155">
      <c r="A155" s="260">
        <v>137.0</v>
      </c>
      <c r="B155" s="256" t="s">
        <v>1151</v>
      </c>
      <c r="C155" s="257" t="s">
        <v>1152</v>
      </c>
      <c r="D155" s="257" t="s">
        <v>1152</v>
      </c>
      <c r="E155" s="258" t="s">
        <v>1153</v>
      </c>
      <c r="F155" s="259" t="s">
        <v>1154</v>
      </c>
      <c r="G155" s="259" t="s">
        <v>1153</v>
      </c>
      <c r="H155" s="241"/>
    </row>
    <row r="156">
      <c r="A156" s="260">
        <v>138.0</v>
      </c>
      <c r="B156" s="256" t="s">
        <v>1155</v>
      </c>
      <c r="C156" s="257" t="s">
        <v>1156</v>
      </c>
      <c r="D156" s="257" t="s">
        <v>1156</v>
      </c>
      <c r="E156" s="258" t="s">
        <v>1157</v>
      </c>
      <c r="F156" s="259" t="s">
        <v>1158</v>
      </c>
      <c r="G156" s="259" t="s">
        <v>1157</v>
      </c>
      <c r="H156" s="241"/>
    </row>
    <row r="157">
      <c r="A157" s="260">
        <v>139.0</v>
      </c>
      <c r="B157" s="256" t="s">
        <v>1161</v>
      </c>
      <c r="C157" s="257" t="s">
        <v>1163</v>
      </c>
      <c r="D157" s="257" t="s">
        <v>1163</v>
      </c>
      <c r="E157" s="258" t="s">
        <v>1166</v>
      </c>
      <c r="F157" s="259" t="s">
        <v>1167</v>
      </c>
      <c r="G157" s="259" t="s">
        <v>1166</v>
      </c>
      <c r="H157" s="241"/>
    </row>
    <row r="158">
      <c r="A158" s="260">
        <v>140.0</v>
      </c>
      <c r="B158" s="256" t="s">
        <v>1168</v>
      </c>
      <c r="C158" s="257" t="s">
        <v>1169</v>
      </c>
      <c r="D158" s="257" t="s">
        <v>1169</v>
      </c>
      <c r="E158" s="258" t="s">
        <v>1170</v>
      </c>
      <c r="F158" s="259" t="s">
        <v>1171</v>
      </c>
      <c r="G158" s="259" t="s">
        <v>1170</v>
      </c>
      <c r="H158" s="241"/>
    </row>
    <row r="159">
      <c r="A159" s="260">
        <v>141.0</v>
      </c>
      <c r="B159" s="256" t="s">
        <v>1173</v>
      </c>
      <c r="C159" s="257" t="s">
        <v>1175</v>
      </c>
      <c r="D159" s="257" t="s">
        <v>1175</v>
      </c>
      <c r="E159" s="258" t="s">
        <v>1178</v>
      </c>
      <c r="F159" s="259" t="s">
        <v>1180</v>
      </c>
      <c r="G159" s="259" t="s">
        <v>1178</v>
      </c>
      <c r="H159" s="241"/>
    </row>
    <row r="160">
      <c r="A160" s="260">
        <v>142.0</v>
      </c>
      <c r="B160" s="256" t="s">
        <v>1181</v>
      </c>
      <c r="C160" s="257" t="s">
        <v>1111</v>
      </c>
      <c r="D160" s="257" t="s">
        <v>1111</v>
      </c>
      <c r="E160" s="258" t="s">
        <v>1182</v>
      </c>
      <c r="F160" s="259" t="s">
        <v>1183</v>
      </c>
      <c r="G160" s="259" t="s">
        <v>1182</v>
      </c>
      <c r="H160" s="241"/>
    </row>
    <row r="161">
      <c r="A161" s="260">
        <v>143.0</v>
      </c>
      <c r="B161" s="256" t="s">
        <v>1184</v>
      </c>
      <c r="C161" s="257" t="s">
        <v>1186</v>
      </c>
      <c r="D161" s="257" t="s">
        <v>1186</v>
      </c>
      <c r="E161" s="258" t="s">
        <v>1190</v>
      </c>
      <c r="F161" s="259" t="s">
        <v>1191</v>
      </c>
      <c r="G161" s="259" t="s">
        <v>1190</v>
      </c>
      <c r="H161" s="241"/>
    </row>
    <row r="162">
      <c r="A162" s="260">
        <v>144.0</v>
      </c>
      <c r="B162" s="256" t="s">
        <v>1192</v>
      </c>
      <c r="C162" s="257" t="s">
        <v>1193</v>
      </c>
      <c r="D162" s="257" t="s">
        <v>1193</v>
      </c>
      <c r="E162" s="258" t="s">
        <v>1194</v>
      </c>
      <c r="F162" s="259" t="s">
        <v>1196</v>
      </c>
      <c r="G162" s="259" t="s">
        <v>1194</v>
      </c>
      <c r="H162" s="241"/>
    </row>
    <row r="163">
      <c r="A163" s="261"/>
      <c r="B163" s="262"/>
      <c r="C163" s="262"/>
      <c r="D163" s="262"/>
      <c r="E163" s="263"/>
      <c r="F163" s="241"/>
      <c r="G163" s="241"/>
      <c r="H163" s="241"/>
    </row>
    <row r="164">
      <c r="A164" s="260">
        <v>145.0</v>
      </c>
      <c r="B164" s="256" t="s">
        <v>1204</v>
      </c>
      <c r="C164" s="257" t="s">
        <v>1205</v>
      </c>
      <c r="D164" s="257" t="s">
        <v>1205</v>
      </c>
      <c r="E164" s="258" t="s">
        <v>1206</v>
      </c>
      <c r="F164" s="259" t="s">
        <v>1207</v>
      </c>
      <c r="G164" s="259" t="s">
        <v>1206</v>
      </c>
      <c r="H164" s="241"/>
    </row>
    <row r="165">
      <c r="A165" s="260">
        <v>146.0</v>
      </c>
      <c r="B165" s="256" t="s">
        <v>1208</v>
      </c>
      <c r="C165" s="257" t="s">
        <v>1209</v>
      </c>
      <c r="D165" s="257" t="s">
        <v>1209</v>
      </c>
      <c r="E165" s="258" t="s">
        <v>1210</v>
      </c>
      <c r="F165" s="259" t="s">
        <v>1211</v>
      </c>
      <c r="G165" s="259" t="s">
        <v>1210</v>
      </c>
      <c r="H165" s="241"/>
    </row>
    <row r="166">
      <c r="A166" s="260">
        <v>147.0</v>
      </c>
      <c r="B166" s="256" t="s">
        <v>1217</v>
      </c>
      <c r="C166" s="257" t="s">
        <v>1218</v>
      </c>
      <c r="D166" s="257" t="s">
        <v>1218</v>
      </c>
      <c r="E166" s="258" t="s">
        <v>1219</v>
      </c>
      <c r="F166" s="259" t="s">
        <v>1220</v>
      </c>
      <c r="G166" s="259" t="s">
        <v>1219</v>
      </c>
      <c r="H166" s="241"/>
    </row>
    <row r="167">
      <c r="A167" s="260">
        <v>148.0</v>
      </c>
      <c r="B167" s="256" t="s">
        <v>1221</v>
      </c>
      <c r="C167" s="257" t="s">
        <v>1222</v>
      </c>
      <c r="D167" s="257" t="s">
        <v>1222</v>
      </c>
      <c r="E167" s="258" t="s">
        <v>1224</v>
      </c>
      <c r="F167" s="259" t="s">
        <v>1226</v>
      </c>
      <c r="G167" s="259" t="s">
        <v>1224</v>
      </c>
      <c r="H167" s="241"/>
    </row>
    <row r="168">
      <c r="A168" s="260">
        <v>149.0</v>
      </c>
      <c r="B168" s="256" t="s">
        <v>1230</v>
      </c>
      <c r="C168" s="257" t="s">
        <v>1231</v>
      </c>
      <c r="D168" s="257" t="s">
        <v>1231</v>
      </c>
      <c r="E168" s="258" t="s">
        <v>1232</v>
      </c>
      <c r="F168" s="259" t="s">
        <v>1233</v>
      </c>
      <c r="G168" s="259" t="s">
        <v>1232</v>
      </c>
      <c r="H168" s="241"/>
    </row>
    <row r="169">
      <c r="A169" s="260">
        <v>150.0</v>
      </c>
      <c r="B169" s="256" t="s">
        <v>1235</v>
      </c>
      <c r="C169" s="257" t="s">
        <v>1238</v>
      </c>
      <c r="D169" s="257" t="s">
        <v>1238</v>
      </c>
      <c r="E169" s="258" t="s">
        <v>1241</v>
      </c>
      <c r="F169" s="259" t="s">
        <v>1242</v>
      </c>
      <c r="G169" s="259" t="s">
        <v>1241</v>
      </c>
      <c r="H169" s="241"/>
    </row>
    <row r="170">
      <c r="A170" s="260">
        <v>151.0</v>
      </c>
      <c r="B170" s="256" t="s">
        <v>1243</v>
      </c>
      <c r="C170" s="257" t="s">
        <v>1244</v>
      </c>
      <c r="D170" s="257" t="s">
        <v>1244</v>
      </c>
      <c r="E170" s="258" t="s">
        <v>1245</v>
      </c>
      <c r="F170" s="259" t="s">
        <v>1246</v>
      </c>
      <c r="G170" s="259" t="s">
        <v>1245</v>
      </c>
      <c r="H170" s="241"/>
    </row>
    <row r="171">
      <c r="A171" s="260">
        <v>152.0</v>
      </c>
      <c r="B171" s="256" t="s">
        <v>1249</v>
      </c>
      <c r="C171" s="257" t="s">
        <v>1251</v>
      </c>
      <c r="D171" s="257" t="s">
        <v>1251</v>
      </c>
      <c r="E171" s="258" t="s">
        <v>1252</v>
      </c>
      <c r="F171" s="259" t="s">
        <v>1253</v>
      </c>
      <c r="G171" s="259" t="s">
        <v>1252</v>
      </c>
      <c r="H171" s="241"/>
    </row>
    <row r="172">
      <c r="A172" s="261"/>
      <c r="B172" s="262"/>
      <c r="C172" s="262"/>
      <c r="D172" s="262"/>
      <c r="E172" s="263"/>
      <c r="F172" s="241"/>
      <c r="G172" s="241"/>
      <c r="H172" s="241"/>
    </row>
    <row r="173">
      <c r="A173" s="260">
        <v>153.0</v>
      </c>
      <c r="B173" s="256" t="s">
        <v>1255</v>
      </c>
      <c r="C173" s="257" t="s">
        <v>1257</v>
      </c>
      <c r="D173" s="257" t="s">
        <v>1257</v>
      </c>
      <c r="E173" s="258" t="s">
        <v>1259</v>
      </c>
      <c r="F173" s="259" t="s">
        <v>1261</v>
      </c>
      <c r="G173" s="259" t="s">
        <v>1259</v>
      </c>
      <c r="H173" s="241"/>
    </row>
    <row r="174">
      <c r="A174" s="260">
        <v>154.0</v>
      </c>
      <c r="B174" s="256" t="s">
        <v>1262</v>
      </c>
      <c r="C174" s="257" t="s">
        <v>1263</v>
      </c>
      <c r="D174" s="257" t="s">
        <v>1263</v>
      </c>
      <c r="E174" s="258" t="s">
        <v>1264</v>
      </c>
      <c r="F174" s="259" t="s">
        <v>1265</v>
      </c>
      <c r="G174" s="259" t="s">
        <v>1264</v>
      </c>
      <c r="H174" s="241"/>
    </row>
    <row r="175">
      <c r="A175" s="260">
        <v>155.0</v>
      </c>
      <c r="B175" s="256" t="s">
        <v>1268</v>
      </c>
      <c r="C175" s="257" t="s">
        <v>1270</v>
      </c>
      <c r="D175" s="257" t="s">
        <v>1270</v>
      </c>
      <c r="E175" s="258" t="s">
        <v>1273</v>
      </c>
      <c r="F175" s="259" t="s">
        <v>1274</v>
      </c>
      <c r="G175" s="259" t="s">
        <v>1273</v>
      </c>
      <c r="H175" s="241"/>
    </row>
    <row r="176">
      <c r="A176" s="260">
        <v>156.0</v>
      </c>
      <c r="B176" s="256" t="s">
        <v>1275</v>
      </c>
      <c r="C176" s="257" t="s">
        <v>1277</v>
      </c>
      <c r="D176" s="257" t="s">
        <v>1277</v>
      </c>
      <c r="E176" s="258" t="s">
        <v>1076</v>
      </c>
      <c r="F176" s="259" t="s">
        <v>1282</v>
      </c>
      <c r="G176" s="259" t="s">
        <v>1076</v>
      </c>
      <c r="H176" s="241"/>
    </row>
    <row r="177">
      <c r="A177" s="260">
        <v>157.0</v>
      </c>
      <c r="B177" s="256" t="s">
        <v>1283</v>
      </c>
      <c r="C177" s="257" t="s">
        <v>1284</v>
      </c>
      <c r="D177" s="257" t="s">
        <v>1284</v>
      </c>
      <c r="E177" s="258" t="s">
        <v>1285</v>
      </c>
      <c r="F177" s="259" t="s">
        <v>1286</v>
      </c>
      <c r="G177" s="259" t="s">
        <v>1285</v>
      </c>
      <c r="H177" s="241"/>
    </row>
    <row r="178">
      <c r="A178" s="260">
        <v>158.0</v>
      </c>
      <c r="B178" s="256" t="s">
        <v>1287</v>
      </c>
      <c r="C178" s="257" t="s">
        <v>739</v>
      </c>
      <c r="D178" s="257" t="s">
        <v>739</v>
      </c>
      <c r="E178" s="258" t="s">
        <v>1216</v>
      </c>
      <c r="F178" s="259" t="s">
        <v>1292</v>
      </c>
      <c r="G178" s="259" t="s">
        <v>1216</v>
      </c>
      <c r="H178" s="241"/>
    </row>
    <row r="179">
      <c r="A179" s="260">
        <v>159.0</v>
      </c>
      <c r="B179" s="256" t="s">
        <v>1293</v>
      </c>
      <c r="C179" s="257" t="s">
        <v>1294</v>
      </c>
      <c r="D179" s="257" t="s">
        <v>1294</v>
      </c>
      <c r="E179" s="258" t="s">
        <v>1295</v>
      </c>
      <c r="F179" s="259" t="s">
        <v>1296</v>
      </c>
      <c r="G179" s="259" t="s">
        <v>1295</v>
      </c>
      <c r="H179" s="241"/>
    </row>
    <row r="180">
      <c r="A180" s="260">
        <v>160.0</v>
      </c>
      <c r="B180" s="256" t="s">
        <v>1297</v>
      </c>
      <c r="C180" s="257" t="s">
        <v>1298</v>
      </c>
      <c r="D180" s="257" t="s">
        <v>1298</v>
      </c>
      <c r="E180" s="258" t="s">
        <v>1301</v>
      </c>
      <c r="F180" s="259" t="s">
        <v>1303</v>
      </c>
      <c r="G180" s="259" t="s">
        <v>1301</v>
      </c>
      <c r="H180" s="241"/>
    </row>
    <row r="181">
      <c r="A181" s="261"/>
      <c r="B181" s="262"/>
      <c r="C181" s="262"/>
      <c r="D181" s="262"/>
      <c r="E181" s="263"/>
      <c r="F181" s="241"/>
      <c r="G181" s="241"/>
      <c r="H181" s="241"/>
    </row>
    <row r="182">
      <c r="A182" s="260">
        <v>161.0</v>
      </c>
      <c r="B182" s="256" t="s">
        <v>1306</v>
      </c>
      <c r="C182" s="257" t="s">
        <v>1307</v>
      </c>
      <c r="D182" s="257" t="s">
        <v>1307</v>
      </c>
      <c r="E182" s="258" t="s">
        <v>1308</v>
      </c>
      <c r="F182" s="259" t="s">
        <v>1310</v>
      </c>
      <c r="G182" s="259" t="s">
        <v>1308</v>
      </c>
      <c r="H182" s="241"/>
    </row>
    <row r="183">
      <c r="A183" s="260">
        <v>162.0</v>
      </c>
      <c r="B183" s="256" t="s">
        <v>1314</v>
      </c>
      <c r="C183" s="257" t="s">
        <v>1315</v>
      </c>
      <c r="D183" s="257" t="s">
        <v>1315</v>
      </c>
      <c r="E183" s="258" t="s">
        <v>1316</v>
      </c>
      <c r="F183" s="259" t="s">
        <v>1317</v>
      </c>
      <c r="G183" s="259" t="s">
        <v>1316</v>
      </c>
      <c r="H183" s="241"/>
    </row>
    <row r="184">
      <c r="A184" s="260">
        <v>163.0</v>
      </c>
      <c r="B184" s="256" t="s">
        <v>1318</v>
      </c>
      <c r="C184" s="257" t="s">
        <v>1319</v>
      </c>
      <c r="D184" s="257" t="s">
        <v>1319</v>
      </c>
      <c r="E184" s="258" t="s">
        <v>1320</v>
      </c>
      <c r="F184" s="259" t="s">
        <v>1322</v>
      </c>
      <c r="G184" s="259" t="s">
        <v>1320</v>
      </c>
      <c r="H184" s="241"/>
    </row>
    <row r="185">
      <c r="A185" s="260">
        <v>164.0</v>
      </c>
      <c r="B185" s="256" t="s">
        <v>1327</v>
      </c>
      <c r="C185" s="257" t="s">
        <v>1328</v>
      </c>
      <c r="D185" s="257" t="s">
        <v>1328</v>
      </c>
      <c r="E185" s="258" t="s">
        <v>617</v>
      </c>
      <c r="F185" s="259" t="s">
        <v>616</v>
      </c>
      <c r="G185" s="259" t="s">
        <v>617</v>
      </c>
      <c r="H185" s="241"/>
    </row>
    <row r="186">
      <c r="A186" s="260">
        <v>165.0</v>
      </c>
      <c r="B186" s="256" t="s">
        <v>1329</v>
      </c>
      <c r="C186" s="257" t="s">
        <v>1302</v>
      </c>
      <c r="D186" s="257" t="s">
        <v>1302</v>
      </c>
      <c r="E186" s="258" t="s">
        <v>815</v>
      </c>
      <c r="F186" s="259" t="s">
        <v>1332</v>
      </c>
      <c r="G186" s="259" t="s">
        <v>815</v>
      </c>
      <c r="H186" s="241"/>
    </row>
    <row r="187">
      <c r="A187" s="260">
        <v>166.0</v>
      </c>
      <c r="B187" s="256" t="s">
        <v>1335</v>
      </c>
      <c r="C187" s="257" t="s">
        <v>1336</v>
      </c>
      <c r="D187" s="257" t="s">
        <v>1336</v>
      </c>
      <c r="E187" s="258" t="s">
        <v>1127</v>
      </c>
      <c r="F187" s="259" t="s">
        <v>1337</v>
      </c>
      <c r="G187" s="259" t="s">
        <v>1127</v>
      </c>
      <c r="H187" s="241"/>
    </row>
    <row r="188">
      <c r="A188" s="260">
        <v>167.0</v>
      </c>
      <c r="B188" s="256" t="s">
        <v>1338</v>
      </c>
      <c r="C188" s="257" t="s">
        <v>1339</v>
      </c>
      <c r="D188" s="257" t="s">
        <v>1339</v>
      </c>
      <c r="E188" s="258" t="s">
        <v>855</v>
      </c>
      <c r="F188" s="259" t="s">
        <v>1340</v>
      </c>
      <c r="G188" s="259" t="s">
        <v>855</v>
      </c>
      <c r="H188" s="241"/>
    </row>
    <row r="189">
      <c r="A189" s="260">
        <v>168.0</v>
      </c>
      <c r="B189" s="256" t="s">
        <v>1345</v>
      </c>
      <c r="C189" s="257" t="s">
        <v>1346</v>
      </c>
      <c r="D189" s="257" t="s">
        <v>1346</v>
      </c>
      <c r="E189" s="258" t="s">
        <v>1347</v>
      </c>
      <c r="F189" s="259" t="s">
        <v>1348</v>
      </c>
      <c r="G189" s="259" t="s">
        <v>1347</v>
      </c>
      <c r="H189" s="241"/>
    </row>
    <row r="190">
      <c r="A190" s="261"/>
      <c r="B190" s="262"/>
      <c r="C190" s="262"/>
      <c r="D190" s="262"/>
      <c r="E190" s="263"/>
      <c r="F190" s="241"/>
      <c r="G190" s="241"/>
      <c r="H190" s="241"/>
    </row>
    <row r="191">
      <c r="A191" s="260">
        <v>169.0</v>
      </c>
      <c r="B191" s="256" t="s">
        <v>1349</v>
      </c>
      <c r="C191" s="257" t="s">
        <v>477</v>
      </c>
      <c r="D191" s="257" t="s">
        <v>477</v>
      </c>
      <c r="E191" s="258" t="s">
        <v>1350</v>
      </c>
      <c r="F191" s="259" t="s">
        <v>475</v>
      </c>
      <c r="G191" s="259" t="s">
        <v>1350</v>
      </c>
      <c r="H191" s="241"/>
    </row>
    <row r="192">
      <c r="A192" s="260">
        <v>170.0</v>
      </c>
      <c r="B192" s="256" t="s">
        <v>1352</v>
      </c>
      <c r="C192" s="257" t="s">
        <v>1354</v>
      </c>
      <c r="D192" s="257" t="s">
        <v>1354</v>
      </c>
      <c r="E192" s="258" t="s">
        <v>1356</v>
      </c>
      <c r="F192" s="259" t="s">
        <v>1357</v>
      </c>
      <c r="G192" s="259" t="s">
        <v>1356</v>
      </c>
      <c r="H192" s="241"/>
    </row>
    <row r="193">
      <c r="A193" s="260">
        <v>171.0</v>
      </c>
      <c r="B193" s="256" t="s">
        <v>1358</v>
      </c>
      <c r="C193" s="257" t="s">
        <v>1359</v>
      </c>
      <c r="D193" s="257" t="s">
        <v>1359</v>
      </c>
      <c r="E193" s="258" t="s">
        <v>1360</v>
      </c>
      <c r="F193" s="259" t="s">
        <v>1361</v>
      </c>
      <c r="G193" s="259" t="s">
        <v>1360</v>
      </c>
      <c r="H193" s="241"/>
    </row>
    <row r="194">
      <c r="A194" s="260">
        <v>172.0</v>
      </c>
      <c r="B194" s="256" t="s">
        <v>1362</v>
      </c>
      <c r="C194" s="257" t="s">
        <v>1364</v>
      </c>
      <c r="D194" s="257" t="s">
        <v>1364</v>
      </c>
      <c r="E194" s="258" t="s">
        <v>1367</v>
      </c>
      <c r="F194" s="259" t="s">
        <v>1369</v>
      </c>
      <c r="G194" s="259" t="s">
        <v>1367</v>
      </c>
      <c r="H194" s="241"/>
    </row>
    <row r="195">
      <c r="A195" s="260">
        <v>173.0</v>
      </c>
      <c r="B195" s="256" t="s">
        <v>1371</v>
      </c>
      <c r="C195" s="257" t="s">
        <v>1372</v>
      </c>
      <c r="D195" s="257" t="s">
        <v>1372</v>
      </c>
      <c r="E195" s="258" t="s">
        <v>1373</v>
      </c>
      <c r="F195" s="259" t="s">
        <v>1374</v>
      </c>
      <c r="G195" s="259" t="s">
        <v>1373</v>
      </c>
      <c r="H195" s="241"/>
    </row>
    <row r="196">
      <c r="A196" s="260">
        <v>174.0</v>
      </c>
      <c r="B196" s="256" t="s">
        <v>1375</v>
      </c>
      <c r="C196" s="257" t="s">
        <v>1377</v>
      </c>
      <c r="D196" s="257" t="s">
        <v>1377</v>
      </c>
      <c r="E196" s="258" t="s">
        <v>1379</v>
      </c>
      <c r="F196" s="259" t="s">
        <v>1381</v>
      </c>
      <c r="G196" s="259" t="s">
        <v>1379</v>
      </c>
      <c r="H196" s="241"/>
    </row>
    <row r="197">
      <c r="A197" s="260">
        <v>175.0</v>
      </c>
      <c r="B197" s="256" t="s">
        <v>1383</v>
      </c>
      <c r="C197" s="257" t="s">
        <v>1384</v>
      </c>
      <c r="D197" s="257" t="s">
        <v>1384</v>
      </c>
      <c r="E197" s="258" t="s">
        <v>1385</v>
      </c>
      <c r="F197" s="259" t="s">
        <v>1386</v>
      </c>
      <c r="G197" s="259" t="s">
        <v>1385</v>
      </c>
      <c r="H197" s="241"/>
    </row>
    <row r="198">
      <c r="A198" s="260">
        <v>176.0</v>
      </c>
      <c r="B198" s="256" t="s">
        <v>1387</v>
      </c>
      <c r="C198" s="257" t="s">
        <v>1389</v>
      </c>
      <c r="D198" s="257" t="s">
        <v>1389</v>
      </c>
      <c r="E198" s="258" t="s">
        <v>1392</v>
      </c>
      <c r="F198" s="259" t="s">
        <v>1394</v>
      </c>
      <c r="G198" s="259" t="s">
        <v>1392</v>
      </c>
      <c r="H198" s="241"/>
    </row>
    <row r="199">
      <c r="A199" s="261"/>
      <c r="B199" s="262"/>
      <c r="C199" s="262"/>
      <c r="D199" s="262"/>
      <c r="E199" s="263"/>
      <c r="F199" s="241"/>
      <c r="G199" s="241"/>
      <c r="H199" s="241"/>
    </row>
    <row r="200">
      <c r="A200" s="260">
        <v>177.0</v>
      </c>
      <c r="B200" s="256" t="s">
        <v>1396</v>
      </c>
      <c r="C200" s="257" t="s">
        <v>1397</v>
      </c>
      <c r="D200" s="257" t="s">
        <v>1397</v>
      </c>
      <c r="E200" s="258" t="s">
        <v>1398</v>
      </c>
      <c r="F200" s="259" t="s">
        <v>1399</v>
      </c>
      <c r="G200" s="259" t="s">
        <v>1398</v>
      </c>
      <c r="H200" s="241"/>
    </row>
    <row r="201">
      <c r="A201" s="260">
        <v>178.0</v>
      </c>
      <c r="B201" s="256" t="s">
        <v>1404</v>
      </c>
      <c r="C201" s="257" t="s">
        <v>1406</v>
      </c>
      <c r="D201" s="257" t="s">
        <v>1406</v>
      </c>
      <c r="E201" s="258" t="s">
        <v>1407</v>
      </c>
      <c r="F201" s="259" t="s">
        <v>1408</v>
      </c>
      <c r="G201" s="259" t="s">
        <v>1407</v>
      </c>
      <c r="H201" s="241"/>
    </row>
    <row r="202">
      <c r="A202" s="260">
        <v>179.0</v>
      </c>
      <c r="B202" s="256" t="s">
        <v>1409</v>
      </c>
      <c r="C202" s="257" t="s">
        <v>1410</v>
      </c>
      <c r="D202" s="257" t="s">
        <v>1410</v>
      </c>
      <c r="E202" s="258" t="s">
        <v>1411</v>
      </c>
      <c r="F202" s="259" t="s">
        <v>1412</v>
      </c>
      <c r="G202" s="259" t="s">
        <v>1411</v>
      </c>
      <c r="H202" s="241"/>
    </row>
    <row r="203">
      <c r="A203" s="260">
        <v>180.0</v>
      </c>
      <c r="B203" s="256" t="s">
        <v>1414</v>
      </c>
      <c r="C203" s="257" t="s">
        <v>1416</v>
      </c>
      <c r="D203" s="257" t="s">
        <v>1416</v>
      </c>
      <c r="E203" s="258" t="s">
        <v>1418</v>
      </c>
      <c r="F203" s="259" t="s">
        <v>1419</v>
      </c>
      <c r="G203" s="259" t="s">
        <v>1418</v>
      </c>
      <c r="H203" s="241"/>
    </row>
    <row r="204">
      <c r="A204" s="260">
        <v>181.0</v>
      </c>
      <c r="B204" s="256" t="s">
        <v>1420</v>
      </c>
      <c r="C204" s="257" t="s">
        <v>1421</v>
      </c>
      <c r="D204" s="257" t="s">
        <v>1421</v>
      </c>
      <c r="E204" s="258" t="s">
        <v>1422</v>
      </c>
      <c r="F204" s="259" t="s">
        <v>1423</v>
      </c>
      <c r="G204" s="259" t="s">
        <v>1422</v>
      </c>
      <c r="H204" s="241"/>
    </row>
    <row r="205">
      <c r="A205" s="260">
        <v>182.0</v>
      </c>
      <c r="B205" s="256" t="s">
        <v>1424</v>
      </c>
      <c r="C205" s="257" t="s">
        <v>1425</v>
      </c>
      <c r="D205" s="257" t="s">
        <v>1425</v>
      </c>
      <c r="E205" s="258" t="s">
        <v>1427</v>
      </c>
      <c r="F205" s="259" t="s">
        <v>1429</v>
      </c>
      <c r="G205" s="259" t="s">
        <v>1427</v>
      </c>
      <c r="H205" s="241"/>
    </row>
    <row r="206">
      <c r="A206" s="260">
        <v>183.0</v>
      </c>
      <c r="B206" s="256" t="s">
        <v>1431</v>
      </c>
      <c r="C206" s="257" t="s">
        <v>1432</v>
      </c>
      <c r="D206" s="257" t="s">
        <v>1432</v>
      </c>
      <c r="E206" s="258" t="s">
        <v>1433</v>
      </c>
      <c r="F206" s="259" t="s">
        <v>1434</v>
      </c>
      <c r="G206" s="259" t="s">
        <v>1433</v>
      </c>
      <c r="H206" s="241"/>
    </row>
    <row r="207">
      <c r="A207" s="260">
        <v>184.0</v>
      </c>
      <c r="B207" s="256" t="s">
        <v>1435</v>
      </c>
      <c r="C207" s="257" t="s">
        <v>1436</v>
      </c>
      <c r="D207" s="257" t="s">
        <v>1436</v>
      </c>
      <c r="E207" s="258" t="s">
        <v>1437</v>
      </c>
      <c r="F207" s="259" t="s">
        <v>1438</v>
      </c>
      <c r="G207" s="259" t="s">
        <v>1437</v>
      </c>
      <c r="H207" s="241"/>
    </row>
    <row r="208">
      <c r="A208" s="261"/>
      <c r="B208" s="262"/>
      <c r="C208" s="262"/>
      <c r="D208" s="262"/>
      <c r="E208" s="263"/>
      <c r="F208" s="241"/>
      <c r="G208" s="241"/>
      <c r="H208" s="241"/>
    </row>
    <row r="209">
      <c r="A209" s="260">
        <v>185.0</v>
      </c>
      <c r="B209" s="256" t="s">
        <v>1442</v>
      </c>
      <c r="C209" s="257" t="s">
        <v>1333</v>
      </c>
      <c r="D209" s="257" t="s">
        <v>1333</v>
      </c>
      <c r="E209" s="258" t="s">
        <v>844</v>
      </c>
      <c r="F209" s="259" t="s">
        <v>1443</v>
      </c>
      <c r="G209" s="259" t="s">
        <v>844</v>
      </c>
      <c r="H209" s="241"/>
    </row>
    <row r="210">
      <c r="A210" s="260">
        <v>186.0</v>
      </c>
      <c r="B210" s="256" t="s">
        <v>1444</v>
      </c>
      <c r="C210" s="257" t="s">
        <v>1445</v>
      </c>
      <c r="D210" s="257" t="s">
        <v>1445</v>
      </c>
      <c r="E210" s="258" t="s">
        <v>1446</v>
      </c>
      <c r="F210" s="259" t="s">
        <v>1447</v>
      </c>
      <c r="G210" s="259" t="s">
        <v>1446</v>
      </c>
      <c r="H210" s="241"/>
    </row>
    <row r="211">
      <c r="A211" s="260">
        <v>187.0</v>
      </c>
      <c r="B211" s="256" t="s">
        <v>1448</v>
      </c>
      <c r="C211" s="257" t="s">
        <v>1449</v>
      </c>
      <c r="D211" s="257" t="s">
        <v>1449</v>
      </c>
      <c r="E211" s="258" t="s">
        <v>990</v>
      </c>
      <c r="F211" s="259" t="s">
        <v>1453</v>
      </c>
      <c r="G211" s="259" t="s">
        <v>990</v>
      </c>
      <c r="H211" s="241"/>
    </row>
    <row r="212">
      <c r="A212" s="260">
        <v>188.0</v>
      </c>
      <c r="B212" s="256" t="s">
        <v>1454</v>
      </c>
      <c r="C212" s="257" t="s">
        <v>1455</v>
      </c>
      <c r="D212" s="257" t="s">
        <v>1455</v>
      </c>
      <c r="E212" s="258" t="s">
        <v>1456</v>
      </c>
      <c r="F212" s="259" t="s">
        <v>1457</v>
      </c>
      <c r="G212" s="259" t="s">
        <v>1456</v>
      </c>
      <c r="H212" s="241"/>
    </row>
    <row r="213">
      <c r="A213" s="260">
        <v>189.0</v>
      </c>
      <c r="B213" s="256" t="s">
        <v>1458</v>
      </c>
      <c r="C213" s="257" t="s">
        <v>1460</v>
      </c>
      <c r="D213" s="257" t="s">
        <v>1460</v>
      </c>
      <c r="E213" s="258" t="s">
        <v>1463</v>
      </c>
      <c r="F213" s="259" t="s">
        <v>1465</v>
      </c>
      <c r="G213" s="259" t="s">
        <v>1463</v>
      </c>
      <c r="H213" s="241"/>
    </row>
    <row r="214">
      <c r="A214" s="260">
        <v>190.0</v>
      </c>
      <c r="B214" s="256" t="s">
        <v>1466</v>
      </c>
      <c r="C214" s="257" t="s">
        <v>1467</v>
      </c>
      <c r="D214" s="257" t="s">
        <v>1467</v>
      </c>
      <c r="E214" s="258" t="s">
        <v>1468</v>
      </c>
      <c r="F214" s="259" t="s">
        <v>1469</v>
      </c>
      <c r="G214" s="259" t="s">
        <v>1468</v>
      </c>
      <c r="H214" s="241"/>
    </row>
    <row r="215">
      <c r="A215" s="260">
        <v>191.0</v>
      </c>
      <c r="B215" s="256" t="s">
        <v>1470</v>
      </c>
      <c r="C215" s="257" t="s">
        <v>1471</v>
      </c>
      <c r="D215" s="257" t="s">
        <v>1471</v>
      </c>
      <c r="E215" s="258" t="s">
        <v>1473</v>
      </c>
      <c r="F215" s="259" t="s">
        <v>1474</v>
      </c>
      <c r="G215" s="259" t="s">
        <v>1473</v>
      </c>
      <c r="H215" s="241"/>
    </row>
    <row r="216">
      <c r="A216" s="260">
        <v>192.0</v>
      </c>
      <c r="B216" s="256" t="s">
        <v>1477</v>
      </c>
      <c r="C216" s="257" t="s">
        <v>1478</v>
      </c>
      <c r="D216" s="257" t="s">
        <v>1478</v>
      </c>
      <c r="E216" s="258" t="s">
        <v>1479</v>
      </c>
      <c r="F216" s="259" t="s">
        <v>1480</v>
      </c>
      <c r="G216" s="259" t="s">
        <v>1479</v>
      </c>
      <c r="H216" s="241"/>
    </row>
    <row r="217">
      <c r="A217" s="261"/>
      <c r="B217" s="262"/>
      <c r="C217" s="262"/>
      <c r="D217" s="241"/>
      <c r="E217" s="263"/>
      <c r="F217" s="241"/>
      <c r="G217" s="241"/>
      <c r="H217" s="241"/>
    </row>
    <row r="218">
      <c r="A218" s="255">
        <v>193.0</v>
      </c>
      <c r="B218" s="274" t="s">
        <v>1484</v>
      </c>
      <c r="C218" s="274" t="s">
        <v>1485</v>
      </c>
      <c r="D218" s="275" t="s">
        <v>1485</v>
      </c>
      <c r="E218" s="258" t="s">
        <v>1486</v>
      </c>
      <c r="F218" s="259" t="s">
        <v>1487</v>
      </c>
      <c r="G218" s="259" t="s">
        <v>1486</v>
      </c>
      <c r="H218" s="241"/>
    </row>
    <row r="219">
      <c r="A219" s="255">
        <v>194.0</v>
      </c>
      <c r="B219" s="274" t="s">
        <v>1489</v>
      </c>
      <c r="C219" s="274" t="s">
        <v>1490</v>
      </c>
      <c r="D219" s="275" t="s">
        <v>1490</v>
      </c>
      <c r="E219" s="258" t="s">
        <v>1493</v>
      </c>
      <c r="F219" s="259" t="s">
        <v>1494</v>
      </c>
      <c r="G219" s="259" t="s">
        <v>1493</v>
      </c>
      <c r="H219" s="241"/>
    </row>
    <row r="220">
      <c r="A220" s="255">
        <v>195.0</v>
      </c>
      <c r="B220" s="274" t="s">
        <v>1495</v>
      </c>
      <c r="C220" s="274" t="s">
        <v>1496</v>
      </c>
      <c r="D220" s="275" t="s">
        <v>1496</v>
      </c>
      <c r="E220" s="258" t="s">
        <v>1497</v>
      </c>
      <c r="F220" s="259" t="s">
        <v>1498</v>
      </c>
      <c r="G220" s="259" t="s">
        <v>1497</v>
      </c>
      <c r="H220" s="241"/>
    </row>
    <row r="221">
      <c r="A221" s="255">
        <v>196.0</v>
      </c>
      <c r="B221" s="274" t="s">
        <v>1501</v>
      </c>
      <c r="C221" s="274" t="s">
        <v>1502</v>
      </c>
      <c r="D221" s="275" t="s">
        <v>1502</v>
      </c>
      <c r="E221" s="258" t="s">
        <v>1503</v>
      </c>
      <c r="F221" s="259" t="s">
        <v>1504</v>
      </c>
      <c r="G221" s="259" t="s">
        <v>1503</v>
      </c>
      <c r="H221" s="241"/>
    </row>
    <row r="222">
      <c r="A222" s="255">
        <v>197.0</v>
      </c>
      <c r="B222" s="274" t="s">
        <v>1505</v>
      </c>
      <c r="C222" s="274" t="s">
        <v>1506</v>
      </c>
      <c r="D222" s="275" t="s">
        <v>1506</v>
      </c>
      <c r="E222" s="258" t="s">
        <v>1507</v>
      </c>
      <c r="F222" s="259" t="s">
        <v>1508</v>
      </c>
      <c r="G222" s="259" t="s">
        <v>1507</v>
      </c>
      <c r="H222" s="241"/>
    </row>
    <row r="223">
      <c r="A223" s="260">
        <v>198.0</v>
      </c>
      <c r="B223" s="275" t="s">
        <v>1511</v>
      </c>
      <c r="C223" s="275" t="s">
        <v>1512</v>
      </c>
      <c r="D223" s="275" t="s">
        <v>1512</v>
      </c>
      <c r="E223" s="276" t="s">
        <v>1513</v>
      </c>
      <c r="F223" s="259" t="s">
        <v>1514</v>
      </c>
      <c r="G223" s="259" t="s">
        <v>1513</v>
      </c>
      <c r="H223" s="241"/>
    </row>
    <row r="224">
      <c r="A224" s="260">
        <v>199.0</v>
      </c>
      <c r="B224" s="275" t="s">
        <v>1515</v>
      </c>
      <c r="C224" s="275" t="s">
        <v>1518</v>
      </c>
      <c r="D224" s="275" t="s">
        <v>1518</v>
      </c>
      <c r="E224" s="276" t="s">
        <v>1521</v>
      </c>
      <c r="F224" s="259" t="s">
        <v>1522</v>
      </c>
      <c r="G224" s="259" t="s">
        <v>1521</v>
      </c>
      <c r="H224" s="241"/>
    </row>
    <row r="225">
      <c r="A225" s="260">
        <v>200.0</v>
      </c>
      <c r="B225" s="275" t="s">
        <v>1523</v>
      </c>
      <c r="C225" s="275" t="s">
        <v>1366</v>
      </c>
      <c r="D225" s="275" t="s">
        <v>1366</v>
      </c>
      <c r="E225" s="276" t="s">
        <v>872</v>
      </c>
      <c r="F225" s="259" t="s">
        <v>1524</v>
      </c>
      <c r="G225" s="259" t="s">
        <v>872</v>
      </c>
      <c r="H225" s="241"/>
    </row>
    <row r="226">
      <c r="A226" s="261"/>
      <c r="B226" s="262"/>
      <c r="C226" s="262"/>
      <c r="D226" s="241"/>
      <c r="E226" s="263"/>
      <c r="F226" s="241"/>
      <c r="G226" s="241"/>
      <c r="H226" s="241"/>
    </row>
    <row r="227">
      <c r="A227" s="260">
        <v>201.0</v>
      </c>
      <c r="B227" s="275" t="s">
        <v>1529</v>
      </c>
      <c r="C227" s="275" t="s">
        <v>1530</v>
      </c>
      <c r="D227" s="275" t="s">
        <v>1530</v>
      </c>
      <c r="E227" s="276" t="s">
        <v>1531</v>
      </c>
      <c r="F227" s="259" t="s">
        <v>1532</v>
      </c>
      <c r="G227" s="259" t="s">
        <v>1531</v>
      </c>
      <c r="H227" s="241"/>
    </row>
    <row r="228">
      <c r="A228" s="260">
        <v>202.0</v>
      </c>
      <c r="B228" s="275" t="s">
        <v>1533</v>
      </c>
      <c r="C228" s="275" t="s">
        <v>1018</v>
      </c>
      <c r="D228" s="275" t="s">
        <v>1018</v>
      </c>
      <c r="E228" s="276" t="s">
        <v>1537</v>
      </c>
      <c r="F228" s="259" t="s">
        <v>1538</v>
      </c>
      <c r="G228" s="259" t="s">
        <v>1537</v>
      </c>
      <c r="H228" s="241"/>
    </row>
    <row r="229">
      <c r="A229" s="260">
        <v>203.0</v>
      </c>
      <c r="B229" s="275" t="s">
        <v>1539</v>
      </c>
      <c r="C229" s="275" t="s">
        <v>1540</v>
      </c>
      <c r="D229" s="275" t="s">
        <v>1540</v>
      </c>
      <c r="E229" s="276" t="s">
        <v>1541</v>
      </c>
      <c r="F229" s="259" t="s">
        <v>1542</v>
      </c>
      <c r="G229" s="259" t="s">
        <v>1541</v>
      </c>
      <c r="H229" s="241"/>
    </row>
    <row r="230">
      <c r="A230" s="260">
        <v>204.0</v>
      </c>
      <c r="B230" s="275" t="s">
        <v>1547</v>
      </c>
      <c r="C230" s="275" t="s">
        <v>1548</v>
      </c>
      <c r="D230" s="275" t="s">
        <v>1548</v>
      </c>
      <c r="E230" s="276" t="s">
        <v>1549</v>
      </c>
      <c r="F230" s="259" t="s">
        <v>1550</v>
      </c>
      <c r="G230" s="259" t="s">
        <v>1549</v>
      </c>
      <c r="H230" s="241"/>
    </row>
    <row r="231">
      <c r="A231" s="260">
        <v>205.0</v>
      </c>
      <c r="B231" s="275" t="s">
        <v>1551</v>
      </c>
      <c r="C231" s="275" t="s">
        <v>1552</v>
      </c>
      <c r="D231" s="275" t="s">
        <v>1552</v>
      </c>
      <c r="E231" s="276" t="s">
        <v>1553</v>
      </c>
      <c r="F231" s="259" t="s">
        <v>1554</v>
      </c>
      <c r="G231" s="259" t="s">
        <v>1553</v>
      </c>
      <c r="H231" s="241"/>
    </row>
    <row r="232">
      <c r="A232" s="260">
        <v>206.0</v>
      </c>
      <c r="B232" s="275" t="s">
        <v>1556</v>
      </c>
      <c r="C232" s="275" t="s">
        <v>1214</v>
      </c>
      <c r="D232" s="275" t="s">
        <v>1214</v>
      </c>
      <c r="E232" s="276" t="s">
        <v>742</v>
      </c>
      <c r="F232" s="259" t="s">
        <v>1559</v>
      </c>
      <c r="G232" s="259" t="s">
        <v>742</v>
      </c>
      <c r="H232" s="241"/>
    </row>
    <row r="233">
      <c r="A233" s="260">
        <v>207.0</v>
      </c>
      <c r="B233" s="275" t="s">
        <v>1560</v>
      </c>
      <c r="C233" s="275" t="s">
        <v>1561</v>
      </c>
      <c r="D233" s="275" t="s">
        <v>1561</v>
      </c>
      <c r="E233" s="276" t="s">
        <v>1562</v>
      </c>
      <c r="F233" s="259" t="s">
        <v>1563</v>
      </c>
      <c r="G233" s="259" t="s">
        <v>1562</v>
      </c>
      <c r="H233" s="241"/>
    </row>
    <row r="234">
      <c r="A234" s="260">
        <v>208.0</v>
      </c>
      <c r="B234" s="275" t="s">
        <v>1565</v>
      </c>
      <c r="C234" s="275" t="s">
        <v>1073</v>
      </c>
      <c r="D234" s="275" t="s">
        <v>1073</v>
      </c>
      <c r="E234" s="276" t="s">
        <v>1568</v>
      </c>
      <c r="F234" s="259" t="s">
        <v>1569</v>
      </c>
      <c r="G234" s="259" t="s">
        <v>1568</v>
      </c>
      <c r="H234" s="241"/>
    </row>
    <row r="235">
      <c r="A235" s="261"/>
      <c r="B235" s="262"/>
      <c r="C235" s="262"/>
      <c r="D235" s="241"/>
      <c r="E235" s="263"/>
      <c r="F235" s="241"/>
      <c r="G235" s="241"/>
      <c r="H235" s="241"/>
    </row>
    <row r="236">
      <c r="A236" s="255">
        <v>209.0</v>
      </c>
      <c r="B236" s="274" t="s">
        <v>1570</v>
      </c>
      <c r="C236" s="274" t="s">
        <v>1571</v>
      </c>
      <c r="D236" s="275" t="s">
        <v>1571</v>
      </c>
      <c r="E236" s="258" t="s">
        <v>1573</v>
      </c>
      <c r="F236" s="277" t="s">
        <v>1575</v>
      </c>
      <c r="G236" s="277" t="s">
        <v>1573</v>
      </c>
      <c r="H236" s="241"/>
    </row>
    <row r="237">
      <c r="A237" s="255">
        <v>210.0</v>
      </c>
      <c r="B237" s="274" t="s">
        <v>1578</v>
      </c>
      <c r="C237" s="274" t="s">
        <v>1324</v>
      </c>
      <c r="D237" s="275" t="s">
        <v>1324</v>
      </c>
      <c r="E237" s="258" t="s">
        <v>834</v>
      </c>
      <c r="F237" s="277" t="s">
        <v>1579</v>
      </c>
      <c r="G237" s="277" t="s">
        <v>834</v>
      </c>
      <c r="H237" s="241"/>
    </row>
    <row r="238">
      <c r="A238" s="255">
        <v>211.0</v>
      </c>
      <c r="B238" s="274" t="s">
        <v>1580</v>
      </c>
      <c r="C238" s="274" t="s">
        <v>1581</v>
      </c>
      <c r="D238" s="275" t="s">
        <v>1581</v>
      </c>
      <c r="E238" s="258" t="s">
        <v>1583</v>
      </c>
      <c r="F238" s="277" t="s">
        <v>1584</v>
      </c>
      <c r="G238" s="277" t="s">
        <v>1583</v>
      </c>
      <c r="H238" s="241"/>
    </row>
    <row r="239">
      <c r="A239" s="255">
        <v>212.0</v>
      </c>
      <c r="B239" s="274" t="s">
        <v>1586</v>
      </c>
      <c r="C239" s="274" t="s">
        <v>1587</v>
      </c>
      <c r="D239" s="275" t="s">
        <v>1587</v>
      </c>
      <c r="E239" s="258" t="s">
        <v>1588</v>
      </c>
      <c r="F239" s="277" t="s">
        <v>1589</v>
      </c>
      <c r="G239" s="277" t="s">
        <v>1588</v>
      </c>
      <c r="H239" s="241"/>
    </row>
    <row r="240">
      <c r="A240" s="255">
        <v>213.0</v>
      </c>
      <c r="B240" s="274" t="s">
        <v>1590</v>
      </c>
      <c r="C240" s="274" t="s">
        <v>1591</v>
      </c>
      <c r="D240" s="275" t="s">
        <v>1591</v>
      </c>
      <c r="E240" s="258" t="s">
        <v>909</v>
      </c>
      <c r="F240" s="277" t="s">
        <v>908</v>
      </c>
      <c r="G240" s="277" t="s">
        <v>909</v>
      </c>
      <c r="H240" s="241"/>
    </row>
    <row r="241">
      <c r="A241" s="255">
        <v>214.0</v>
      </c>
      <c r="B241" s="274" t="s">
        <v>1593</v>
      </c>
      <c r="C241" s="274" t="s">
        <v>1595</v>
      </c>
      <c r="D241" s="275" t="s">
        <v>1595</v>
      </c>
      <c r="E241" s="258" t="s">
        <v>1596</v>
      </c>
      <c r="F241" s="277" t="s">
        <v>1597</v>
      </c>
      <c r="G241" s="277" t="s">
        <v>1596</v>
      </c>
      <c r="H241" s="241"/>
    </row>
    <row r="242">
      <c r="A242" s="255">
        <v>215.0</v>
      </c>
      <c r="B242" s="274" t="s">
        <v>1598</v>
      </c>
      <c r="C242" s="274" t="s">
        <v>1599</v>
      </c>
      <c r="D242" s="275" t="s">
        <v>1599</v>
      </c>
      <c r="E242" s="258" t="s">
        <v>1600</v>
      </c>
      <c r="F242" s="277" t="s">
        <v>1601</v>
      </c>
      <c r="G242" s="277" t="s">
        <v>1600</v>
      </c>
      <c r="H242" s="241"/>
    </row>
    <row r="243">
      <c r="A243" s="255">
        <v>216.0</v>
      </c>
      <c r="B243" s="274" t="s">
        <v>1604</v>
      </c>
      <c r="C243" s="274" t="s">
        <v>952</v>
      </c>
      <c r="D243" s="275" t="s">
        <v>952</v>
      </c>
      <c r="E243" s="258" t="s">
        <v>1476</v>
      </c>
      <c r="F243" s="277" t="s">
        <v>1607</v>
      </c>
      <c r="G243" s="277" t="s">
        <v>1476</v>
      </c>
      <c r="H243" s="241"/>
    </row>
    <row r="244">
      <c r="A244" s="261"/>
      <c r="B244" s="262"/>
      <c r="C244" s="262"/>
      <c r="D244" s="241"/>
      <c r="E244" s="263"/>
      <c r="F244" s="278"/>
      <c r="G244" s="278"/>
      <c r="H244" s="241"/>
    </row>
    <row r="245">
      <c r="A245" s="255">
        <v>217.0</v>
      </c>
      <c r="B245" s="274" t="s">
        <v>1608</v>
      </c>
      <c r="C245" s="274" t="s">
        <v>1610</v>
      </c>
      <c r="D245" s="275" t="s">
        <v>1610</v>
      </c>
      <c r="E245" s="258" t="s">
        <v>1613</v>
      </c>
      <c r="F245" s="277" t="s">
        <v>1615</v>
      </c>
      <c r="G245" s="277" t="s">
        <v>1613</v>
      </c>
      <c r="H245" s="241"/>
    </row>
    <row r="246">
      <c r="A246" s="255">
        <v>218.0</v>
      </c>
      <c r="B246" s="274" t="s">
        <v>1616</v>
      </c>
      <c r="C246" s="274" t="s">
        <v>1617</v>
      </c>
      <c r="D246" s="275" t="s">
        <v>1617</v>
      </c>
      <c r="E246" s="258" t="s">
        <v>1140</v>
      </c>
      <c r="F246" s="277" t="s">
        <v>1618</v>
      </c>
      <c r="G246" s="277" t="s">
        <v>1140</v>
      </c>
      <c r="H246" s="241"/>
    </row>
    <row r="247">
      <c r="A247" s="255">
        <v>219.0</v>
      </c>
      <c r="B247" s="274" t="s">
        <v>1619</v>
      </c>
      <c r="C247" s="274" t="s">
        <v>1621</v>
      </c>
      <c r="D247" s="275" t="s">
        <v>1621</v>
      </c>
      <c r="E247" s="258" t="s">
        <v>1624</v>
      </c>
      <c r="F247" s="277" t="s">
        <v>1625</v>
      </c>
      <c r="G247" s="277" t="s">
        <v>1624</v>
      </c>
      <c r="H247" s="241"/>
    </row>
    <row r="248">
      <c r="A248" s="255">
        <v>220.0</v>
      </c>
      <c r="B248" s="274" t="s">
        <v>1626</v>
      </c>
      <c r="C248" s="274" t="s">
        <v>1627</v>
      </c>
      <c r="D248" s="275" t="s">
        <v>1627</v>
      </c>
      <c r="E248" s="258" t="s">
        <v>1628</v>
      </c>
      <c r="F248" s="277" t="s">
        <v>1629</v>
      </c>
      <c r="G248" s="277" t="s">
        <v>1628</v>
      </c>
      <c r="H248" s="241"/>
    </row>
    <row r="249">
      <c r="A249" s="255">
        <v>221.0</v>
      </c>
      <c r="B249" s="274" t="s">
        <v>1630</v>
      </c>
      <c r="C249" s="274" t="s">
        <v>1631</v>
      </c>
      <c r="D249" s="275" t="s">
        <v>1631</v>
      </c>
      <c r="E249" s="258" t="s">
        <v>1632</v>
      </c>
      <c r="F249" s="277" t="s">
        <v>1633</v>
      </c>
      <c r="G249" s="277" t="s">
        <v>1632</v>
      </c>
      <c r="H249" s="241"/>
    </row>
    <row r="250">
      <c r="A250" s="255">
        <v>222.0</v>
      </c>
      <c r="B250" s="274" t="s">
        <v>1637</v>
      </c>
      <c r="C250" s="274" t="s">
        <v>1374</v>
      </c>
      <c r="D250" s="275" t="s">
        <v>1374</v>
      </c>
      <c r="E250" s="258" t="s">
        <v>1638</v>
      </c>
      <c r="F250" s="277" t="s">
        <v>1372</v>
      </c>
      <c r="G250" s="277" t="s">
        <v>1638</v>
      </c>
      <c r="H250" s="241"/>
    </row>
    <row r="251">
      <c r="A251" s="255">
        <v>223.0</v>
      </c>
      <c r="B251" s="274" t="s">
        <v>1639</v>
      </c>
      <c r="C251" s="274" t="s">
        <v>1640</v>
      </c>
      <c r="D251" s="275" t="s">
        <v>1640</v>
      </c>
      <c r="E251" s="258" t="s">
        <v>1641</v>
      </c>
      <c r="F251" s="277" t="s">
        <v>1642</v>
      </c>
      <c r="G251" s="277" t="s">
        <v>1641</v>
      </c>
      <c r="H251" s="241"/>
    </row>
    <row r="252">
      <c r="A252" s="255">
        <v>224.0</v>
      </c>
      <c r="B252" s="274" t="s">
        <v>1644</v>
      </c>
      <c r="C252" s="274" t="s">
        <v>1646</v>
      </c>
      <c r="D252" s="275" t="s">
        <v>1646</v>
      </c>
      <c r="E252" s="258" t="s">
        <v>1647</v>
      </c>
      <c r="F252" s="277" t="s">
        <v>1648</v>
      </c>
      <c r="G252" s="277" t="s">
        <v>1647</v>
      </c>
      <c r="H252" s="241"/>
    </row>
    <row r="253">
      <c r="A253" s="261"/>
      <c r="B253" s="262"/>
      <c r="C253" s="262"/>
      <c r="D253" s="241"/>
      <c r="E253" s="263"/>
      <c r="F253" s="278"/>
      <c r="G253" s="278"/>
      <c r="H253" s="241"/>
    </row>
    <row r="254">
      <c r="A254" s="255">
        <v>225.0</v>
      </c>
      <c r="B254" s="274" t="s">
        <v>1649</v>
      </c>
      <c r="C254" s="274" t="s">
        <v>1650</v>
      </c>
      <c r="D254" s="275" t="s">
        <v>1650</v>
      </c>
      <c r="E254" s="258" t="s">
        <v>1653</v>
      </c>
      <c r="F254" s="277" t="s">
        <v>1655</v>
      </c>
      <c r="G254" s="277" t="s">
        <v>1653</v>
      </c>
      <c r="H254" s="241"/>
    </row>
    <row r="255">
      <c r="A255" s="255">
        <v>226.0</v>
      </c>
      <c r="B255" s="274" t="s">
        <v>1657</v>
      </c>
      <c r="C255" s="274" t="s">
        <v>1658</v>
      </c>
      <c r="D255" s="275" t="s">
        <v>1658</v>
      </c>
      <c r="E255" s="258" t="s">
        <v>1659</v>
      </c>
      <c r="F255" s="277" t="s">
        <v>1660</v>
      </c>
      <c r="G255" s="277" t="s">
        <v>1659</v>
      </c>
      <c r="H255" s="241"/>
    </row>
    <row r="256">
      <c r="A256" s="255">
        <v>227.0</v>
      </c>
      <c r="B256" s="274" t="s">
        <v>1661</v>
      </c>
      <c r="C256" s="274" t="s">
        <v>1662</v>
      </c>
      <c r="D256" s="275" t="s">
        <v>1662</v>
      </c>
      <c r="E256" s="258" t="s">
        <v>1663</v>
      </c>
      <c r="F256" s="277" t="s">
        <v>1665</v>
      </c>
      <c r="G256" s="277" t="s">
        <v>1663</v>
      </c>
      <c r="H256" s="241"/>
    </row>
    <row r="257">
      <c r="A257" s="255">
        <v>228.0</v>
      </c>
      <c r="B257" s="274" t="s">
        <v>1669</v>
      </c>
      <c r="C257" s="274" t="s">
        <v>1670</v>
      </c>
      <c r="D257" s="275" t="s">
        <v>1670</v>
      </c>
      <c r="E257" s="258" t="s">
        <v>1671</v>
      </c>
      <c r="F257" s="277" t="s">
        <v>1672</v>
      </c>
      <c r="G257" s="277" t="s">
        <v>1671</v>
      </c>
      <c r="H257" s="241"/>
    </row>
    <row r="258">
      <c r="A258" s="255">
        <v>229.0</v>
      </c>
      <c r="B258" s="274" t="s">
        <v>1673</v>
      </c>
      <c r="C258" s="274" t="s">
        <v>1674</v>
      </c>
      <c r="D258" s="275" t="s">
        <v>1674</v>
      </c>
      <c r="E258" s="258" t="s">
        <v>1675</v>
      </c>
      <c r="F258" s="277" t="s">
        <v>1676</v>
      </c>
      <c r="G258" s="277" t="s">
        <v>1675</v>
      </c>
      <c r="H258" s="241"/>
    </row>
    <row r="259">
      <c r="A259" s="255">
        <v>230.0</v>
      </c>
      <c r="B259" s="274" t="s">
        <v>1679</v>
      </c>
      <c r="C259" s="274" t="s">
        <v>1402</v>
      </c>
      <c r="D259" s="275" t="s">
        <v>1402</v>
      </c>
      <c r="E259" s="258" t="s">
        <v>898</v>
      </c>
      <c r="F259" s="277" t="s">
        <v>1680</v>
      </c>
      <c r="G259" s="277" t="s">
        <v>898</v>
      </c>
      <c r="H259" s="241"/>
    </row>
    <row r="260">
      <c r="A260" s="255">
        <v>231.0</v>
      </c>
      <c r="B260" s="274" t="s">
        <v>1681</v>
      </c>
      <c r="C260" s="274" t="s">
        <v>1682</v>
      </c>
      <c r="D260" s="275" t="s">
        <v>1682</v>
      </c>
      <c r="E260" s="258" t="s">
        <v>1684</v>
      </c>
      <c r="F260" s="277" t="s">
        <v>1686</v>
      </c>
      <c r="G260" s="277" t="s">
        <v>1684</v>
      </c>
      <c r="H260" s="241"/>
    </row>
    <row r="261">
      <c r="A261" s="255">
        <v>232.0</v>
      </c>
      <c r="B261" s="274" t="s">
        <v>1688</v>
      </c>
      <c r="C261" s="274" t="s">
        <v>1689</v>
      </c>
      <c r="D261" s="275" t="s">
        <v>1689</v>
      </c>
      <c r="E261" s="258" t="s">
        <v>1690</v>
      </c>
      <c r="F261" s="277" t="s">
        <v>1691</v>
      </c>
      <c r="G261" s="277" t="s">
        <v>1690</v>
      </c>
      <c r="H261" s="241"/>
    </row>
    <row r="262">
      <c r="A262" s="261"/>
      <c r="B262" s="262"/>
      <c r="C262" s="262"/>
      <c r="D262" s="241"/>
      <c r="E262" s="263"/>
      <c r="F262" s="278"/>
      <c r="G262" s="278"/>
      <c r="H262" s="241"/>
    </row>
    <row r="263">
      <c r="A263" s="255">
        <v>233.0</v>
      </c>
      <c r="B263" s="274" t="s">
        <v>1695</v>
      </c>
      <c r="C263" s="274" t="s">
        <v>1696</v>
      </c>
      <c r="D263" s="275" t="s">
        <v>1696</v>
      </c>
      <c r="E263" s="258" t="s">
        <v>1697</v>
      </c>
      <c r="F263" s="277" t="s">
        <v>1698</v>
      </c>
      <c r="G263" s="277" t="s">
        <v>1697</v>
      </c>
      <c r="H263" s="241"/>
    </row>
    <row r="264">
      <c r="A264" s="255">
        <v>234.0</v>
      </c>
      <c r="B264" s="274" t="s">
        <v>1699</v>
      </c>
      <c r="C264" s="274" t="s">
        <v>1700</v>
      </c>
      <c r="D264" s="275" t="s">
        <v>1700</v>
      </c>
      <c r="E264" s="258" t="s">
        <v>1701</v>
      </c>
      <c r="F264" s="277" t="s">
        <v>1702</v>
      </c>
      <c r="G264" s="277" t="s">
        <v>1701</v>
      </c>
      <c r="H264" s="241"/>
    </row>
    <row r="265">
      <c r="A265" s="255">
        <v>235.0</v>
      </c>
      <c r="B265" s="274" t="s">
        <v>1705</v>
      </c>
      <c r="C265" s="274" t="s">
        <v>1707</v>
      </c>
      <c r="D265" s="275" t="s">
        <v>1707</v>
      </c>
      <c r="E265" s="258" t="s">
        <v>1709</v>
      </c>
      <c r="F265" s="277" t="s">
        <v>1710</v>
      </c>
      <c r="G265" s="277" t="s">
        <v>1709</v>
      </c>
      <c r="H265" s="241"/>
    </row>
    <row r="266">
      <c r="A266" s="255">
        <v>236.0</v>
      </c>
      <c r="B266" s="274" t="s">
        <v>1711</v>
      </c>
      <c r="C266" s="274" t="s">
        <v>1712</v>
      </c>
      <c r="D266" s="275" t="s">
        <v>1712</v>
      </c>
      <c r="E266" s="258" t="s">
        <v>1713</v>
      </c>
      <c r="F266" s="277" t="s">
        <v>1714</v>
      </c>
      <c r="G266" s="277" t="s">
        <v>1713</v>
      </c>
      <c r="H266" s="241"/>
    </row>
    <row r="267">
      <c r="A267" s="255">
        <v>237.0</v>
      </c>
      <c r="B267" s="274" t="s">
        <v>1717</v>
      </c>
      <c r="C267" s="274" t="s">
        <v>1719</v>
      </c>
      <c r="D267" s="275" t="s">
        <v>1719</v>
      </c>
      <c r="E267" s="258" t="s">
        <v>1721</v>
      </c>
      <c r="F267" s="277" t="s">
        <v>1722</v>
      </c>
      <c r="G267" s="277" t="s">
        <v>1721</v>
      </c>
      <c r="H267" s="241"/>
    </row>
    <row r="268">
      <c r="A268" s="255">
        <v>238.0</v>
      </c>
      <c r="B268" s="274" t="s">
        <v>1723</v>
      </c>
      <c r="C268" s="274" t="s">
        <v>1724</v>
      </c>
      <c r="D268" s="275" t="s">
        <v>1724</v>
      </c>
      <c r="E268" s="258" t="s">
        <v>1725</v>
      </c>
      <c r="F268" s="277" t="s">
        <v>1726</v>
      </c>
      <c r="G268" s="277" t="s">
        <v>1725</v>
      </c>
      <c r="H268" s="241"/>
    </row>
    <row r="269">
      <c r="A269" s="255">
        <v>239.0</v>
      </c>
      <c r="B269" s="274" t="s">
        <v>1729</v>
      </c>
      <c r="C269" s="274" t="s">
        <v>1731</v>
      </c>
      <c r="D269" s="275" t="s">
        <v>1731</v>
      </c>
      <c r="E269" s="258" t="s">
        <v>1733</v>
      </c>
      <c r="F269" s="277" t="s">
        <v>1734</v>
      </c>
      <c r="G269" s="277" t="s">
        <v>1733</v>
      </c>
      <c r="H269" s="241"/>
    </row>
    <row r="270">
      <c r="A270" s="255">
        <v>240.0</v>
      </c>
      <c r="B270" s="274" t="s">
        <v>1735</v>
      </c>
      <c r="C270" s="274" t="s">
        <v>1611</v>
      </c>
      <c r="D270" s="275" t="s">
        <v>1611</v>
      </c>
      <c r="E270" s="258" t="s">
        <v>1101</v>
      </c>
      <c r="F270" s="277" t="s">
        <v>1736</v>
      </c>
      <c r="G270" s="277" t="s">
        <v>1101</v>
      </c>
      <c r="H270" s="241"/>
    </row>
    <row r="271">
      <c r="A271" s="261"/>
      <c r="B271" s="262"/>
      <c r="C271" s="262"/>
      <c r="D271" s="241"/>
      <c r="E271" s="263"/>
      <c r="F271" s="278"/>
      <c r="G271" s="278"/>
      <c r="H271" s="241"/>
    </row>
    <row r="272">
      <c r="A272" s="255">
        <v>241.0</v>
      </c>
      <c r="B272" s="274" t="s">
        <v>1741</v>
      </c>
      <c r="C272" s="274" t="s">
        <v>1742</v>
      </c>
      <c r="D272" s="275" t="s">
        <v>1742</v>
      </c>
      <c r="E272" s="258" t="s">
        <v>1743</v>
      </c>
      <c r="F272" s="277" t="s">
        <v>1744</v>
      </c>
      <c r="G272" s="277" t="s">
        <v>1743</v>
      </c>
      <c r="H272" s="241"/>
    </row>
    <row r="273">
      <c r="A273" s="255">
        <v>242.0</v>
      </c>
      <c r="B273" s="274" t="s">
        <v>1747</v>
      </c>
      <c r="C273" s="274" t="s">
        <v>1162</v>
      </c>
      <c r="D273" s="275" t="s">
        <v>1162</v>
      </c>
      <c r="E273" s="258" t="s">
        <v>1668</v>
      </c>
      <c r="F273" s="277" t="s">
        <v>1750</v>
      </c>
      <c r="G273" s="277" t="s">
        <v>1668</v>
      </c>
      <c r="H273" s="241"/>
    </row>
    <row r="274">
      <c r="A274" s="255">
        <v>243.0</v>
      </c>
      <c r="B274" s="274" t="s">
        <v>1751</v>
      </c>
      <c r="C274" s="274" t="s">
        <v>1752</v>
      </c>
      <c r="D274" s="275" t="s">
        <v>1752</v>
      </c>
      <c r="E274" s="258" t="s">
        <v>1753</v>
      </c>
      <c r="F274" s="277" t="s">
        <v>1754</v>
      </c>
      <c r="G274" s="277" t="s">
        <v>1753</v>
      </c>
      <c r="H274" s="241"/>
    </row>
    <row r="275">
      <c r="A275" s="255">
        <v>244.0</v>
      </c>
      <c r="B275" s="274" t="s">
        <v>1756</v>
      </c>
      <c r="C275" s="274" t="s">
        <v>852</v>
      </c>
      <c r="D275" s="275" t="s">
        <v>852</v>
      </c>
      <c r="E275" s="258" t="s">
        <v>1344</v>
      </c>
      <c r="F275" s="277" t="s">
        <v>1760</v>
      </c>
      <c r="G275" s="277" t="s">
        <v>1344</v>
      </c>
      <c r="H275" s="241"/>
    </row>
    <row r="276">
      <c r="A276" s="255">
        <v>245.0</v>
      </c>
      <c r="B276" s="274" t="s">
        <v>1761</v>
      </c>
      <c r="C276" s="274" t="s">
        <v>1762</v>
      </c>
      <c r="D276" s="275" t="s">
        <v>1762</v>
      </c>
      <c r="E276" s="258" t="s">
        <v>1763</v>
      </c>
      <c r="F276" s="277" t="s">
        <v>1764</v>
      </c>
      <c r="G276" s="277" t="s">
        <v>1763</v>
      </c>
      <c r="H276" s="241"/>
    </row>
    <row r="277">
      <c r="A277" s="255">
        <v>246.0</v>
      </c>
      <c r="B277" s="274" t="s">
        <v>1766</v>
      </c>
      <c r="C277" s="274" t="s">
        <v>876</v>
      </c>
      <c r="D277" s="275" t="s">
        <v>876</v>
      </c>
      <c r="E277" s="258" t="s">
        <v>1382</v>
      </c>
      <c r="F277" s="277" t="s">
        <v>1768</v>
      </c>
      <c r="G277" s="277" t="s">
        <v>1382</v>
      </c>
      <c r="H277" s="241"/>
    </row>
    <row r="278">
      <c r="A278" s="255">
        <v>247.0</v>
      </c>
      <c r="B278" s="274" t="s">
        <v>1769</v>
      </c>
      <c r="C278" s="274" t="s">
        <v>1770</v>
      </c>
      <c r="D278" s="275" t="s">
        <v>1770</v>
      </c>
      <c r="E278" s="258" t="s">
        <v>1771</v>
      </c>
      <c r="F278" s="277" t="s">
        <v>1772</v>
      </c>
      <c r="G278" s="277" t="s">
        <v>1771</v>
      </c>
      <c r="H278" s="241"/>
    </row>
    <row r="279">
      <c r="A279" s="255">
        <v>248.0</v>
      </c>
      <c r="B279" s="274" t="s">
        <v>1775</v>
      </c>
      <c r="C279" s="274" t="s">
        <v>1776</v>
      </c>
      <c r="D279" s="275" t="s">
        <v>1776</v>
      </c>
      <c r="E279" s="258" t="s">
        <v>1777</v>
      </c>
      <c r="F279" s="277" t="s">
        <v>1778</v>
      </c>
      <c r="G279" s="277" t="s">
        <v>1777</v>
      </c>
      <c r="H279" s="241"/>
    </row>
    <row r="280">
      <c r="A280" s="261"/>
      <c r="B280" s="262"/>
      <c r="C280" s="262"/>
      <c r="D280" s="241"/>
      <c r="E280" s="263"/>
      <c r="F280" s="278"/>
      <c r="G280" s="278"/>
      <c r="H280" s="241"/>
    </row>
    <row r="281">
      <c r="A281" s="255">
        <v>249.0</v>
      </c>
      <c r="B281" s="274" t="s">
        <v>1782</v>
      </c>
      <c r="C281" s="274" t="s">
        <v>1783</v>
      </c>
      <c r="D281" s="275" t="s">
        <v>1783</v>
      </c>
      <c r="E281" s="258" t="s">
        <v>1784</v>
      </c>
      <c r="F281" s="277" t="s">
        <v>1785</v>
      </c>
      <c r="G281" s="277" t="s">
        <v>1784</v>
      </c>
      <c r="H281" s="241"/>
    </row>
    <row r="282">
      <c r="A282" s="255">
        <v>250.0</v>
      </c>
      <c r="B282" s="274" t="s">
        <v>1789</v>
      </c>
      <c r="C282" s="274" t="s">
        <v>1790</v>
      </c>
      <c r="D282" s="275" t="s">
        <v>1790</v>
      </c>
      <c r="E282" s="258" t="s">
        <v>1791</v>
      </c>
      <c r="F282" s="277" t="s">
        <v>1792</v>
      </c>
      <c r="G282" s="277" t="s">
        <v>1791</v>
      </c>
      <c r="H282" s="241"/>
    </row>
    <row r="283">
      <c r="A283" s="255">
        <v>251.0</v>
      </c>
      <c r="B283" s="274" t="s">
        <v>1794</v>
      </c>
      <c r="C283" s="274" t="s">
        <v>1797</v>
      </c>
      <c r="D283" s="275" t="s">
        <v>1797</v>
      </c>
      <c r="E283" s="258" t="s">
        <v>806</v>
      </c>
      <c r="F283" s="277" t="s">
        <v>804</v>
      </c>
      <c r="G283" s="277" t="s">
        <v>806</v>
      </c>
      <c r="H283" s="241"/>
    </row>
    <row r="284">
      <c r="A284" s="255">
        <v>252.0</v>
      </c>
      <c r="B284" s="274" t="s">
        <v>1800</v>
      </c>
      <c r="C284" s="274" t="s">
        <v>1804</v>
      </c>
      <c r="D284" s="275" t="s">
        <v>1804</v>
      </c>
      <c r="E284" s="258" t="s">
        <v>1805</v>
      </c>
      <c r="F284" s="277" t="s">
        <v>1806</v>
      </c>
      <c r="G284" s="277" t="s">
        <v>1805</v>
      </c>
      <c r="H284" s="241"/>
    </row>
    <row r="285">
      <c r="A285" s="255">
        <v>253.0</v>
      </c>
      <c r="B285" s="274" t="s">
        <v>1807</v>
      </c>
      <c r="C285" s="274" t="s">
        <v>1809</v>
      </c>
      <c r="D285" s="275" t="s">
        <v>1809</v>
      </c>
      <c r="E285" s="258" t="s">
        <v>1813</v>
      </c>
      <c r="F285" s="277" t="s">
        <v>1814</v>
      </c>
      <c r="G285" s="277" t="s">
        <v>1813</v>
      </c>
      <c r="H285" s="241"/>
    </row>
    <row r="286">
      <c r="A286" s="255">
        <v>254.0</v>
      </c>
      <c r="B286" s="274" t="s">
        <v>1815</v>
      </c>
      <c r="C286" s="274" t="s">
        <v>1816</v>
      </c>
      <c r="D286" s="275" t="s">
        <v>1816</v>
      </c>
      <c r="E286" s="258" t="s">
        <v>1817</v>
      </c>
      <c r="F286" s="277" t="s">
        <v>1818</v>
      </c>
      <c r="G286" s="277" t="s">
        <v>1817</v>
      </c>
      <c r="H286" s="241"/>
    </row>
    <row r="287">
      <c r="A287" s="255">
        <v>255.0</v>
      </c>
      <c r="B287" s="274" t="s">
        <v>1823</v>
      </c>
      <c r="C287" s="274" t="s">
        <v>786</v>
      </c>
      <c r="D287" s="275" t="s">
        <v>786</v>
      </c>
      <c r="E287" s="258" t="s">
        <v>1272</v>
      </c>
      <c r="F287" s="277" t="s">
        <v>1824</v>
      </c>
      <c r="G287" s="277" t="s">
        <v>1272</v>
      </c>
      <c r="H287" s="241"/>
    </row>
    <row r="288">
      <c r="A288" s="255">
        <v>256.0</v>
      </c>
      <c r="B288" s="274" t="s">
        <v>1826</v>
      </c>
      <c r="C288" s="274" t="s">
        <v>1827</v>
      </c>
      <c r="D288" s="275" t="s">
        <v>1827</v>
      </c>
      <c r="E288" s="258" t="s">
        <v>1830</v>
      </c>
      <c r="F288" s="277" t="s">
        <v>1831</v>
      </c>
      <c r="G288" s="277" t="s">
        <v>1830</v>
      </c>
      <c r="H288" s="241"/>
    </row>
    <row r="289">
      <c r="A289" s="261"/>
      <c r="B289" s="262"/>
      <c r="C289" s="262"/>
      <c r="D289" s="241"/>
      <c r="E289" s="263"/>
      <c r="F289" s="278"/>
      <c r="G289" s="278"/>
      <c r="H289" s="241"/>
    </row>
    <row r="290">
      <c r="A290" s="255">
        <v>257.0</v>
      </c>
      <c r="B290" s="274" t="s">
        <v>1833</v>
      </c>
      <c r="C290" s="274" t="s">
        <v>1290</v>
      </c>
      <c r="D290" s="275" t="s">
        <v>1290</v>
      </c>
      <c r="E290" s="258" t="s">
        <v>810</v>
      </c>
      <c r="F290" s="277" t="s">
        <v>1835</v>
      </c>
      <c r="G290" s="277" t="s">
        <v>810</v>
      </c>
      <c r="H290" s="241"/>
    </row>
    <row r="291">
      <c r="A291" s="255">
        <v>258.0</v>
      </c>
      <c r="B291" s="274" t="s">
        <v>1836</v>
      </c>
      <c r="C291" s="274" t="s">
        <v>1837</v>
      </c>
      <c r="D291" s="275" t="s">
        <v>1837</v>
      </c>
      <c r="E291" s="258" t="s">
        <v>1840</v>
      </c>
      <c r="F291" s="277" t="s">
        <v>1843</v>
      </c>
      <c r="G291" s="277" t="s">
        <v>1840</v>
      </c>
      <c r="H291" s="241"/>
    </row>
    <row r="292">
      <c r="A292" s="255">
        <v>259.0</v>
      </c>
      <c r="B292" s="274" t="s">
        <v>1844</v>
      </c>
      <c r="C292" s="274" t="s">
        <v>1845</v>
      </c>
      <c r="D292" s="275" t="s">
        <v>1845</v>
      </c>
      <c r="E292" s="258" t="s">
        <v>1846</v>
      </c>
      <c r="F292" s="277" t="s">
        <v>1847</v>
      </c>
      <c r="G292" s="277" t="s">
        <v>1846</v>
      </c>
      <c r="H292" s="241"/>
    </row>
    <row r="293">
      <c r="A293" s="255">
        <v>260.0</v>
      </c>
      <c r="B293" s="274" t="s">
        <v>1852</v>
      </c>
      <c r="C293" s="274" t="s">
        <v>1853</v>
      </c>
      <c r="D293" s="275" t="s">
        <v>1853</v>
      </c>
      <c r="E293" s="258" t="s">
        <v>1854</v>
      </c>
      <c r="F293" s="277" t="s">
        <v>1855</v>
      </c>
      <c r="G293" s="277" t="s">
        <v>1854</v>
      </c>
      <c r="H293" s="241"/>
    </row>
    <row r="294">
      <c r="A294" s="255">
        <v>261.0</v>
      </c>
      <c r="B294" s="274" t="s">
        <v>1856</v>
      </c>
      <c r="C294" s="274" t="s">
        <v>1858</v>
      </c>
      <c r="D294" s="275" t="s">
        <v>1858</v>
      </c>
      <c r="E294" s="258" t="s">
        <v>1862</v>
      </c>
      <c r="F294" s="277" t="s">
        <v>1863</v>
      </c>
      <c r="G294" s="277" t="s">
        <v>1862</v>
      </c>
      <c r="H294" s="241"/>
    </row>
    <row r="295">
      <c r="A295" s="255">
        <v>262.0</v>
      </c>
      <c r="B295" s="274" t="s">
        <v>1864</v>
      </c>
      <c r="C295" s="274" t="s">
        <v>1865</v>
      </c>
      <c r="D295" s="275" t="s">
        <v>1865</v>
      </c>
      <c r="E295" s="258" t="s">
        <v>1867</v>
      </c>
      <c r="F295" s="277" t="s">
        <v>1869</v>
      </c>
      <c r="G295" s="277" t="s">
        <v>1867</v>
      </c>
      <c r="H295" s="241"/>
    </row>
    <row r="296">
      <c r="A296" s="255">
        <v>263.0</v>
      </c>
      <c r="B296" s="274" t="s">
        <v>1872</v>
      </c>
      <c r="C296" s="274" t="s">
        <v>1099</v>
      </c>
      <c r="D296" s="275" t="s">
        <v>1099</v>
      </c>
      <c r="E296" s="258" t="s">
        <v>1614</v>
      </c>
      <c r="F296" s="277" t="s">
        <v>1873</v>
      </c>
      <c r="G296" s="277" t="s">
        <v>1614</v>
      </c>
      <c r="H296" s="241"/>
    </row>
    <row r="297">
      <c r="A297" s="255">
        <v>264.0</v>
      </c>
      <c r="B297" s="274" t="s">
        <v>1878</v>
      </c>
      <c r="C297" s="274" t="s">
        <v>1879</v>
      </c>
      <c r="D297" s="275" t="s">
        <v>1879</v>
      </c>
      <c r="E297" s="258" t="s">
        <v>1880</v>
      </c>
      <c r="F297" s="277" t="s">
        <v>1881</v>
      </c>
      <c r="G297" s="277" t="s">
        <v>1880</v>
      </c>
      <c r="H297" s="241"/>
    </row>
    <row r="298">
      <c r="A298" s="261"/>
      <c r="B298" s="262"/>
      <c r="C298" s="262"/>
      <c r="D298" s="241"/>
      <c r="E298" s="263"/>
      <c r="F298" s="278"/>
      <c r="G298" s="278"/>
      <c r="H298" s="241"/>
    </row>
    <row r="299">
      <c r="A299" s="255">
        <v>265.0</v>
      </c>
      <c r="B299" s="274" t="s">
        <v>1886</v>
      </c>
      <c r="C299" s="274" t="s">
        <v>1009</v>
      </c>
      <c r="D299" s="275" t="s">
        <v>1009</v>
      </c>
      <c r="E299" s="258" t="s">
        <v>1528</v>
      </c>
      <c r="F299" s="277" t="s">
        <v>1887</v>
      </c>
      <c r="G299" s="277" t="s">
        <v>1528</v>
      </c>
      <c r="H299" s="241"/>
    </row>
    <row r="300">
      <c r="A300" s="255">
        <v>266.0</v>
      </c>
      <c r="B300" s="274" t="s">
        <v>1891</v>
      </c>
      <c r="C300" s="274" t="s">
        <v>1892</v>
      </c>
      <c r="D300" s="275" t="s">
        <v>1892</v>
      </c>
      <c r="E300" s="258" t="s">
        <v>1893</v>
      </c>
      <c r="F300" s="277" t="s">
        <v>1894</v>
      </c>
      <c r="G300" s="277" t="s">
        <v>1893</v>
      </c>
      <c r="H300" s="241"/>
    </row>
    <row r="301">
      <c r="A301" s="255">
        <v>267.0</v>
      </c>
      <c r="B301" s="274" t="s">
        <v>1897</v>
      </c>
      <c r="C301" s="274" t="s">
        <v>1899</v>
      </c>
      <c r="D301" s="275" t="s">
        <v>1899</v>
      </c>
      <c r="E301" s="258" t="s">
        <v>1900</v>
      </c>
      <c r="F301" s="277" t="s">
        <v>1901</v>
      </c>
      <c r="G301" s="277" t="s">
        <v>1900</v>
      </c>
      <c r="H301" s="241"/>
    </row>
    <row r="302">
      <c r="A302" s="255">
        <v>268.0</v>
      </c>
      <c r="B302" s="274" t="s">
        <v>1903</v>
      </c>
      <c r="C302" s="274" t="s">
        <v>1906</v>
      </c>
      <c r="D302" s="275" t="s">
        <v>1906</v>
      </c>
      <c r="E302" s="258" t="s">
        <v>1908</v>
      </c>
      <c r="F302" s="277" t="s">
        <v>1909</v>
      </c>
      <c r="G302" s="277" t="s">
        <v>1908</v>
      </c>
      <c r="H302" s="241"/>
    </row>
    <row r="303">
      <c r="A303" s="255">
        <v>269.0</v>
      </c>
      <c r="B303" s="274" t="s">
        <v>1910</v>
      </c>
      <c r="C303" s="274" t="s">
        <v>1911</v>
      </c>
      <c r="D303" s="275" t="s">
        <v>1911</v>
      </c>
      <c r="E303" s="258" t="s">
        <v>1914</v>
      </c>
      <c r="F303" s="277" t="s">
        <v>1916</v>
      </c>
      <c r="G303" s="277" t="s">
        <v>1914</v>
      </c>
      <c r="H303" s="241"/>
    </row>
    <row r="304">
      <c r="A304" s="255">
        <v>270.0</v>
      </c>
      <c r="B304" s="274" t="s">
        <v>1918</v>
      </c>
      <c r="C304" s="274" t="s">
        <v>1919</v>
      </c>
      <c r="D304" s="275" t="s">
        <v>1919</v>
      </c>
      <c r="E304" s="258" t="s">
        <v>1920</v>
      </c>
      <c r="F304" s="277" t="s">
        <v>1921</v>
      </c>
      <c r="G304" s="277" t="s">
        <v>1920</v>
      </c>
      <c r="H304" s="241"/>
    </row>
    <row r="305">
      <c r="A305" s="255">
        <v>271.0</v>
      </c>
      <c r="B305" s="274" t="s">
        <v>1925</v>
      </c>
      <c r="C305" s="274" t="s">
        <v>1926</v>
      </c>
      <c r="D305" s="275" t="s">
        <v>1926</v>
      </c>
      <c r="E305" s="258" t="s">
        <v>1927</v>
      </c>
      <c r="F305" s="277" t="s">
        <v>1928</v>
      </c>
      <c r="G305" s="277" t="s">
        <v>1927</v>
      </c>
      <c r="H305" s="241"/>
    </row>
    <row r="306">
      <c r="A306" s="255">
        <v>272.0</v>
      </c>
      <c r="B306" s="274" t="s">
        <v>1933</v>
      </c>
      <c r="C306" s="274" t="s">
        <v>1934</v>
      </c>
      <c r="D306" s="275" t="s">
        <v>1934</v>
      </c>
      <c r="E306" s="258" t="s">
        <v>1935</v>
      </c>
      <c r="F306" s="277" t="s">
        <v>1936</v>
      </c>
      <c r="G306" s="277" t="s">
        <v>1935</v>
      </c>
      <c r="H306" s="241"/>
    </row>
    <row r="307">
      <c r="A307" s="261"/>
      <c r="B307" s="262"/>
      <c r="C307" s="262"/>
      <c r="D307" s="241"/>
      <c r="E307" s="263"/>
      <c r="F307" s="278"/>
      <c r="G307" s="278"/>
      <c r="H307" s="241"/>
    </row>
    <row r="308">
      <c r="A308" s="255">
        <v>273.0</v>
      </c>
      <c r="B308" s="274" t="s">
        <v>1945</v>
      </c>
      <c r="C308" s="274" t="s">
        <v>1946</v>
      </c>
      <c r="D308" s="275" t="s">
        <v>1946</v>
      </c>
      <c r="E308" s="258" t="s">
        <v>1947</v>
      </c>
      <c r="F308" s="277" t="s">
        <v>1948</v>
      </c>
      <c r="G308" s="277" t="s">
        <v>1947</v>
      </c>
      <c r="H308" s="241"/>
    </row>
    <row r="309">
      <c r="A309" s="255">
        <v>274.0</v>
      </c>
      <c r="B309" s="274" t="s">
        <v>1949</v>
      </c>
      <c r="C309" s="274" t="s">
        <v>1950</v>
      </c>
      <c r="D309" s="275" t="s">
        <v>1950</v>
      </c>
      <c r="E309" s="258" t="s">
        <v>1951</v>
      </c>
      <c r="F309" s="277" t="s">
        <v>1952</v>
      </c>
      <c r="G309" s="277" t="s">
        <v>1951</v>
      </c>
      <c r="H309" s="241"/>
    </row>
    <row r="310">
      <c r="A310" s="255">
        <v>275.0</v>
      </c>
      <c r="B310" s="274" t="s">
        <v>1957</v>
      </c>
      <c r="C310" s="274" t="s">
        <v>1958</v>
      </c>
      <c r="D310" s="275" t="s">
        <v>1958</v>
      </c>
      <c r="E310" s="258" t="s">
        <v>1959</v>
      </c>
      <c r="F310" s="277" t="s">
        <v>1960</v>
      </c>
      <c r="G310" s="277" t="s">
        <v>1959</v>
      </c>
      <c r="H310" s="241"/>
    </row>
    <row r="311">
      <c r="A311" s="255">
        <v>276.0</v>
      </c>
      <c r="B311" s="274" t="s">
        <v>1965</v>
      </c>
      <c r="C311" s="274" t="s">
        <v>1966</v>
      </c>
      <c r="D311" s="275" t="s">
        <v>1966</v>
      </c>
      <c r="E311" s="258" t="s">
        <v>1967</v>
      </c>
      <c r="F311" s="277" t="s">
        <v>1968</v>
      </c>
      <c r="G311" s="277" t="s">
        <v>1967</v>
      </c>
      <c r="H311" s="241"/>
    </row>
    <row r="312">
      <c r="A312" s="255">
        <v>277.0</v>
      </c>
      <c r="B312" s="274" t="s">
        <v>1969</v>
      </c>
      <c r="C312" s="274" t="s">
        <v>1971</v>
      </c>
      <c r="D312" s="275" t="s">
        <v>1971</v>
      </c>
      <c r="E312" s="258" t="s">
        <v>1974</v>
      </c>
      <c r="F312" s="277" t="s">
        <v>1975</v>
      </c>
      <c r="G312" s="277" t="s">
        <v>1974</v>
      </c>
      <c r="H312" s="241"/>
    </row>
    <row r="313">
      <c r="A313" s="255">
        <v>278.0</v>
      </c>
      <c r="B313" s="274" t="s">
        <v>1976</v>
      </c>
      <c r="C313" s="274" t="s">
        <v>1967</v>
      </c>
      <c r="D313" s="275" t="s">
        <v>1967</v>
      </c>
      <c r="E313" s="258" t="s">
        <v>1966</v>
      </c>
      <c r="F313" s="277" t="s">
        <v>1981</v>
      </c>
      <c r="G313" s="277" t="s">
        <v>1966</v>
      </c>
      <c r="H313" s="241"/>
    </row>
    <row r="314">
      <c r="A314" s="255">
        <v>279.0</v>
      </c>
      <c r="B314" s="274" t="s">
        <v>1982</v>
      </c>
      <c r="C314" s="274" t="s">
        <v>1984</v>
      </c>
      <c r="D314" s="275" t="s">
        <v>1984</v>
      </c>
      <c r="E314" s="258" t="s">
        <v>1987</v>
      </c>
      <c r="F314" s="277" t="s">
        <v>1988</v>
      </c>
      <c r="G314" s="277" t="s">
        <v>1987</v>
      </c>
      <c r="H314" s="241"/>
    </row>
    <row r="315">
      <c r="A315" s="255">
        <v>280.0</v>
      </c>
      <c r="B315" s="274" t="s">
        <v>1989</v>
      </c>
      <c r="C315" s="274" t="s">
        <v>962</v>
      </c>
      <c r="D315" s="275" t="s">
        <v>962</v>
      </c>
      <c r="E315" s="258" t="s">
        <v>1483</v>
      </c>
      <c r="F315" s="277" t="s">
        <v>1994</v>
      </c>
      <c r="G315" s="277" t="s">
        <v>1483</v>
      </c>
      <c r="H315" s="241"/>
    </row>
    <row r="316">
      <c r="A316" s="261"/>
      <c r="B316" s="262"/>
      <c r="C316" s="262"/>
      <c r="D316" s="241"/>
      <c r="E316" s="263"/>
      <c r="F316" s="278"/>
      <c r="G316" s="278"/>
      <c r="H316" s="241"/>
    </row>
    <row r="317">
      <c r="A317" s="255">
        <v>281.0</v>
      </c>
      <c r="B317" s="274" t="s">
        <v>1998</v>
      </c>
      <c r="C317" s="274" t="s">
        <v>1999</v>
      </c>
      <c r="D317" s="275" t="s">
        <v>1999</v>
      </c>
      <c r="E317" s="258" t="s">
        <v>2000</v>
      </c>
      <c r="F317" s="277" t="s">
        <v>2001</v>
      </c>
      <c r="G317" s="277" t="s">
        <v>2000</v>
      </c>
      <c r="H317" s="241"/>
    </row>
    <row r="318">
      <c r="A318" s="255">
        <v>282.0</v>
      </c>
      <c r="B318" s="274" t="s">
        <v>2006</v>
      </c>
      <c r="C318" s="274" t="s">
        <v>1312</v>
      </c>
      <c r="D318" s="275" t="s">
        <v>1312</v>
      </c>
      <c r="E318" s="258" t="s">
        <v>823</v>
      </c>
      <c r="F318" s="277" t="s">
        <v>2007</v>
      </c>
      <c r="G318" s="277" t="s">
        <v>823</v>
      </c>
      <c r="H318" s="241"/>
    </row>
    <row r="319">
      <c r="A319" s="255">
        <v>283.0</v>
      </c>
      <c r="B319" s="274" t="s">
        <v>2009</v>
      </c>
      <c r="C319" s="274" t="s">
        <v>775</v>
      </c>
      <c r="D319" s="275" t="s">
        <v>775</v>
      </c>
      <c r="E319" s="258" t="s">
        <v>1260</v>
      </c>
      <c r="F319" s="277" t="s">
        <v>2012</v>
      </c>
      <c r="G319" s="277" t="s">
        <v>1260</v>
      </c>
      <c r="H319" s="241"/>
    </row>
    <row r="320">
      <c r="A320" s="255">
        <v>284.0</v>
      </c>
      <c r="B320" s="274" t="s">
        <v>2013</v>
      </c>
      <c r="C320" s="274" t="s">
        <v>1201</v>
      </c>
      <c r="D320" s="275" t="s">
        <v>1201</v>
      </c>
      <c r="E320" s="258" t="s">
        <v>733</v>
      </c>
      <c r="F320" s="277" t="s">
        <v>2017</v>
      </c>
      <c r="G320" s="277" t="s">
        <v>733</v>
      </c>
      <c r="H320" s="241"/>
    </row>
    <row r="321">
      <c r="A321" s="255">
        <v>285.0</v>
      </c>
      <c r="B321" s="274" t="s">
        <v>2018</v>
      </c>
      <c r="C321" s="274" t="s">
        <v>2019</v>
      </c>
      <c r="D321" s="275" t="s">
        <v>2019</v>
      </c>
      <c r="E321" s="258" t="s">
        <v>2024</v>
      </c>
      <c r="F321" s="277" t="s">
        <v>2025</v>
      </c>
      <c r="G321" s="277" t="s">
        <v>2024</v>
      </c>
      <c r="H321" s="241"/>
    </row>
    <row r="322">
      <c r="A322" s="255">
        <v>286.0</v>
      </c>
      <c r="B322" s="274" t="s">
        <v>2026</v>
      </c>
      <c r="C322" s="274" t="s">
        <v>2027</v>
      </c>
      <c r="D322" s="275" t="s">
        <v>2027</v>
      </c>
      <c r="E322" s="258" t="s">
        <v>2028</v>
      </c>
      <c r="F322" s="277" t="s">
        <v>2029</v>
      </c>
      <c r="G322" s="277" t="s">
        <v>2028</v>
      </c>
      <c r="H322" s="241"/>
    </row>
    <row r="323">
      <c r="A323" s="255">
        <v>287.0</v>
      </c>
      <c r="B323" s="274" t="s">
        <v>2033</v>
      </c>
      <c r="C323" s="274" t="s">
        <v>2034</v>
      </c>
      <c r="D323" s="275" t="s">
        <v>2034</v>
      </c>
      <c r="E323" s="258" t="s">
        <v>2035</v>
      </c>
      <c r="F323" s="277" t="s">
        <v>2036</v>
      </c>
      <c r="G323" s="277" t="s">
        <v>2035</v>
      </c>
      <c r="H323" s="241"/>
    </row>
    <row r="324">
      <c r="A324" s="255">
        <v>288.0</v>
      </c>
      <c r="B324" s="274" t="s">
        <v>2040</v>
      </c>
      <c r="C324" s="274" t="s">
        <v>2042</v>
      </c>
      <c r="D324" s="275" t="s">
        <v>2042</v>
      </c>
      <c r="E324" s="258" t="s">
        <v>2043</v>
      </c>
      <c r="F324" s="277" t="s">
        <v>2044</v>
      </c>
      <c r="G324" s="277" t="s">
        <v>2043</v>
      </c>
      <c r="H324" s="241"/>
    </row>
    <row r="325">
      <c r="A325" s="261"/>
      <c r="B325" s="262"/>
      <c r="C325" s="262"/>
      <c r="D325" s="241"/>
      <c r="E325" s="263"/>
      <c r="F325" s="278"/>
      <c r="G325" s="278"/>
      <c r="H325" s="241"/>
    </row>
    <row r="326">
      <c r="A326" s="255">
        <v>289.0</v>
      </c>
      <c r="B326" s="274" t="s">
        <v>2048</v>
      </c>
      <c r="C326" s="274" t="s">
        <v>1227</v>
      </c>
      <c r="D326" s="275" t="s">
        <v>1227</v>
      </c>
      <c r="E326" s="258" t="s">
        <v>749</v>
      </c>
      <c r="F326" s="277" t="s">
        <v>2050</v>
      </c>
      <c r="G326" s="277" t="s">
        <v>749</v>
      </c>
      <c r="H326" s="241"/>
    </row>
    <row r="327">
      <c r="A327" s="255">
        <v>290.0</v>
      </c>
      <c r="B327" s="274" t="s">
        <v>2051</v>
      </c>
      <c r="C327" s="274" t="s">
        <v>2052</v>
      </c>
      <c r="D327" s="275" t="s">
        <v>2052</v>
      </c>
      <c r="E327" s="258" t="s">
        <v>2053</v>
      </c>
      <c r="F327" s="277" t="s">
        <v>2054</v>
      </c>
      <c r="G327" s="277" t="s">
        <v>2053</v>
      </c>
      <c r="H327" s="241"/>
    </row>
    <row r="328">
      <c r="A328" s="255">
        <v>291.0</v>
      </c>
      <c r="B328" s="274" t="s">
        <v>2057</v>
      </c>
      <c r="C328" s="274" t="s">
        <v>2058</v>
      </c>
      <c r="D328" s="275" t="s">
        <v>2058</v>
      </c>
      <c r="E328" s="258" t="s">
        <v>2060</v>
      </c>
      <c r="F328" s="277" t="s">
        <v>2061</v>
      </c>
      <c r="G328" s="277" t="s">
        <v>2060</v>
      </c>
      <c r="H328" s="241"/>
    </row>
    <row r="329">
      <c r="A329" s="255">
        <v>292.0</v>
      </c>
      <c r="B329" s="274" t="s">
        <v>2062</v>
      </c>
      <c r="C329" s="274" t="s">
        <v>2063</v>
      </c>
      <c r="D329" s="275" t="s">
        <v>2063</v>
      </c>
      <c r="E329" s="258" t="s">
        <v>2064</v>
      </c>
      <c r="F329" s="277" t="s">
        <v>2065</v>
      </c>
      <c r="G329" s="277" t="s">
        <v>2064</v>
      </c>
      <c r="H329" s="241"/>
    </row>
    <row r="330">
      <c r="A330" s="255">
        <v>293.0</v>
      </c>
      <c r="B330" s="274" t="s">
        <v>2066</v>
      </c>
      <c r="C330" s="274" t="s">
        <v>2067</v>
      </c>
      <c r="D330" s="275" t="s">
        <v>2067</v>
      </c>
      <c r="E330" s="258" t="s">
        <v>2068</v>
      </c>
      <c r="F330" s="277" t="s">
        <v>2069</v>
      </c>
      <c r="G330" s="277" t="s">
        <v>2068</v>
      </c>
      <c r="H330" s="241"/>
    </row>
    <row r="331">
      <c r="A331" s="255">
        <v>294.0</v>
      </c>
      <c r="B331" s="274" t="s">
        <v>2072</v>
      </c>
      <c r="C331" s="274" t="s">
        <v>2074</v>
      </c>
      <c r="D331" s="275" t="s">
        <v>2074</v>
      </c>
      <c r="E331" s="258" t="s">
        <v>2076</v>
      </c>
      <c r="F331" s="277" t="s">
        <v>2077</v>
      </c>
      <c r="G331" s="277" t="s">
        <v>2076</v>
      </c>
      <c r="H331" s="241"/>
    </row>
    <row r="332">
      <c r="A332" s="255">
        <v>295.0</v>
      </c>
      <c r="B332" s="274" t="s">
        <v>2078</v>
      </c>
      <c r="C332" s="274" t="s">
        <v>2079</v>
      </c>
      <c r="D332" s="275" t="s">
        <v>2079</v>
      </c>
      <c r="E332" s="258" t="s">
        <v>2080</v>
      </c>
      <c r="F332" s="277" t="s">
        <v>2081</v>
      </c>
      <c r="G332" s="277" t="s">
        <v>2080</v>
      </c>
      <c r="H332" s="241"/>
    </row>
    <row r="333">
      <c r="A333" s="255">
        <v>296.0</v>
      </c>
      <c r="B333" s="274" t="s">
        <v>2082</v>
      </c>
      <c r="C333" s="274" t="s">
        <v>870</v>
      </c>
      <c r="D333" s="275" t="s">
        <v>870</v>
      </c>
      <c r="E333" s="258" t="s">
        <v>1370</v>
      </c>
      <c r="F333" s="277" t="s">
        <v>2086</v>
      </c>
      <c r="G333" s="277" t="s">
        <v>1370</v>
      </c>
      <c r="H333" s="241"/>
    </row>
    <row r="334">
      <c r="A334" s="261"/>
      <c r="B334" s="262"/>
      <c r="C334" s="262"/>
      <c r="D334" s="241"/>
      <c r="E334" s="263"/>
      <c r="F334" s="278"/>
      <c r="G334" s="278"/>
      <c r="H334" s="241"/>
    </row>
    <row r="335">
      <c r="A335" s="255">
        <v>297.0</v>
      </c>
      <c r="B335" s="274" t="s">
        <v>2087</v>
      </c>
      <c r="C335" s="274" t="s">
        <v>2089</v>
      </c>
      <c r="D335" s="275" t="s">
        <v>2089</v>
      </c>
      <c r="E335" s="258" t="s">
        <v>2091</v>
      </c>
      <c r="F335" s="277" t="s">
        <v>2093</v>
      </c>
      <c r="G335" s="277" t="s">
        <v>2091</v>
      </c>
      <c r="H335" s="241"/>
    </row>
    <row r="336">
      <c r="A336" s="255">
        <v>298.0</v>
      </c>
      <c r="B336" s="274" t="s">
        <v>2094</v>
      </c>
      <c r="C336" s="274" t="s">
        <v>2095</v>
      </c>
      <c r="D336" s="275" t="s">
        <v>2095</v>
      </c>
      <c r="E336" s="258" t="s">
        <v>2096</v>
      </c>
      <c r="F336" s="277" t="s">
        <v>2097</v>
      </c>
      <c r="G336" s="277" t="s">
        <v>2096</v>
      </c>
      <c r="H336" s="241"/>
    </row>
    <row r="337">
      <c r="A337" s="255">
        <v>299.0</v>
      </c>
      <c r="B337" s="274" t="s">
        <v>2102</v>
      </c>
      <c r="C337" s="274" t="s">
        <v>2103</v>
      </c>
      <c r="D337" s="275" t="s">
        <v>2103</v>
      </c>
      <c r="E337" s="258" t="s">
        <v>2104</v>
      </c>
      <c r="F337" s="277" t="s">
        <v>2105</v>
      </c>
      <c r="G337" s="277" t="s">
        <v>2104</v>
      </c>
      <c r="H337" s="241"/>
    </row>
    <row r="338">
      <c r="A338" s="255">
        <v>300.0</v>
      </c>
      <c r="B338" s="274" t="s">
        <v>2110</v>
      </c>
      <c r="C338" s="274" t="s">
        <v>2111</v>
      </c>
      <c r="D338" s="275" t="s">
        <v>2111</v>
      </c>
      <c r="E338" s="258" t="s">
        <v>2112</v>
      </c>
      <c r="F338" s="277" t="s">
        <v>2113</v>
      </c>
      <c r="G338" s="277" t="s">
        <v>2112</v>
      </c>
      <c r="H338" s="241"/>
    </row>
    <row r="339">
      <c r="A339" s="255">
        <v>301.0</v>
      </c>
      <c r="B339" s="274" t="s">
        <v>2116</v>
      </c>
      <c r="C339" s="274" t="s">
        <v>2118</v>
      </c>
      <c r="D339" s="275" t="s">
        <v>2118</v>
      </c>
      <c r="E339" s="258" t="s">
        <v>2120</v>
      </c>
      <c r="F339" s="277" t="s">
        <v>2121</v>
      </c>
      <c r="G339" s="277" t="s">
        <v>2120</v>
      </c>
      <c r="H339" s="241"/>
    </row>
    <row r="340">
      <c r="A340" s="255">
        <v>302.0</v>
      </c>
      <c r="B340" s="274" t="s">
        <v>2122</v>
      </c>
      <c r="C340" s="274" t="s">
        <v>2123</v>
      </c>
      <c r="D340" s="275" t="s">
        <v>2123</v>
      </c>
      <c r="E340" s="258" t="s">
        <v>2124</v>
      </c>
      <c r="F340" s="277" t="s">
        <v>2126</v>
      </c>
      <c r="G340" s="277" t="s">
        <v>2124</v>
      </c>
      <c r="H340" s="241"/>
    </row>
    <row r="341">
      <c r="A341" s="255">
        <v>303.0</v>
      </c>
      <c r="B341" s="274" t="s">
        <v>2130</v>
      </c>
      <c r="C341" s="274" t="s">
        <v>2131</v>
      </c>
      <c r="D341" s="275" t="s">
        <v>2131</v>
      </c>
      <c r="E341" s="258" t="s">
        <v>2132</v>
      </c>
      <c r="F341" s="277" t="s">
        <v>2133</v>
      </c>
      <c r="G341" s="277" t="s">
        <v>2132</v>
      </c>
      <c r="H341" s="241"/>
    </row>
    <row r="342">
      <c r="A342" s="255">
        <v>304.0</v>
      </c>
      <c r="B342" s="274" t="s">
        <v>2134</v>
      </c>
      <c r="C342" s="274" t="s">
        <v>2135</v>
      </c>
      <c r="D342" s="275" t="s">
        <v>2135</v>
      </c>
      <c r="E342" s="258" t="s">
        <v>2136</v>
      </c>
      <c r="F342" s="277" t="s">
        <v>2137</v>
      </c>
      <c r="G342" s="277" t="s">
        <v>2136</v>
      </c>
      <c r="H342" s="241"/>
    </row>
    <row r="343">
      <c r="A343" s="261"/>
      <c r="B343" s="262"/>
      <c r="C343" s="262"/>
      <c r="D343" s="241"/>
      <c r="E343" s="263"/>
      <c r="F343" s="278"/>
      <c r="G343" s="278"/>
      <c r="H343" s="241"/>
    </row>
    <row r="344">
      <c r="A344" s="255">
        <v>305.0</v>
      </c>
      <c r="B344" s="274" t="s">
        <v>2142</v>
      </c>
      <c r="C344" s="274" t="s">
        <v>1148</v>
      </c>
      <c r="D344" s="275" t="s">
        <v>1148</v>
      </c>
      <c r="E344" s="258" t="s">
        <v>1656</v>
      </c>
      <c r="F344" s="277" t="s">
        <v>2143</v>
      </c>
      <c r="G344" s="277" t="s">
        <v>1656</v>
      </c>
      <c r="H344" s="241"/>
    </row>
    <row r="345">
      <c r="A345" s="255">
        <v>306.0</v>
      </c>
      <c r="B345" s="274" t="s">
        <v>2148</v>
      </c>
      <c r="C345" s="274" t="s">
        <v>2149</v>
      </c>
      <c r="D345" s="275" t="s">
        <v>2149</v>
      </c>
      <c r="E345" s="258" t="s">
        <v>2150</v>
      </c>
      <c r="F345" s="277" t="s">
        <v>2151</v>
      </c>
      <c r="G345" s="277" t="s">
        <v>2150</v>
      </c>
      <c r="H345" s="241"/>
    </row>
    <row r="346">
      <c r="A346" s="255">
        <v>307.0</v>
      </c>
      <c r="B346" s="274" t="s">
        <v>2152</v>
      </c>
      <c r="C346" s="274" t="s">
        <v>2153</v>
      </c>
      <c r="D346" s="275" t="s">
        <v>2153</v>
      </c>
      <c r="E346" s="258" t="s">
        <v>2154</v>
      </c>
      <c r="F346" s="277" t="s">
        <v>2155</v>
      </c>
      <c r="G346" s="277" t="s">
        <v>2154</v>
      </c>
      <c r="H346" s="241"/>
    </row>
    <row r="347">
      <c r="A347" s="255">
        <v>308.0</v>
      </c>
      <c r="B347" s="274" t="s">
        <v>2160</v>
      </c>
      <c r="C347" s="274" t="s">
        <v>2155</v>
      </c>
      <c r="D347" s="275" t="s">
        <v>2155</v>
      </c>
      <c r="E347" s="258" t="s">
        <v>2161</v>
      </c>
      <c r="F347" s="277" t="s">
        <v>2153</v>
      </c>
      <c r="G347" s="277" t="s">
        <v>2161</v>
      </c>
      <c r="H347" s="241"/>
    </row>
    <row r="348">
      <c r="A348" s="255">
        <v>309.0</v>
      </c>
      <c r="B348" s="274" t="s">
        <v>2162</v>
      </c>
      <c r="C348" s="274" t="s">
        <v>2163</v>
      </c>
      <c r="D348" s="275" t="s">
        <v>2163</v>
      </c>
      <c r="E348" s="258" t="s">
        <v>2165</v>
      </c>
      <c r="F348" s="277" t="s">
        <v>2167</v>
      </c>
      <c r="G348" s="277" t="s">
        <v>2165</v>
      </c>
      <c r="H348" s="241"/>
    </row>
    <row r="349">
      <c r="A349" s="255">
        <v>310.0</v>
      </c>
      <c r="B349" s="274" t="s">
        <v>2169</v>
      </c>
      <c r="C349" s="274" t="s">
        <v>2170</v>
      </c>
      <c r="D349" s="275" t="s">
        <v>2170</v>
      </c>
      <c r="E349" s="258" t="s">
        <v>2171</v>
      </c>
      <c r="F349" s="277" t="s">
        <v>2172</v>
      </c>
      <c r="G349" s="277" t="s">
        <v>2171</v>
      </c>
      <c r="H349" s="241"/>
    </row>
    <row r="350">
      <c r="A350" s="255">
        <v>311.0</v>
      </c>
      <c r="B350" s="274" t="s">
        <v>2176</v>
      </c>
      <c r="C350" s="274" t="s">
        <v>2177</v>
      </c>
      <c r="D350" s="275" t="s">
        <v>2177</v>
      </c>
      <c r="E350" s="258" t="s">
        <v>605</v>
      </c>
      <c r="F350" s="277" t="s">
        <v>604</v>
      </c>
      <c r="G350" s="277" t="s">
        <v>605</v>
      </c>
      <c r="H350" s="241"/>
    </row>
    <row r="351">
      <c r="A351" s="255">
        <v>312.0</v>
      </c>
      <c r="B351" s="274" t="s">
        <v>2181</v>
      </c>
      <c r="C351" s="274" t="s">
        <v>2182</v>
      </c>
      <c r="D351" s="275" t="s">
        <v>2182</v>
      </c>
      <c r="E351" s="258" t="s">
        <v>2183</v>
      </c>
      <c r="F351" s="277" t="s">
        <v>2184</v>
      </c>
      <c r="G351" s="277" t="s">
        <v>2183</v>
      </c>
      <c r="H351" s="241"/>
    </row>
    <row r="352">
      <c r="A352" s="261"/>
      <c r="B352" s="262"/>
      <c r="C352" s="262"/>
      <c r="D352" s="241"/>
      <c r="E352" s="263"/>
      <c r="F352" s="278"/>
      <c r="G352" s="278"/>
      <c r="H352" s="241"/>
    </row>
    <row r="353">
      <c r="A353" s="255">
        <v>313.0</v>
      </c>
      <c r="B353" s="274" t="s">
        <v>2189</v>
      </c>
      <c r="C353" s="274" t="s">
        <v>2190</v>
      </c>
      <c r="D353" s="275" t="s">
        <v>2190</v>
      </c>
      <c r="E353" s="258" t="s">
        <v>2191</v>
      </c>
      <c r="F353" s="277" t="s">
        <v>2192</v>
      </c>
      <c r="G353" s="277" t="s">
        <v>2191</v>
      </c>
      <c r="H353" s="241"/>
    </row>
    <row r="354">
      <c r="A354" s="255">
        <v>314.0</v>
      </c>
      <c r="B354" s="274" t="s">
        <v>2193</v>
      </c>
      <c r="C354" s="274" t="s">
        <v>1574</v>
      </c>
      <c r="D354" s="275" t="s">
        <v>1574</v>
      </c>
      <c r="E354" s="258" t="s">
        <v>1056</v>
      </c>
      <c r="F354" s="277" t="s">
        <v>2194</v>
      </c>
      <c r="G354" s="277" t="s">
        <v>1056</v>
      </c>
      <c r="H354" s="241"/>
    </row>
    <row r="355">
      <c r="A355" s="255">
        <v>315.0</v>
      </c>
      <c r="B355" s="274" t="s">
        <v>2196</v>
      </c>
      <c r="C355" s="274" t="s">
        <v>2199</v>
      </c>
      <c r="D355" s="275" t="s">
        <v>2199</v>
      </c>
      <c r="E355" s="258" t="s">
        <v>2201</v>
      </c>
      <c r="F355" s="277" t="s">
        <v>2201</v>
      </c>
      <c r="G355" s="277" t="s">
        <v>2201</v>
      </c>
      <c r="H355" s="241"/>
    </row>
    <row r="356">
      <c r="A356" s="255">
        <v>316.0</v>
      </c>
      <c r="B356" s="274" t="s">
        <v>2202</v>
      </c>
      <c r="C356" s="274" t="s">
        <v>2203</v>
      </c>
      <c r="D356" s="275" t="s">
        <v>2203</v>
      </c>
      <c r="E356" s="258" t="s">
        <v>2204</v>
      </c>
      <c r="F356" s="277" t="s">
        <v>2205</v>
      </c>
      <c r="G356" s="277" t="s">
        <v>2204</v>
      </c>
      <c r="H356" s="241"/>
    </row>
    <row r="357">
      <c r="A357" s="255">
        <v>317.0</v>
      </c>
      <c r="B357" s="274" t="s">
        <v>2210</v>
      </c>
      <c r="C357" s="274" t="s">
        <v>2211</v>
      </c>
      <c r="D357" s="275" t="s">
        <v>2211</v>
      </c>
      <c r="E357" s="258" t="s">
        <v>2212</v>
      </c>
      <c r="F357" s="277" t="s">
        <v>2213</v>
      </c>
      <c r="G357" s="277" t="s">
        <v>2212</v>
      </c>
      <c r="H357" s="241"/>
    </row>
    <row r="358">
      <c r="A358" s="255">
        <v>318.0</v>
      </c>
      <c r="B358" s="274" t="s">
        <v>2218</v>
      </c>
      <c r="C358" s="274" t="s">
        <v>941</v>
      </c>
      <c r="D358" s="275" t="s">
        <v>941</v>
      </c>
      <c r="E358" s="258" t="s">
        <v>1464</v>
      </c>
      <c r="F358" s="277" t="s">
        <v>2219</v>
      </c>
      <c r="G358" s="277" t="s">
        <v>1464</v>
      </c>
      <c r="H358" s="241"/>
    </row>
    <row r="359">
      <c r="A359" s="255">
        <v>319.0</v>
      </c>
      <c r="B359" s="274" t="s">
        <v>2221</v>
      </c>
      <c r="C359" s="274" t="s">
        <v>2224</v>
      </c>
      <c r="D359" s="275" t="s">
        <v>2224</v>
      </c>
      <c r="E359" s="258" t="s">
        <v>2226</v>
      </c>
      <c r="F359" s="277" t="s">
        <v>2227</v>
      </c>
      <c r="G359" s="277" t="s">
        <v>2226</v>
      </c>
      <c r="H359" s="241"/>
    </row>
    <row r="360">
      <c r="A360" s="255">
        <v>320.0</v>
      </c>
      <c r="B360" s="274" t="s">
        <v>2228</v>
      </c>
      <c r="C360" s="274" t="s">
        <v>2229</v>
      </c>
      <c r="D360" s="275" t="s">
        <v>2229</v>
      </c>
      <c r="E360" s="258" t="s">
        <v>2230</v>
      </c>
      <c r="F360" s="277" t="s">
        <v>2231</v>
      </c>
      <c r="G360" s="277" t="s">
        <v>2230</v>
      </c>
      <c r="H360" s="241"/>
    </row>
    <row r="361">
      <c r="A361" s="261"/>
      <c r="B361" s="262"/>
      <c r="C361" s="262"/>
      <c r="D361" s="241"/>
      <c r="E361" s="263"/>
      <c r="F361" s="278"/>
      <c r="G361" s="278"/>
      <c r="H361" s="241"/>
    </row>
    <row r="362">
      <c r="A362" s="255">
        <v>321.0</v>
      </c>
      <c r="B362" s="274" t="s">
        <v>85</v>
      </c>
      <c r="C362" s="274" t="s">
        <v>2235</v>
      </c>
      <c r="D362" s="275" t="s">
        <v>2235</v>
      </c>
      <c r="E362" s="258" t="s">
        <v>2236</v>
      </c>
      <c r="F362" s="277" t="s">
        <v>2237</v>
      </c>
      <c r="G362" s="277" t="s">
        <v>2236</v>
      </c>
      <c r="H362" s="241"/>
    </row>
    <row r="363">
      <c r="A363" s="255">
        <v>322.0</v>
      </c>
      <c r="B363" s="274" t="s">
        <v>2242</v>
      </c>
      <c r="C363" s="274" t="s">
        <v>2243</v>
      </c>
      <c r="D363" s="275" t="s">
        <v>2243</v>
      </c>
      <c r="E363" s="258" t="s">
        <v>2244</v>
      </c>
      <c r="F363" s="277" t="s">
        <v>2245</v>
      </c>
      <c r="G363" s="277" t="s">
        <v>2244</v>
      </c>
      <c r="H363" s="241"/>
    </row>
    <row r="364">
      <c r="A364" s="255">
        <v>323.0</v>
      </c>
      <c r="B364" s="274" t="s">
        <v>2246</v>
      </c>
      <c r="C364" s="274" t="s">
        <v>2247</v>
      </c>
      <c r="D364" s="275" t="s">
        <v>2247</v>
      </c>
      <c r="E364" s="258" t="s">
        <v>2248</v>
      </c>
      <c r="F364" s="277" t="s">
        <v>2249</v>
      </c>
      <c r="G364" s="277" t="s">
        <v>2248</v>
      </c>
      <c r="H364" s="241"/>
    </row>
    <row r="365">
      <c r="A365" s="255">
        <v>324.0</v>
      </c>
      <c r="B365" s="274" t="s">
        <v>2254</v>
      </c>
      <c r="C365" s="274" t="s">
        <v>2255</v>
      </c>
      <c r="D365" s="275" t="s">
        <v>2255</v>
      </c>
      <c r="E365" s="258" t="s">
        <v>2256</v>
      </c>
      <c r="F365" s="277" t="s">
        <v>2257</v>
      </c>
      <c r="G365" s="277" t="s">
        <v>2256</v>
      </c>
      <c r="H365" s="241"/>
    </row>
    <row r="366">
      <c r="A366" s="255">
        <v>325.0</v>
      </c>
      <c r="B366" s="274" t="s">
        <v>2258</v>
      </c>
      <c r="C366" s="274" t="s">
        <v>1904</v>
      </c>
      <c r="D366" s="275" t="s">
        <v>1904</v>
      </c>
      <c r="E366" s="258" t="s">
        <v>2263</v>
      </c>
      <c r="F366" s="277" t="s">
        <v>2264</v>
      </c>
      <c r="G366" s="277" t="s">
        <v>2263</v>
      </c>
      <c r="H366" s="241"/>
    </row>
    <row r="367">
      <c r="A367" s="255">
        <v>326.0</v>
      </c>
      <c r="B367" s="274" t="s">
        <v>2265</v>
      </c>
      <c r="C367" s="274" t="s">
        <v>2266</v>
      </c>
      <c r="D367" s="275" t="s">
        <v>2266</v>
      </c>
      <c r="E367" s="258" t="s">
        <v>2267</v>
      </c>
      <c r="F367" s="277" t="s">
        <v>2268</v>
      </c>
      <c r="G367" s="277" t="s">
        <v>2267</v>
      </c>
      <c r="H367" s="241"/>
    </row>
    <row r="368">
      <c r="A368" s="255">
        <v>327.0</v>
      </c>
      <c r="B368" s="274" t="s">
        <v>2273</v>
      </c>
      <c r="C368" s="274" t="s">
        <v>2274</v>
      </c>
      <c r="D368" s="275" t="s">
        <v>2274</v>
      </c>
      <c r="E368" s="258" t="s">
        <v>2275</v>
      </c>
      <c r="F368" s="277" t="s">
        <v>2276</v>
      </c>
      <c r="G368" s="277" t="s">
        <v>2275</v>
      </c>
      <c r="H368" s="241"/>
    </row>
    <row r="369">
      <c r="A369" s="255">
        <v>328.0</v>
      </c>
      <c r="B369" s="274" t="s">
        <v>2277</v>
      </c>
      <c r="C369" s="274" t="s">
        <v>2278</v>
      </c>
      <c r="D369" s="275" t="s">
        <v>2278</v>
      </c>
      <c r="E369" s="258" t="s">
        <v>2279</v>
      </c>
      <c r="F369" s="277" t="s">
        <v>2280</v>
      </c>
      <c r="G369" s="277" t="s">
        <v>2279</v>
      </c>
      <c r="H369" s="241"/>
    </row>
    <row r="370">
      <c r="A370" s="261"/>
      <c r="B370" s="262"/>
      <c r="C370" s="262"/>
      <c r="D370" s="241"/>
      <c r="E370" s="263"/>
      <c r="F370" s="278"/>
      <c r="G370" s="278"/>
      <c r="H370" s="241"/>
    </row>
    <row r="371">
      <c r="A371" s="255">
        <v>329.0</v>
      </c>
      <c r="B371" s="274" t="s">
        <v>2285</v>
      </c>
      <c r="C371" s="274" t="s">
        <v>2043</v>
      </c>
      <c r="D371" s="275" t="s">
        <v>2043</v>
      </c>
      <c r="E371" s="258" t="s">
        <v>2042</v>
      </c>
      <c r="F371" s="277" t="s">
        <v>2286</v>
      </c>
      <c r="G371" s="277" t="s">
        <v>2042</v>
      </c>
      <c r="H371" s="241"/>
    </row>
    <row r="372">
      <c r="A372" s="255">
        <v>330.0</v>
      </c>
      <c r="B372" s="274" t="s">
        <v>2287</v>
      </c>
      <c r="C372" s="274" t="s">
        <v>2288</v>
      </c>
      <c r="D372" s="275" t="s">
        <v>2288</v>
      </c>
      <c r="E372" s="258" t="s">
        <v>2291</v>
      </c>
      <c r="F372" s="277" t="s">
        <v>2293</v>
      </c>
      <c r="G372" s="277" t="s">
        <v>2291</v>
      </c>
      <c r="H372" s="241"/>
    </row>
    <row r="373">
      <c r="A373" s="255">
        <v>331.0</v>
      </c>
      <c r="B373" s="274" t="s">
        <v>2295</v>
      </c>
      <c r="C373" s="274" t="s">
        <v>2296</v>
      </c>
      <c r="D373" s="275" t="s">
        <v>2296</v>
      </c>
      <c r="E373" s="258" t="s">
        <v>2297</v>
      </c>
      <c r="F373" s="277" t="s">
        <v>2298</v>
      </c>
      <c r="G373" s="277" t="s">
        <v>2297</v>
      </c>
      <c r="H373" s="241"/>
    </row>
    <row r="374">
      <c r="A374" s="255">
        <v>332.0</v>
      </c>
      <c r="B374" s="274" t="s">
        <v>2299</v>
      </c>
      <c r="C374" s="274" t="s">
        <v>2300</v>
      </c>
      <c r="D374" s="275" t="s">
        <v>2300</v>
      </c>
      <c r="E374" s="258" t="s">
        <v>2301</v>
      </c>
      <c r="F374" s="277" t="s">
        <v>2302</v>
      </c>
      <c r="G374" s="277" t="s">
        <v>2301</v>
      </c>
      <c r="H374" s="241"/>
    </row>
    <row r="375">
      <c r="A375" s="255">
        <v>333.0</v>
      </c>
      <c r="B375" s="274" t="s">
        <v>2305</v>
      </c>
      <c r="C375" s="274" t="s">
        <v>2307</v>
      </c>
      <c r="D375" s="275" t="s">
        <v>2307</v>
      </c>
      <c r="E375" s="258" t="s">
        <v>2308</v>
      </c>
      <c r="F375" s="277" t="s">
        <v>2309</v>
      </c>
      <c r="G375" s="277" t="s">
        <v>2308</v>
      </c>
      <c r="H375" s="241"/>
    </row>
    <row r="376">
      <c r="A376" s="255">
        <v>334.0</v>
      </c>
      <c r="B376" s="274" t="s">
        <v>2310</v>
      </c>
      <c r="C376" s="274" t="s">
        <v>1655</v>
      </c>
      <c r="D376" s="275" t="s">
        <v>1655</v>
      </c>
      <c r="E376" s="258" t="s">
        <v>2311</v>
      </c>
      <c r="F376" s="277" t="s">
        <v>1650</v>
      </c>
      <c r="G376" s="277" t="s">
        <v>2311</v>
      </c>
      <c r="H376" s="241"/>
    </row>
    <row r="377">
      <c r="A377" s="255">
        <v>335.0</v>
      </c>
      <c r="B377" s="274" t="s">
        <v>2314</v>
      </c>
      <c r="C377" s="274" t="s">
        <v>2157</v>
      </c>
      <c r="D377" s="275" t="s">
        <v>2157</v>
      </c>
      <c r="E377" s="258" t="s">
        <v>2225</v>
      </c>
      <c r="F377" s="277" t="s">
        <v>2317</v>
      </c>
      <c r="G377" s="277" t="s">
        <v>2225</v>
      </c>
      <c r="H377" s="241"/>
    </row>
    <row r="378">
      <c r="A378" s="255">
        <v>336.0</v>
      </c>
      <c r="B378" s="274" t="s">
        <v>2318</v>
      </c>
      <c r="C378" s="274" t="s">
        <v>2319</v>
      </c>
      <c r="D378" s="275" t="s">
        <v>2319</v>
      </c>
      <c r="E378" s="258" t="s">
        <v>2320</v>
      </c>
      <c r="F378" s="277" t="s">
        <v>2321</v>
      </c>
      <c r="G378" s="277" t="s">
        <v>2320</v>
      </c>
      <c r="H378" s="241"/>
    </row>
    <row r="379">
      <c r="A379" s="261"/>
      <c r="B379" s="262"/>
      <c r="C379" s="262"/>
      <c r="D379" s="241"/>
      <c r="E379" s="263"/>
      <c r="F379" s="278"/>
      <c r="G379" s="278"/>
      <c r="H379" s="241"/>
    </row>
    <row r="380">
      <c r="A380" s="255">
        <v>337.0</v>
      </c>
      <c r="B380" s="274" t="s">
        <v>2325</v>
      </c>
      <c r="C380" s="274" t="s">
        <v>1086</v>
      </c>
      <c r="D380" s="275" t="s">
        <v>1086</v>
      </c>
      <c r="E380" s="258" t="s">
        <v>1606</v>
      </c>
      <c r="F380" s="277" t="s">
        <v>2326</v>
      </c>
      <c r="G380" s="277" t="s">
        <v>1606</v>
      </c>
      <c r="H380" s="241"/>
    </row>
    <row r="381">
      <c r="A381" s="255">
        <v>338.0</v>
      </c>
      <c r="B381" s="274" t="s">
        <v>2327</v>
      </c>
      <c r="C381" s="274" t="s">
        <v>1188</v>
      </c>
      <c r="D381" s="275" t="s">
        <v>1188</v>
      </c>
      <c r="E381" s="258" t="s">
        <v>711</v>
      </c>
      <c r="F381" s="277" t="s">
        <v>2329</v>
      </c>
      <c r="G381" s="277" t="s">
        <v>711</v>
      </c>
      <c r="H381" s="241"/>
    </row>
    <row r="382">
      <c r="A382" s="255">
        <v>339.0</v>
      </c>
      <c r="B382" s="274" t="s">
        <v>2333</v>
      </c>
      <c r="C382" s="274" t="s">
        <v>2334</v>
      </c>
      <c r="D382" s="275" t="s">
        <v>2334</v>
      </c>
      <c r="E382" s="258" t="s">
        <v>2335</v>
      </c>
      <c r="F382" s="277" t="s">
        <v>2336</v>
      </c>
      <c r="G382" s="277" t="s">
        <v>2335</v>
      </c>
      <c r="H382" s="241"/>
    </row>
    <row r="383">
      <c r="A383" s="255">
        <v>340.0</v>
      </c>
      <c r="B383" s="274" t="s">
        <v>2337</v>
      </c>
      <c r="C383" s="274" t="s">
        <v>2338</v>
      </c>
      <c r="D383" s="275" t="s">
        <v>2338</v>
      </c>
      <c r="E383" s="258" t="s">
        <v>2339</v>
      </c>
      <c r="F383" s="277" t="s">
        <v>2340</v>
      </c>
      <c r="G383" s="277" t="s">
        <v>2339</v>
      </c>
      <c r="H383" s="241"/>
    </row>
    <row r="384">
      <c r="A384" s="255">
        <v>341.0</v>
      </c>
      <c r="B384" s="274" t="s">
        <v>2344</v>
      </c>
      <c r="C384" s="274" t="s">
        <v>2345</v>
      </c>
      <c r="D384" s="275" t="s">
        <v>2345</v>
      </c>
      <c r="E384" s="258" t="s">
        <v>2346</v>
      </c>
      <c r="F384" s="277" t="s">
        <v>2347</v>
      </c>
      <c r="G384" s="277" t="s">
        <v>2346</v>
      </c>
      <c r="H384" s="241"/>
    </row>
    <row r="385">
      <c r="A385" s="255">
        <v>342.0</v>
      </c>
      <c r="B385" s="274" t="s">
        <v>2348</v>
      </c>
      <c r="C385" s="274" t="s">
        <v>2349</v>
      </c>
      <c r="D385" s="275" t="s">
        <v>2349</v>
      </c>
      <c r="E385" s="258" t="s">
        <v>1597</v>
      </c>
      <c r="F385" s="277" t="s">
        <v>1596</v>
      </c>
      <c r="G385" s="277" t="s">
        <v>1597</v>
      </c>
      <c r="H385" s="241"/>
    </row>
    <row r="386">
      <c r="A386" s="255">
        <v>343.0</v>
      </c>
      <c r="B386" s="274" t="s">
        <v>2351</v>
      </c>
      <c r="C386" s="274" t="s">
        <v>2353</v>
      </c>
      <c r="D386" s="275" t="s">
        <v>2353</v>
      </c>
      <c r="E386" s="258" t="s">
        <v>2356</v>
      </c>
      <c r="F386" s="277" t="s">
        <v>2357</v>
      </c>
      <c r="G386" s="277" t="s">
        <v>2356</v>
      </c>
      <c r="H386" s="241"/>
    </row>
    <row r="387">
      <c r="A387" s="255">
        <v>344.0</v>
      </c>
      <c r="B387" s="274" t="s">
        <v>2358</v>
      </c>
      <c r="C387" s="274" t="s">
        <v>2359</v>
      </c>
      <c r="D387" s="275" t="s">
        <v>2359</v>
      </c>
      <c r="E387" s="258" t="s">
        <v>2360</v>
      </c>
      <c r="F387" s="277" t="s">
        <v>2361</v>
      </c>
      <c r="G387" s="277" t="s">
        <v>2360</v>
      </c>
      <c r="H387" s="241"/>
    </row>
    <row r="388">
      <c r="A388" s="261"/>
      <c r="B388" s="262"/>
      <c r="C388" s="262"/>
      <c r="D388" s="241"/>
      <c r="E388" s="263"/>
      <c r="F388" s="278"/>
      <c r="G388" s="278"/>
      <c r="H388" s="241"/>
    </row>
    <row r="389">
      <c r="A389" s="255">
        <v>345.0</v>
      </c>
      <c r="B389" s="274" t="s">
        <v>2365</v>
      </c>
      <c r="C389" s="274" t="s">
        <v>2367</v>
      </c>
      <c r="D389" s="275" t="s">
        <v>2367</v>
      </c>
      <c r="E389" s="258" t="s">
        <v>2368</v>
      </c>
      <c r="F389" s="277" t="s">
        <v>2369</v>
      </c>
      <c r="G389" s="277" t="s">
        <v>2368</v>
      </c>
      <c r="H389" s="241"/>
    </row>
    <row r="390">
      <c r="A390" s="255">
        <v>346.0</v>
      </c>
      <c r="B390" s="274" t="s">
        <v>2370</v>
      </c>
      <c r="C390" s="274" t="s">
        <v>2371</v>
      </c>
      <c r="D390" s="275" t="s">
        <v>2371</v>
      </c>
      <c r="E390" s="258" t="s">
        <v>2372</v>
      </c>
      <c r="F390" s="277" t="s">
        <v>2373</v>
      </c>
      <c r="G390" s="277" t="s">
        <v>2372</v>
      </c>
      <c r="H390" s="241"/>
    </row>
    <row r="391">
      <c r="A391" s="255">
        <v>347.0</v>
      </c>
      <c r="B391" s="274" t="s">
        <v>2375</v>
      </c>
      <c r="C391" s="274" t="s">
        <v>2377</v>
      </c>
      <c r="D391" s="275" t="s">
        <v>2377</v>
      </c>
      <c r="E391" s="258" t="s">
        <v>2380</v>
      </c>
      <c r="F391" s="277" t="s">
        <v>2381</v>
      </c>
      <c r="G391" s="277" t="s">
        <v>2380</v>
      </c>
      <c r="H391" s="241"/>
    </row>
    <row r="392">
      <c r="A392" s="255">
        <v>348.0</v>
      </c>
      <c r="B392" s="274" t="s">
        <v>2382</v>
      </c>
      <c r="C392" s="274" t="s">
        <v>2383</v>
      </c>
      <c r="D392" s="275" t="s">
        <v>2383</v>
      </c>
      <c r="E392" s="258" t="s">
        <v>2384</v>
      </c>
      <c r="F392" s="277" t="s">
        <v>2385</v>
      </c>
      <c r="G392" s="277" t="s">
        <v>2384</v>
      </c>
      <c r="H392" s="241"/>
    </row>
    <row r="393">
      <c r="A393" s="255">
        <v>349.0</v>
      </c>
      <c r="B393" s="274" t="s">
        <v>2386</v>
      </c>
      <c r="C393" s="274" t="s">
        <v>2387</v>
      </c>
      <c r="D393" s="275" t="s">
        <v>2387</v>
      </c>
      <c r="E393" s="258" t="s">
        <v>2389</v>
      </c>
      <c r="F393" s="277" t="s">
        <v>2391</v>
      </c>
      <c r="G393" s="277" t="s">
        <v>2389</v>
      </c>
      <c r="H393" s="241"/>
    </row>
    <row r="394">
      <c r="A394" s="255">
        <v>350.0</v>
      </c>
      <c r="B394" s="274" t="s">
        <v>2393</v>
      </c>
      <c r="C394" s="274" t="s">
        <v>998</v>
      </c>
      <c r="D394" s="275" t="s">
        <v>998</v>
      </c>
      <c r="E394" s="258" t="s">
        <v>1520</v>
      </c>
      <c r="F394" s="277" t="s">
        <v>2394</v>
      </c>
      <c r="G394" s="277" t="s">
        <v>1520</v>
      </c>
      <c r="H394" s="241"/>
    </row>
    <row r="395">
      <c r="A395" s="255">
        <v>351.0</v>
      </c>
      <c r="B395" s="274" t="s">
        <v>2395</v>
      </c>
      <c r="C395" s="274" t="s">
        <v>2397</v>
      </c>
      <c r="D395" s="275" t="s">
        <v>2397</v>
      </c>
      <c r="E395" s="258" t="s">
        <v>2399</v>
      </c>
      <c r="F395" s="277" t="s">
        <v>2401</v>
      </c>
      <c r="G395" s="277" t="s">
        <v>2399</v>
      </c>
      <c r="H395" s="241"/>
    </row>
    <row r="396">
      <c r="A396" s="255">
        <v>352.0</v>
      </c>
      <c r="B396" s="274" t="s">
        <v>2402</v>
      </c>
      <c r="C396" s="274" t="s">
        <v>2403</v>
      </c>
      <c r="D396" s="275" t="s">
        <v>2403</v>
      </c>
      <c r="E396" s="258" t="s">
        <v>2404</v>
      </c>
      <c r="F396" s="277" t="s">
        <v>2405</v>
      </c>
      <c r="G396" s="277" t="s">
        <v>2404</v>
      </c>
      <c r="H396" s="241"/>
    </row>
    <row r="397">
      <c r="A397" s="261"/>
      <c r="B397" s="262"/>
      <c r="C397" s="262"/>
      <c r="D397" s="241"/>
      <c r="E397" s="263"/>
      <c r="F397" s="278"/>
      <c r="G397" s="278"/>
      <c r="H397" s="241"/>
    </row>
    <row r="398">
      <c r="A398" s="255">
        <v>353.0</v>
      </c>
      <c r="B398" s="274" t="s">
        <v>2409</v>
      </c>
      <c r="C398" s="274" t="s">
        <v>1978</v>
      </c>
      <c r="D398" s="275" t="s">
        <v>1978</v>
      </c>
      <c r="E398" s="258" t="s">
        <v>2410</v>
      </c>
      <c r="F398" s="277" t="s">
        <v>2411</v>
      </c>
      <c r="G398" s="277" t="s">
        <v>2410</v>
      </c>
      <c r="H398" s="241"/>
    </row>
    <row r="399">
      <c r="A399" s="255">
        <v>354.0</v>
      </c>
      <c r="B399" s="274" t="s">
        <v>2412</v>
      </c>
      <c r="C399" s="274" t="s">
        <v>2413</v>
      </c>
      <c r="D399" s="275" t="s">
        <v>2413</v>
      </c>
      <c r="E399" s="258" t="s">
        <v>724</v>
      </c>
      <c r="F399" s="277" t="s">
        <v>723</v>
      </c>
      <c r="G399" s="277" t="s">
        <v>724</v>
      </c>
      <c r="H399" s="241"/>
    </row>
    <row r="400">
      <c r="A400" s="255">
        <v>355.0</v>
      </c>
      <c r="B400" s="274" t="s">
        <v>2417</v>
      </c>
      <c r="C400" s="274" t="s">
        <v>2418</v>
      </c>
      <c r="D400" s="275" t="s">
        <v>2418</v>
      </c>
      <c r="E400" s="258" t="s">
        <v>2419</v>
      </c>
      <c r="F400" s="277" t="s">
        <v>2420</v>
      </c>
      <c r="G400" s="277" t="s">
        <v>2419</v>
      </c>
      <c r="H400" s="241"/>
    </row>
    <row r="401">
      <c r="A401" s="255">
        <v>356.0</v>
      </c>
      <c r="B401" s="274" t="s">
        <v>2421</v>
      </c>
      <c r="C401" s="274" t="s">
        <v>2422</v>
      </c>
      <c r="D401" s="275" t="s">
        <v>2422</v>
      </c>
      <c r="E401" s="258" t="s">
        <v>2423</v>
      </c>
      <c r="F401" s="277" t="s">
        <v>2424</v>
      </c>
      <c r="G401" s="277" t="s">
        <v>2423</v>
      </c>
      <c r="H401" s="241"/>
    </row>
    <row r="402">
      <c r="A402" s="255">
        <v>357.0</v>
      </c>
      <c r="B402" s="274" t="s">
        <v>2426</v>
      </c>
      <c r="C402" s="274" t="s">
        <v>2428</v>
      </c>
      <c r="D402" s="275" t="s">
        <v>2428</v>
      </c>
      <c r="E402" s="258" t="s">
        <v>2430</v>
      </c>
      <c r="F402" s="277" t="s">
        <v>2431</v>
      </c>
      <c r="G402" s="277" t="s">
        <v>2430</v>
      </c>
      <c r="H402" s="241"/>
    </row>
    <row r="403">
      <c r="A403" s="255">
        <v>358.0</v>
      </c>
      <c r="B403" s="274" t="s">
        <v>2432</v>
      </c>
      <c r="C403" s="274" t="s">
        <v>2433</v>
      </c>
      <c r="D403" s="275" t="s">
        <v>2433</v>
      </c>
      <c r="E403" s="258" t="s">
        <v>2434</v>
      </c>
      <c r="F403" s="277" t="s">
        <v>2435</v>
      </c>
      <c r="G403" s="277" t="s">
        <v>2434</v>
      </c>
      <c r="H403" s="241"/>
    </row>
    <row r="404">
      <c r="A404" s="255">
        <v>359.0</v>
      </c>
      <c r="B404" s="274" t="s">
        <v>2436</v>
      </c>
      <c r="C404" s="274" t="s">
        <v>2437</v>
      </c>
      <c r="D404" s="275" t="s">
        <v>2437</v>
      </c>
      <c r="E404" s="258" t="s">
        <v>2438</v>
      </c>
      <c r="F404" s="277" t="s">
        <v>2440</v>
      </c>
      <c r="G404" s="277" t="s">
        <v>2438</v>
      </c>
      <c r="H404" s="241"/>
    </row>
    <row r="405">
      <c r="A405" s="255">
        <v>360.0</v>
      </c>
      <c r="B405" s="274" t="s">
        <v>2444</v>
      </c>
      <c r="C405" s="274" t="s">
        <v>2445</v>
      </c>
      <c r="D405" s="275" t="s">
        <v>2445</v>
      </c>
      <c r="E405" s="258" t="s">
        <v>2446</v>
      </c>
      <c r="F405" s="277" t="s">
        <v>2447</v>
      </c>
      <c r="G405" s="277" t="s">
        <v>2446</v>
      </c>
      <c r="H405" s="241"/>
    </row>
    <row r="406">
      <c r="A406" s="261"/>
      <c r="B406" s="262"/>
      <c r="C406" s="262"/>
      <c r="D406" s="241"/>
      <c r="E406" s="263"/>
      <c r="F406" s="278"/>
      <c r="G406" s="278"/>
      <c r="H406" s="241"/>
    </row>
    <row r="407">
      <c r="A407" s="255">
        <v>361.0</v>
      </c>
      <c r="B407" s="274" t="s">
        <v>2448</v>
      </c>
      <c r="C407" s="274" t="s">
        <v>2449</v>
      </c>
      <c r="D407" s="275" t="s">
        <v>2449</v>
      </c>
      <c r="E407" s="258" t="s">
        <v>2451</v>
      </c>
      <c r="F407" s="277" t="s">
        <v>2453</v>
      </c>
      <c r="G407" s="277" t="s">
        <v>2451</v>
      </c>
      <c r="H407" s="241"/>
    </row>
    <row r="408">
      <c r="A408" s="255">
        <v>362.0</v>
      </c>
      <c r="B408" s="274" t="s">
        <v>2455</v>
      </c>
      <c r="C408" s="274" t="s">
        <v>2456</v>
      </c>
      <c r="D408" s="275" t="s">
        <v>2456</v>
      </c>
      <c r="E408" s="258" t="s">
        <v>2457</v>
      </c>
      <c r="F408" s="277" t="s">
        <v>2458</v>
      </c>
      <c r="G408" s="277" t="s">
        <v>2457</v>
      </c>
      <c r="H408" s="241"/>
    </row>
    <row r="409">
      <c r="A409" s="255">
        <v>363.0</v>
      </c>
      <c r="B409" s="274" t="s">
        <v>2459</v>
      </c>
      <c r="C409" s="274" t="s">
        <v>2460</v>
      </c>
      <c r="D409" s="275" t="s">
        <v>2460</v>
      </c>
      <c r="E409" s="258" t="s">
        <v>2461</v>
      </c>
      <c r="F409" s="277" t="s">
        <v>2463</v>
      </c>
      <c r="G409" s="277" t="s">
        <v>2461</v>
      </c>
      <c r="H409" s="241"/>
    </row>
    <row r="410">
      <c r="A410" s="255">
        <v>364.0</v>
      </c>
      <c r="B410" s="274" t="s">
        <v>2467</v>
      </c>
      <c r="C410" s="274" t="s">
        <v>2468</v>
      </c>
      <c r="D410" s="275" t="s">
        <v>2468</v>
      </c>
      <c r="E410" s="258" t="s">
        <v>2469</v>
      </c>
      <c r="F410" s="277" t="s">
        <v>2470</v>
      </c>
      <c r="G410" s="277" t="s">
        <v>2469</v>
      </c>
      <c r="H410" s="241"/>
    </row>
    <row r="411">
      <c r="A411" s="255">
        <v>365.0</v>
      </c>
      <c r="B411" s="274" t="s">
        <v>2471</v>
      </c>
      <c r="C411" s="274" t="s">
        <v>2472</v>
      </c>
      <c r="D411" s="275" t="s">
        <v>2472</v>
      </c>
      <c r="E411" s="258" t="s">
        <v>2473</v>
      </c>
      <c r="F411" s="277" t="s">
        <v>2475</v>
      </c>
      <c r="G411" s="277" t="s">
        <v>2473</v>
      </c>
      <c r="H411" s="241"/>
    </row>
    <row r="412">
      <c r="A412" s="255">
        <v>366.0</v>
      </c>
      <c r="B412" s="274" t="s">
        <v>2479</v>
      </c>
      <c r="C412" s="274" t="s">
        <v>2480</v>
      </c>
      <c r="D412" s="275" t="s">
        <v>2480</v>
      </c>
      <c r="E412" s="258" t="s">
        <v>2481</v>
      </c>
      <c r="F412" s="277" t="s">
        <v>2482</v>
      </c>
      <c r="G412" s="277" t="s">
        <v>2481</v>
      </c>
      <c r="H412" s="241"/>
    </row>
    <row r="413">
      <c r="A413" s="255">
        <v>367.0</v>
      </c>
      <c r="B413" s="274" t="s">
        <v>2483</v>
      </c>
      <c r="C413" s="274" t="s">
        <v>862</v>
      </c>
      <c r="D413" s="275" t="s">
        <v>862</v>
      </c>
      <c r="E413" s="258" t="s">
        <v>1007</v>
      </c>
      <c r="F413" s="277" t="s">
        <v>1005</v>
      </c>
      <c r="G413" s="277" t="s">
        <v>1007</v>
      </c>
      <c r="H413" s="241"/>
    </row>
    <row r="414">
      <c r="A414" s="255">
        <v>368.0</v>
      </c>
      <c r="B414" s="274" t="s">
        <v>2486</v>
      </c>
      <c r="C414" s="274" t="s">
        <v>1535</v>
      </c>
      <c r="D414" s="275" t="s">
        <v>1535</v>
      </c>
      <c r="E414" s="258" t="s">
        <v>1021</v>
      </c>
      <c r="F414" s="277" t="s">
        <v>2489</v>
      </c>
      <c r="G414" s="277" t="s">
        <v>1021</v>
      </c>
      <c r="H414" s="241"/>
    </row>
    <row r="415">
      <c r="A415" s="261"/>
      <c r="B415" s="262"/>
      <c r="C415" s="262"/>
      <c r="D415" s="241"/>
      <c r="E415" s="263"/>
      <c r="F415" s="278"/>
      <c r="G415" s="278"/>
      <c r="H415" s="241"/>
    </row>
    <row r="416">
      <c r="A416" s="255">
        <v>369.0</v>
      </c>
      <c r="B416" s="274" t="s">
        <v>2490</v>
      </c>
      <c r="C416" s="274" t="s">
        <v>2492</v>
      </c>
      <c r="D416" s="275" t="s">
        <v>2492</v>
      </c>
      <c r="E416" s="258" t="s">
        <v>2495</v>
      </c>
      <c r="F416" s="277" t="s">
        <v>2497</v>
      </c>
      <c r="G416" s="277" t="s">
        <v>2495</v>
      </c>
      <c r="H416" s="241"/>
    </row>
    <row r="417">
      <c r="A417" s="255">
        <v>370.0</v>
      </c>
      <c r="B417" s="274" t="s">
        <v>2498</v>
      </c>
      <c r="C417" s="274" t="s">
        <v>2499</v>
      </c>
      <c r="D417" s="275" t="s">
        <v>2499</v>
      </c>
      <c r="E417" s="258" t="s">
        <v>2500</v>
      </c>
      <c r="F417" s="277" t="s">
        <v>2501</v>
      </c>
      <c r="G417" s="277" t="s">
        <v>2500</v>
      </c>
      <c r="H417" s="241"/>
    </row>
    <row r="418">
      <c r="A418" s="255">
        <v>371.0</v>
      </c>
      <c r="B418" s="274" t="s">
        <v>2502</v>
      </c>
      <c r="C418" s="274" t="s">
        <v>2503</v>
      </c>
      <c r="D418" s="275" t="s">
        <v>2503</v>
      </c>
      <c r="E418" s="258" t="s">
        <v>2504</v>
      </c>
      <c r="F418" s="277" t="s">
        <v>2504</v>
      </c>
      <c r="G418" s="277" t="s">
        <v>2504</v>
      </c>
      <c r="H418" s="241"/>
    </row>
    <row r="419">
      <c r="A419" s="255">
        <v>372.0</v>
      </c>
      <c r="B419" s="274" t="s">
        <v>2509</v>
      </c>
      <c r="C419" s="274" t="s">
        <v>1029</v>
      </c>
      <c r="D419" s="275" t="s">
        <v>1029</v>
      </c>
      <c r="E419" s="258" t="s">
        <v>1546</v>
      </c>
      <c r="F419" s="277" t="s">
        <v>2510</v>
      </c>
      <c r="G419" s="277" t="s">
        <v>1546</v>
      </c>
      <c r="H419" s="241"/>
    </row>
    <row r="420">
      <c r="A420" s="255">
        <v>373.0</v>
      </c>
      <c r="B420" s="274" t="s">
        <v>2511</v>
      </c>
      <c r="C420" s="274" t="s">
        <v>1279</v>
      </c>
      <c r="D420" s="275" t="s">
        <v>1279</v>
      </c>
      <c r="E420" s="258" t="s">
        <v>800</v>
      </c>
      <c r="F420" s="277" t="s">
        <v>2512</v>
      </c>
      <c r="G420" s="277" t="s">
        <v>800</v>
      </c>
      <c r="H420" s="241"/>
    </row>
    <row r="421">
      <c r="A421" s="255">
        <v>374.0</v>
      </c>
      <c r="B421" s="274" t="s">
        <v>2514</v>
      </c>
      <c r="C421" s="274" t="s">
        <v>2515</v>
      </c>
      <c r="D421" s="275" t="s">
        <v>2515</v>
      </c>
      <c r="E421" s="258" t="s">
        <v>2518</v>
      </c>
      <c r="F421" s="277" t="s">
        <v>2520</v>
      </c>
      <c r="G421" s="277" t="s">
        <v>2518</v>
      </c>
      <c r="H421" s="241"/>
    </row>
    <row r="422">
      <c r="A422" s="255">
        <v>375.0</v>
      </c>
      <c r="B422" s="274" t="s">
        <v>2521</v>
      </c>
      <c r="C422" s="274" t="s">
        <v>2522</v>
      </c>
      <c r="D422" s="275" t="s">
        <v>2522</v>
      </c>
      <c r="E422" s="258" t="s">
        <v>2523</v>
      </c>
      <c r="F422" s="277" t="s">
        <v>2524</v>
      </c>
      <c r="G422" s="277" t="s">
        <v>2523</v>
      </c>
      <c r="H422" s="241"/>
    </row>
    <row r="423">
      <c r="A423" s="255">
        <v>376.0</v>
      </c>
      <c r="B423" s="274" t="s">
        <v>2525</v>
      </c>
      <c r="C423" s="274" t="s">
        <v>2526</v>
      </c>
      <c r="D423" s="275" t="s">
        <v>2526</v>
      </c>
      <c r="E423" s="258" t="s">
        <v>2528</v>
      </c>
      <c r="F423" s="277" t="s">
        <v>2530</v>
      </c>
      <c r="G423" s="277" t="s">
        <v>2528</v>
      </c>
      <c r="H423" s="241"/>
    </row>
    <row r="424">
      <c r="A424" s="261"/>
      <c r="B424" s="262"/>
      <c r="C424" s="262"/>
      <c r="D424" s="241"/>
      <c r="E424" s="263"/>
      <c r="F424" s="278"/>
      <c r="G424" s="278"/>
      <c r="H424" s="241"/>
    </row>
    <row r="425">
      <c r="A425" s="255">
        <v>377.0</v>
      </c>
      <c r="B425" s="274" t="s">
        <v>2533</v>
      </c>
      <c r="C425" s="274" t="s">
        <v>2534</v>
      </c>
      <c r="D425" s="275" t="s">
        <v>2534</v>
      </c>
      <c r="E425" s="258" t="s">
        <v>2535</v>
      </c>
      <c r="F425" s="277" t="s">
        <v>2536</v>
      </c>
      <c r="G425" s="277" t="s">
        <v>2535</v>
      </c>
      <c r="H425" s="241"/>
    </row>
    <row r="426">
      <c r="A426" s="255">
        <v>378.0</v>
      </c>
      <c r="B426" s="274" t="s">
        <v>2538</v>
      </c>
      <c r="C426" s="274" t="s">
        <v>1913</v>
      </c>
      <c r="D426" s="275" t="s">
        <v>1913</v>
      </c>
      <c r="E426" s="258" t="s">
        <v>2332</v>
      </c>
      <c r="F426" s="277" t="s">
        <v>2542</v>
      </c>
      <c r="G426" s="277" t="s">
        <v>2332</v>
      </c>
      <c r="H426" s="241"/>
    </row>
    <row r="427">
      <c r="A427" s="255">
        <v>379.0</v>
      </c>
      <c r="B427" s="274" t="s">
        <v>2543</v>
      </c>
      <c r="C427" s="274" t="s">
        <v>2544</v>
      </c>
      <c r="D427" s="275" t="s">
        <v>2544</v>
      </c>
      <c r="E427" s="258" t="s">
        <v>2545</v>
      </c>
      <c r="F427" s="277" t="s">
        <v>2546</v>
      </c>
      <c r="G427" s="277" t="s">
        <v>2545</v>
      </c>
      <c r="H427" s="241"/>
    </row>
    <row r="428">
      <c r="A428" s="255">
        <v>380.0</v>
      </c>
      <c r="B428" s="274" t="s">
        <v>2547</v>
      </c>
      <c r="C428" s="274" t="s">
        <v>2548</v>
      </c>
      <c r="D428" s="275" t="s">
        <v>2548</v>
      </c>
      <c r="E428" s="258" t="s">
        <v>2550</v>
      </c>
      <c r="F428" s="277" t="s">
        <v>2552</v>
      </c>
      <c r="G428" s="277" t="s">
        <v>2550</v>
      </c>
      <c r="H428" s="241"/>
    </row>
    <row r="429">
      <c r="A429" s="255">
        <v>381.0</v>
      </c>
      <c r="B429" s="274" t="s">
        <v>2555</v>
      </c>
      <c r="C429" s="274" t="s">
        <v>2227</v>
      </c>
      <c r="D429" s="275" t="s">
        <v>2227</v>
      </c>
      <c r="E429" s="258" t="s">
        <v>2556</v>
      </c>
      <c r="F429" s="277" t="s">
        <v>2224</v>
      </c>
      <c r="G429" s="277" t="s">
        <v>2556</v>
      </c>
      <c r="H429" s="241"/>
    </row>
    <row r="430">
      <c r="A430" s="255">
        <v>382.0</v>
      </c>
      <c r="B430" s="274" t="s">
        <v>2557</v>
      </c>
      <c r="C430" s="274" t="s">
        <v>2558</v>
      </c>
      <c r="D430" s="275" t="s">
        <v>2558</v>
      </c>
      <c r="E430" s="258" t="s">
        <v>2559</v>
      </c>
      <c r="F430" s="277" t="s">
        <v>2560</v>
      </c>
      <c r="G430" s="277" t="s">
        <v>2559</v>
      </c>
      <c r="H430" s="241"/>
    </row>
    <row r="431">
      <c r="A431" s="255">
        <v>383.0</v>
      </c>
      <c r="B431" s="274" t="s">
        <v>2561</v>
      </c>
      <c r="C431" s="274" t="s">
        <v>2167</v>
      </c>
      <c r="D431" s="275" t="s">
        <v>2167</v>
      </c>
      <c r="E431" s="258" t="s">
        <v>2562</v>
      </c>
      <c r="F431" s="277" t="s">
        <v>2163</v>
      </c>
      <c r="G431" s="277" t="s">
        <v>2562</v>
      </c>
      <c r="H431" s="241"/>
    </row>
    <row r="432">
      <c r="A432" s="255">
        <v>384.0</v>
      </c>
      <c r="B432" s="274" t="s">
        <v>2563</v>
      </c>
      <c r="C432" s="274" t="s">
        <v>2564</v>
      </c>
      <c r="D432" s="275" t="s">
        <v>2564</v>
      </c>
      <c r="E432" s="258" t="s">
        <v>2565</v>
      </c>
      <c r="F432" s="277" t="s">
        <v>2566</v>
      </c>
      <c r="G432" s="277" t="s">
        <v>2565</v>
      </c>
      <c r="H432" s="241"/>
    </row>
    <row r="433">
      <c r="A433" s="255">
        <v>1.0</v>
      </c>
      <c r="B433" s="255" t="s">
        <v>2567</v>
      </c>
      <c r="C433" s="255" t="s">
        <v>1398</v>
      </c>
      <c r="D433" s="241"/>
      <c r="E433" s="241"/>
    </row>
    <row r="434">
      <c r="A434" s="255">
        <v>2.0</v>
      </c>
      <c r="B434" s="255" t="s">
        <v>2568</v>
      </c>
      <c r="C434" s="255" t="s">
        <v>1656</v>
      </c>
      <c r="D434" s="241"/>
      <c r="E434" s="241"/>
    </row>
    <row r="435">
      <c r="A435" s="255">
        <v>3.0</v>
      </c>
      <c r="B435" s="255" t="s">
        <v>2569</v>
      </c>
      <c r="C435" s="255" t="s">
        <v>1360</v>
      </c>
      <c r="D435" s="241"/>
      <c r="E435" s="241"/>
    </row>
    <row r="436">
      <c r="A436" s="255">
        <v>4.0</v>
      </c>
      <c r="B436" s="255" t="s">
        <v>2570</v>
      </c>
      <c r="C436" s="255" t="s">
        <v>1043</v>
      </c>
      <c r="D436" s="241"/>
      <c r="E436" s="241"/>
    </row>
    <row r="437">
      <c r="A437" s="255">
        <v>5.0</v>
      </c>
      <c r="B437" s="255" t="s">
        <v>2571</v>
      </c>
      <c r="C437" s="255" t="s">
        <v>1023</v>
      </c>
      <c r="D437" s="241"/>
      <c r="E437" s="241"/>
    </row>
    <row r="438">
      <c r="A438" s="255">
        <v>6.0</v>
      </c>
      <c r="B438" s="255" t="s">
        <v>2572</v>
      </c>
      <c r="C438" s="255" t="s">
        <v>1485</v>
      </c>
      <c r="D438" s="241"/>
      <c r="E438" s="241"/>
    </row>
    <row r="439">
      <c r="A439" s="255">
        <v>7.0</v>
      </c>
      <c r="B439" s="255" t="s">
        <v>2573</v>
      </c>
      <c r="C439" s="255" t="s">
        <v>1446</v>
      </c>
      <c r="D439" s="241"/>
      <c r="E439" s="241"/>
    </row>
    <row r="440">
      <c r="A440" s="255">
        <v>8.0</v>
      </c>
      <c r="B440" s="255" t="s">
        <v>2574</v>
      </c>
      <c r="C440" s="255" t="s">
        <v>1373</v>
      </c>
      <c r="D440" s="241"/>
      <c r="E440" s="241"/>
    </row>
    <row r="441">
      <c r="A441" s="255">
        <v>9.0</v>
      </c>
      <c r="B441" s="255" t="s">
        <v>2575</v>
      </c>
      <c r="C441" s="255" t="s">
        <v>1140</v>
      </c>
      <c r="D441" s="241"/>
      <c r="E441" s="241"/>
    </row>
    <row r="442">
      <c r="A442" s="255">
        <v>10.0</v>
      </c>
      <c r="B442" s="255" t="s">
        <v>2576</v>
      </c>
      <c r="C442" s="255" t="s">
        <v>917</v>
      </c>
      <c r="D442" s="241"/>
      <c r="E442" s="241"/>
    </row>
    <row r="443">
      <c r="A443" s="255">
        <v>11.0</v>
      </c>
      <c r="B443" s="255" t="s">
        <v>2577</v>
      </c>
      <c r="C443" s="255" t="s">
        <v>1127</v>
      </c>
      <c r="D443" s="241"/>
      <c r="E443" s="241"/>
    </row>
    <row r="444">
      <c r="A444" s="255">
        <v>12.0</v>
      </c>
      <c r="B444" s="255" t="s">
        <v>2578</v>
      </c>
      <c r="C444" s="255" t="s">
        <v>692</v>
      </c>
      <c r="D444" s="241"/>
      <c r="E444" s="241"/>
    </row>
    <row r="445">
      <c r="A445" s="279"/>
      <c r="B445" s="261"/>
      <c r="C445" s="261"/>
      <c r="D445" s="241"/>
      <c r="E445" s="241"/>
    </row>
    <row r="446">
      <c r="A446" s="255">
        <v>13.0</v>
      </c>
      <c r="B446" s="255" t="s">
        <v>2579</v>
      </c>
      <c r="C446" s="255" t="s">
        <v>782</v>
      </c>
      <c r="D446" s="241"/>
      <c r="E446" s="241"/>
    </row>
    <row r="447">
      <c r="A447" s="255">
        <v>14.0</v>
      </c>
      <c r="B447" s="255" t="s">
        <v>2580</v>
      </c>
      <c r="C447" s="255" t="s">
        <v>2263</v>
      </c>
      <c r="D447" s="241"/>
      <c r="E447" s="241"/>
    </row>
    <row r="448">
      <c r="A448" s="255">
        <v>15.0</v>
      </c>
      <c r="B448" s="255" t="s">
        <v>2581</v>
      </c>
      <c r="C448" s="255" t="s">
        <v>1116</v>
      </c>
      <c r="D448" s="241"/>
      <c r="E448" s="241"/>
    </row>
    <row r="449">
      <c r="A449" s="255">
        <v>16.0</v>
      </c>
      <c r="B449" s="255" t="s">
        <v>2582</v>
      </c>
      <c r="C449" s="255" t="s">
        <v>608</v>
      </c>
      <c r="D449" s="241"/>
      <c r="E449" s="241"/>
    </row>
    <row r="450">
      <c r="A450" s="255">
        <v>17.0</v>
      </c>
      <c r="B450" s="255" t="s">
        <v>2583</v>
      </c>
      <c r="C450" s="255" t="s">
        <v>1356</v>
      </c>
      <c r="D450" s="241"/>
      <c r="E450" s="241"/>
    </row>
    <row r="451">
      <c r="A451" s="255">
        <v>18.0</v>
      </c>
      <c r="B451" s="255" t="s">
        <v>2584</v>
      </c>
      <c r="C451" s="255" t="s">
        <v>1206</v>
      </c>
      <c r="D451" s="241"/>
      <c r="E451" s="241"/>
    </row>
    <row r="452">
      <c r="A452" s="255">
        <v>19.0</v>
      </c>
      <c r="B452" s="255" t="s">
        <v>2585</v>
      </c>
      <c r="C452" s="255" t="s">
        <v>855</v>
      </c>
      <c r="D452" s="241"/>
      <c r="E452" s="241"/>
    </row>
    <row r="453">
      <c r="A453" s="255">
        <v>20.0</v>
      </c>
      <c r="B453" s="255" t="s">
        <v>2586</v>
      </c>
      <c r="C453" s="255" t="s">
        <v>1241</v>
      </c>
      <c r="D453" s="241"/>
      <c r="E453" s="241"/>
    </row>
    <row r="454">
      <c r="A454" s="255">
        <v>21.0</v>
      </c>
      <c r="B454" s="255" t="s">
        <v>2587</v>
      </c>
      <c r="C454" s="255" t="s">
        <v>472</v>
      </c>
      <c r="D454" s="241"/>
      <c r="E454" s="241"/>
    </row>
    <row r="455">
      <c r="A455" s="255">
        <v>22.0</v>
      </c>
      <c r="B455" s="255" t="s">
        <v>2588</v>
      </c>
      <c r="C455" s="255" t="s">
        <v>760</v>
      </c>
      <c r="D455" s="241"/>
      <c r="E455" s="241"/>
    </row>
    <row r="456">
      <c r="A456" s="255">
        <v>23.0</v>
      </c>
      <c r="B456" s="255" t="s">
        <v>2589</v>
      </c>
      <c r="C456" s="255" t="s">
        <v>856</v>
      </c>
      <c r="D456" s="241"/>
      <c r="E456" s="241"/>
    </row>
    <row r="457">
      <c r="A457" s="255">
        <v>24.0</v>
      </c>
      <c r="B457" s="255" t="s">
        <v>2590</v>
      </c>
      <c r="C457" s="255" t="s">
        <v>999</v>
      </c>
      <c r="D457" s="241"/>
      <c r="E457" s="241"/>
    </row>
    <row r="458">
      <c r="A458" s="279"/>
      <c r="B458" s="261"/>
      <c r="C458" s="261"/>
      <c r="D458" s="241"/>
      <c r="E458" s="241"/>
    </row>
    <row r="459">
      <c r="A459" s="255">
        <v>25.0</v>
      </c>
      <c r="B459" s="255" t="s">
        <v>2591</v>
      </c>
      <c r="C459" s="255" t="s">
        <v>964</v>
      </c>
      <c r="D459" s="241"/>
      <c r="E459" s="241"/>
    </row>
    <row r="460">
      <c r="A460" s="255">
        <v>26.0</v>
      </c>
      <c r="B460" s="255" t="s">
        <v>2592</v>
      </c>
      <c r="C460" s="255" t="s">
        <v>1224</v>
      </c>
      <c r="D460" s="241"/>
      <c r="E460" s="241"/>
    </row>
    <row r="461">
      <c r="A461" s="255">
        <v>27.0</v>
      </c>
      <c r="B461" s="255" t="s">
        <v>2593</v>
      </c>
      <c r="C461" s="255" t="s">
        <v>2594</v>
      </c>
      <c r="D461" s="241"/>
      <c r="E461" s="241"/>
    </row>
    <row r="462">
      <c r="A462" s="255">
        <v>28.0</v>
      </c>
      <c r="B462" s="255" t="s">
        <v>2595</v>
      </c>
      <c r="C462" s="255" t="s">
        <v>1005</v>
      </c>
      <c r="D462" s="241"/>
      <c r="E462" s="241"/>
    </row>
    <row r="463">
      <c r="A463" s="255">
        <v>29.0</v>
      </c>
      <c r="B463" s="255" t="s">
        <v>2596</v>
      </c>
      <c r="C463" s="255" t="s">
        <v>864</v>
      </c>
      <c r="D463" s="241"/>
      <c r="E463" s="241"/>
    </row>
    <row r="464">
      <c r="A464" s="255">
        <v>30.0</v>
      </c>
      <c r="B464" s="255" t="s">
        <v>2597</v>
      </c>
      <c r="C464" s="255" t="s">
        <v>560</v>
      </c>
      <c r="D464" s="241"/>
      <c r="E464" s="241"/>
    </row>
    <row r="465">
      <c r="A465" s="255">
        <v>31.0</v>
      </c>
      <c r="B465" s="255" t="s">
        <v>2598</v>
      </c>
      <c r="C465" s="255" t="s">
        <v>1418</v>
      </c>
      <c r="D465" s="241"/>
      <c r="E465" s="241"/>
    </row>
    <row r="466">
      <c r="A466" s="255">
        <v>32.0</v>
      </c>
      <c r="B466" s="255" t="s">
        <v>2599</v>
      </c>
      <c r="C466" s="255" t="s">
        <v>2562</v>
      </c>
      <c r="D466" s="241"/>
      <c r="E466" s="241"/>
    </row>
    <row r="467">
      <c r="A467" s="255">
        <v>33.0</v>
      </c>
      <c r="B467" s="255" t="s">
        <v>2600</v>
      </c>
      <c r="C467" s="255" t="s">
        <v>596</v>
      </c>
      <c r="D467" s="241"/>
      <c r="E467" s="241"/>
    </row>
    <row r="468">
      <c r="A468" s="255">
        <v>34.0</v>
      </c>
      <c r="B468" s="255" t="s">
        <v>2601</v>
      </c>
      <c r="C468" s="255" t="s">
        <v>1347</v>
      </c>
      <c r="D468" s="241"/>
      <c r="E468" s="241"/>
    </row>
    <row r="469">
      <c r="A469" s="255">
        <v>35.0</v>
      </c>
      <c r="B469" s="255" t="s">
        <v>2602</v>
      </c>
      <c r="C469" s="255" t="s">
        <v>524</v>
      </c>
      <c r="D469" s="241"/>
      <c r="E469" s="241"/>
    </row>
    <row r="470">
      <c r="A470" s="255">
        <v>36.0</v>
      </c>
      <c r="B470" s="255" t="s">
        <v>2603</v>
      </c>
      <c r="C470" s="255" t="s">
        <v>976</v>
      </c>
      <c r="D470" s="241"/>
      <c r="E470" s="241"/>
    </row>
    <row r="471">
      <c r="A471" s="279"/>
      <c r="B471" s="261"/>
      <c r="C471" s="261"/>
      <c r="D471" s="241"/>
      <c r="E471" s="241"/>
    </row>
    <row r="472">
      <c r="A472" s="255">
        <v>37.0</v>
      </c>
      <c r="B472" s="260" t="s">
        <v>2604</v>
      </c>
      <c r="C472" s="255" t="s">
        <v>815</v>
      </c>
      <c r="D472" s="241"/>
      <c r="E472" s="241"/>
    </row>
    <row r="473">
      <c r="A473" s="255">
        <v>38.0</v>
      </c>
      <c r="B473" s="260" t="s">
        <v>2605</v>
      </c>
      <c r="C473" s="255" t="s">
        <v>2606</v>
      </c>
      <c r="D473" s="241"/>
      <c r="E473" s="241"/>
    </row>
    <row r="474">
      <c r="A474" s="255">
        <v>39.0</v>
      </c>
      <c r="B474" s="260" t="s">
        <v>2607</v>
      </c>
      <c r="C474" s="255" t="s">
        <v>993</v>
      </c>
      <c r="D474" s="241"/>
      <c r="E474" s="241"/>
    </row>
    <row r="475">
      <c r="A475" s="255">
        <v>40.0</v>
      </c>
      <c r="B475" s="260" t="s">
        <v>2608</v>
      </c>
      <c r="C475" s="255" t="s">
        <v>592</v>
      </c>
      <c r="D475" s="241"/>
      <c r="E475" s="241"/>
    </row>
    <row r="476">
      <c r="A476" s="255">
        <v>41.0</v>
      </c>
      <c r="B476" s="260" t="s">
        <v>2609</v>
      </c>
      <c r="C476" s="255" t="s">
        <v>2500</v>
      </c>
      <c r="D476" s="241"/>
      <c r="E476" s="241"/>
    </row>
    <row r="477">
      <c r="A477" s="255">
        <v>42.0</v>
      </c>
      <c r="B477" s="260" t="s">
        <v>2610</v>
      </c>
      <c r="C477" s="255" t="s">
        <v>770</v>
      </c>
      <c r="D477" s="241"/>
      <c r="E477" s="241"/>
    </row>
    <row r="478">
      <c r="A478" s="255">
        <v>43.0</v>
      </c>
      <c r="B478" s="260" t="s">
        <v>2611</v>
      </c>
      <c r="C478" s="255" t="s">
        <v>992</v>
      </c>
      <c r="D478" s="241"/>
      <c r="E478" s="241"/>
    </row>
    <row r="479">
      <c r="A479" s="255">
        <v>44.0</v>
      </c>
      <c r="B479" s="260" t="s">
        <v>2612</v>
      </c>
      <c r="C479" s="255" t="s">
        <v>588</v>
      </c>
      <c r="D479" s="241"/>
      <c r="E479" s="241"/>
    </row>
    <row r="480">
      <c r="A480" s="255">
        <v>45.0</v>
      </c>
      <c r="B480" s="260" t="s">
        <v>2613</v>
      </c>
      <c r="C480" s="255" t="s">
        <v>716</v>
      </c>
      <c r="D480" s="241"/>
      <c r="E480" s="241"/>
    </row>
    <row r="481">
      <c r="A481" s="255">
        <v>46.0</v>
      </c>
      <c r="B481" s="260" t="s">
        <v>2614</v>
      </c>
      <c r="C481" s="255" t="s">
        <v>733</v>
      </c>
      <c r="D481" s="241"/>
      <c r="E481" s="241"/>
    </row>
    <row r="482">
      <c r="A482" s="255">
        <v>47.0</v>
      </c>
      <c r="B482" s="260" t="s">
        <v>2615</v>
      </c>
      <c r="C482" s="255" t="s">
        <v>568</v>
      </c>
      <c r="D482" s="241"/>
      <c r="E482" s="241"/>
    </row>
    <row r="483">
      <c r="A483" s="255">
        <v>48.0</v>
      </c>
      <c r="B483" s="260" t="s">
        <v>2616</v>
      </c>
      <c r="C483" s="255" t="s">
        <v>1082</v>
      </c>
      <c r="D483" s="241"/>
      <c r="E483" s="241"/>
    </row>
    <row r="484">
      <c r="A484" s="279"/>
      <c r="B484" s="261"/>
      <c r="C484" s="261"/>
      <c r="D484" s="241"/>
      <c r="E484" s="241"/>
    </row>
    <row r="485">
      <c r="A485" s="255">
        <v>49.0</v>
      </c>
      <c r="B485" s="260" t="s">
        <v>2617</v>
      </c>
      <c r="C485" s="255" t="s">
        <v>640</v>
      </c>
      <c r="D485" s="241"/>
      <c r="E485" s="241"/>
    </row>
    <row r="486">
      <c r="A486" s="255">
        <v>50.0</v>
      </c>
      <c r="B486" s="260" t="s">
        <v>2618</v>
      </c>
      <c r="C486" s="255" t="s">
        <v>844</v>
      </c>
      <c r="D486" s="241"/>
      <c r="E486" s="241"/>
    </row>
    <row r="487">
      <c r="A487" s="255">
        <v>51.0</v>
      </c>
      <c r="B487" s="260" t="s">
        <v>2619</v>
      </c>
      <c r="C487" s="255" t="s">
        <v>743</v>
      </c>
      <c r="D487" s="241"/>
      <c r="E487" s="241"/>
    </row>
    <row r="488">
      <c r="A488" s="255">
        <v>52.0</v>
      </c>
      <c r="B488" s="260" t="s">
        <v>2620</v>
      </c>
      <c r="C488" s="255" t="s">
        <v>1927</v>
      </c>
      <c r="D488" s="241"/>
      <c r="E488" s="241"/>
    </row>
    <row r="489">
      <c r="A489" s="255">
        <v>53.0</v>
      </c>
      <c r="B489" s="260" t="s">
        <v>2621</v>
      </c>
      <c r="C489" s="255" t="s">
        <v>648</v>
      </c>
      <c r="D489" s="241"/>
      <c r="E489" s="241"/>
    </row>
    <row r="490">
      <c r="A490" s="255">
        <v>54.0</v>
      </c>
      <c r="B490" s="260" t="s">
        <v>2622</v>
      </c>
      <c r="C490" s="255" t="s">
        <v>968</v>
      </c>
      <c r="D490" s="241"/>
      <c r="E490" s="241"/>
    </row>
    <row r="491">
      <c r="A491" s="255">
        <v>55.0</v>
      </c>
      <c r="B491" s="260" t="s">
        <v>2623</v>
      </c>
      <c r="C491" s="255" t="s">
        <v>556</v>
      </c>
      <c r="D491" s="241"/>
      <c r="E491" s="241"/>
    </row>
    <row r="492">
      <c r="A492" s="255">
        <v>56.0</v>
      </c>
      <c r="B492" s="260" t="s">
        <v>2624</v>
      </c>
      <c r="C492" s="255" t="s">
        <v>1153</v>
      </c>
      <c r="D492" s="241"/>
      <c r="E492" s="241"/>
    </row>
    <row r="493">
      <c r="A493" s="255">
        <v>57.0</v>
      </c>
      <c r="B493" s="260" t="s">
        <v>2625</v>
      </c>
      <c r="C493" s="255" t="s">
        <v>1433</v>
      </c>
      <c r="D493" s="241"/>
      <c r="E493" s="241"/>
    </row>
    <row r="494">
      <c r="A494" s="255">
        <v>58.0</v>
      </c>
      <c r="B494" s="260" t="s">
        <v>2626</v>
      </c>
      <c r="C494" s="255" t="s">
        <v>1132</v>
      </c>
      <c r="D494" s="241"/>
      <c r="E494" s="241"/>
    </row>
    <row r="495">
      <c r="A495" s="255">
        <v>59.0</v>
      </c>
      <c r="B495" s="260" t="s">
        <v>2627</v>
      </c>
      <c r="C495" s="255" t="s">
        <v>428</v>
      </c>
      <c r="D495" s="241"/>
      <c r="E495" s="241"/>
    </row>
    <row r="496">
      <c r="A496" s="255">
        <v>60.0</v>
      </c>
      <c r="B496" s="260" t="s">
        <v>2628</v>
      </c>
      <c r="C496" s="255" t="s">
        <v>1392</v>
      </c>
      <c r="D496" s="241"/>
      <c r="E496" s="241"/>
    </row>
    <row r="497">
      <c r="A497" s="279"/>
      <c r="B497" s="261"/>
      <c r="C497" s="261"/>
      <c r="D497" s="241"/>
      <c r="E497" s="241"/>
    </row>
    <row r="498">
      <c r="A498" s="255">
        <v>61.0</v>
      </c>
      <c r="B498" s="260" t="s">
        <v>2629</v>
      </c>
      <c r="C498" s="255" t="s">
        <v>1405</v>
      </c>
      <c r="D498" s="241"/>
      <c r="E498" s="241"/>
    </row>
    <row r="499">
      <c r="A499" s="255">
        <v>62.0</v>
      </c>
      <c r="B499" s="260" t="s">
        <v>2630</v>
      </c>
      <c r="C499" s="255" t="s">
        <v>982</v>
      </c>
      <c r="D499" s="241"/>
      <c r="E499" s="241"/>
    </row>
    <row r="500">
      <c r="A500" s="255">
        <v>63.0</v>
      </c>
      <c r="B500" s="260" t="s">
        <v>2631</v>
      </c>
      <c r="C500" s="255" t="s">
        <v>532</v>
      </c>
      <c r="D500" s="241"/>
      <c r="E500" s="241"/>
    </row>
    <row r="501">
      <c r="A501" s="255">
        <v>64.0</v>
      </c>
      <c r="B501" s="260" t="s">
        <v>2632</v>
      </c>
      <c r="C501" s="255" t="s">
        <v>776</v>
      </c>
      <c r="D501" s="241"/>
      <c r="E501" s="241"/>
    </row>
    <row r="502">
      <c r="A502" s="255">
        <v>65.0</v>
      </c>
      <c r="B502" s="260" t="s">
        <v>2633</v>
      </c>
      <c r="C502" s="255" t="s">
        <v>420</v>
      </c>
      <c r="D502" s="241"/>
      <c r="E502" s="241"/>
    </row>
    <row r="503">
      <c r="A503" s="255">
        <v>66.0</v>
      </c>
      <c r="B503" s="260" t="s">
        <v>2634</v>
      </c>
      <c r="C503" s="255" t="s">
        <v>504</v>
      </c>
      <c r="D503" s="241"/>
      <c r="E503" s="241"/>
    </row>
    <row r="504">
      <c r="A504" s="255">
        <v>67.0</v>
      </c>
      <c r="B504" s="260" t="s">
        <v>2635</v>
      </c>
      <c r="C504" s="255" t="s">
        <v>1014</v>
      </c>
      <c r="D504" s="241"/>
      <c r="E504" s="241"/>
    </row>
    <row r="505">
      <c r="A505" s="255">
        <v>68.0</v>
      </c>
      <c r="B505" s="260" t="s">
        <v>2636</v>
      </c>
      <c r="C505" s="255" t="s">
        <v>1259</v>
      </c>
      <c r="D505" s="241"/>
      <c r="E505" s="241"/>
    </row>
    <row r="506">
      <c r="A506" s="255">
        <v>69.0</v>
      </c>
      <c r="B506" s="260" t="s">
        <v>2637</v>
      </c>
      <c r="C506" s="255" t="s">
        <v>2638</v>
      </c>
      <c r="D506" s="241"/>
      <c r="E506" s="241"/>
    </row>
    <row r="507">
      <c r="A507" s="255">
        <v>70.0</v>
      </c>
      <c r="B507" s="260" t="s">
        <v>2639</v>
      </c>
      <c r="C507" s="255" t="s">
        <v>1441</v>
      </c>
      <c r="D507" s="241"/>
      <c r="E507" s="241"/>
    </row>
    <row r="508">
      <c r="A508" s="255">
        <v>71.0</v>
      </c>
      <c r="B508" s="260" t="s">
        <v>2640</v>
      </c>
      <c r="C508" s="255" t="s">
        <v>1437</v>
      </c>
      <c r="D508" s="241"/>
      <c r="E508" s="241"/>
    </row>
    <row r="509">
      <c r="A509" s="255">
        <v>72.0</v>
      </c>
      <c r="B509" s="260" t="s">
        <v>2641</v>
      </c>
      <c r="C509" s="255" t="s">
        <v>1285</v>
      </c>
      <c r="D509" s="241"/>
      <c r="E509" s="241"/>
    </row>
    <row r="510">
      <c r="A510" s="279"/>
      <c r="B510" s="261"/>
      <c r="C510" s="261"/>
      <c r="D510" s="241"/>
      <c r="E510" s="241"/>
    </row>
    <row r="511">
      <c r="A511" s="255">
        <v>73.0</v>
      </c>
      <c r="B511" s="260" t="s">
        <v>2642</v>
      </c>
      <c r="C511" s="255" t="s">
        <v>723</v>
      </c>
      <c r="D511" s="241"/>
      <c r="E511" s="241"/>
    </row>
    <row r="512">
      <c r="A512" s="255">
        <v>74.0</v>
      </c>
      <c r="B512" s="260" t="s">
        <v>2643</v>
      </c>
      <c r="C512" s="255" t="s">
        <v>508</v>
      </c>
      <c r="D512" s="241"/>
      <c r="E512" s="241"/>
    </row>
    <row r="513">
      <c r="A513" s="255">
        <v>75.0</v>
      </c>
      <c r="B513" s="260" t="s">
        <v>2644</v>
      </c>
      <c r="C513" s="255" t="s">
        <v>1182</v>
      </c>
      <c r="D513" s="241"/>
      <c r="E513" s="241"/>
    </row>
    <row r="514">
      <c r="A514" s="255">
        <v>76.0</v>
      </c>
      <c r="B514" s="260" t="s">
        <v>83</v>
      </c>
      <c r="C514" s="255" t="s">
        <v>2645</v>
      </c>
      <c r="D514" s="241"/>
      <c r="E514" s="241"/>
    </row>
    <row r="515">
      <c r="A515" s="255">
        <v>77.0</v>
      </c>
      <c r="B515" s="260" t="s">
        <v>2646</v>
      </c>
      <c r="C515" s="255" t="s">
        <v>2647</v>
      </c>
      <c r="D515" s="241"/>
      <c r="E515" s="241"/>
    </row>
    <row r="516">
      <c r="A516" s="255">
        <v>78.0</v>
      </c>
      <c r="B516" s="260" t="s">
        <v>2648</v>
      </c>
      <c r="C516" s="255" t="s">
        <v>1229</v>
      </c>
      <c r="D516" s="241"/>
      <c r="E516" s="241"/>
    </row>
    <row r="517">
      <c r="A517" s="255">
        <v>79.0</v>
      </c>
      <c r="B517" s="260" t="s">
        <v>2649</v>
      </c>
      <c r="C517" s="255" t="s">
        <v>2650</v>
      </c>
      <c r="D517" s="241"/>
      <c r="E517" s="241"/>
    </row>
    <row r="518">
      <c r="A518" s="255">
        <v>80.0</v>
      </c>
      <c r="B518" s="260" t="s">
        <v>2651</v>
      </c>
      <c r="C518" s="255" t="s">
        <v>1503</v>
      </c>
      <c r="D518" s="241"/>
      <c r="E518" s="241"/>
    </row>
    <row r="519">
      <c r="A519" s="255">
        <v>81.0</v>
      </c>
      <c r="B519" s="260" t="s">
        <v>2652</v>
      </c>
      <c r="C519" s="255" t="s">
        <v>948</v>
      </c>
      <c r="D519" s="241"/>
      <c r="E519" s="241"/>
    </row>
    <row r="520">
      <c r="A520" s="255">
        <v>82.0</v>
      </c>
      <c r="B520" s="260" t="s">
        <v>2653</v>
      </c>
      <c r="C520" s="255" t="s">
        <v>898</v>
      </c>
      <c r="D520" s="241"/>
      <c r="E520" s="241"/>
    </row>
    <row r="521">
      <c r="A521" s="255">
        <v>83.0</v>
      </c>
      <c r="B521" s="260" t="s">
        <v>2654</v>
      </c>
      <c r="C521" s="255" t="s">
        <v>1190</v>
      </c>
      <c r="D521" s="241"/>
      <c r="E521" s="241"/>
    </row>
    <row r="522">
      <c r="A522" s="255">
        <v>84.0</v>
      </c>
      <c r="B522" s="260" t="s">
        <v>2655</v>
      </c>
      <c r="C522" s="255" t="s">
        <v>552</v>
      </c>
      <c r="D522" s="241"/>
      <c r="E522" s="241"/>
    </row>
    <row r="523">
      <c r="A523" s="279"/>
      <c r="B523" s="261"/>
      <c r="C523" s="261"/>
      <c r="D523" s="241"/>
      <c r="E523" s="241"/>
    </row>
    <row r="524">
      <c r="A524" s="255">
        <v>85.0</v>
      </c>
      <c r="B524" s="260" t="s">
        <v>2656</v>
      </c>
      <c r="C524" s="255" t="s">
        <v>2451</v>
      </c>
      <c r="D524" s="241"/>
      <c r="E524" s="241"/>
    </row>
    <row r="525">
      <c r="A525" s="255">
        <v>86.0</v>
      </c>
      <c r="B525" s="260" t="s">
        <v>2657</v>
      </c>
      <c r="C525" s="255" t="s">
        <v>548</v>
      </c>
      <c r="D525" s="241"/>
      <c r="E525" s="241"/>
    </row>
    <row r="526">
      <c r="A526" s="255">
        <v>87.0</v>
      </c>
      <c r="B526" s="260" t="s">
        <v>2658</v>
      </c>
      <c r="C526" s="255" t="s">
        <v>920</v>
      </c>
      <c r="D526" s="241"/>
      <c r="E526" s="241"/>
    </row>
    <row r="527">
      <c r="A527" s="255">
        <v>88.0</v>
      </c>
      <c r="B527" s="260" t="s">
        <v>2659</v>
      </c>
      <c r="C527" s="255" t="s">
        <v>632</v>
      </c>
      <c r="D527" s="241"/>
      <c r="E527" s="241"/>
    </row>
    <row r="528">
      <c r="A528" s="255">
        <v>89.0</v>
      </c>
      <c r="B528" s="260" t="s">
        <v>2660</v>
      </c>
      <c r="C528" s="255" t="s">
        <v>660</v>
      </c>
      <c r="D528" s="241"/>
      <c r="E528" s="241"/>
    </row>
    <row r="529">
      <c r="A529" s="255">
        <v>90.0</v>
      </c>
      <c r="B529" s="260" t="s">
        <v>2661</v>
      </c>
      <c r="C529" s="255" t="s">
        <v>1157</v>
      </c>
      <c r="D529" s="241"/>
      <c r="E529" s="241"/>
    </row>
    <row r="530">
      <c r="A530" s="255">
        <v>91.0</v>
      </c>
      <c r="B530" s="260" t="s">
        <v>2662</v>
      </c>
      <c r="C530" s="255" t="s">
        <v>512</v>
      </c>
      <c r="D530" s="241"/>
      <c r="E530" s="241"/>
    </row>
    <row r="531">
      <c r="A531" s="255">
        <v>92.0</v>
      </c>
      <c r="B531" s="260" t="s">
        <v>2663</v>
      </c>
      <c r="C531" s="255" t="s">
        <v>600</v>
      </c>
      <c r="D531" s="241"/>
      <c r="E531" s="241"/>
    </row>
    <row r="532">
      <c r="A532" s="255">
        <v>93.0</v>
      </c>
      <c r="B532" s="260" t="s">
        <v>2664</v>
      </c>
      <c r="C532" s="255" t="s">
        <v>488</v>
      </c>
      <c r="D532" s="241"/>
      <c r="E532" s="241"/>
    </row>
    <row r="533">
      <c r="A533" s="255">
        <v>94.0</v>
      </c>
      <c r="B533" s="260" t="s">
        <v>2665</v>
      </c>
      <c r="C533" s="255" t="s">
        <v>496</v>
      </c>
      <c r="D533" s="241"/>
      <c r="E533" s="241"/>
    </row>
    <row r="534">
      <c r="A534" s="255">
        <v>95.0</v>
      </c>
      <c r="B534" s="260" t="s">
        <v>2666</v>
      </c>
      <c r="C534" s="255" t="s">
        <v>2183</v>
      </c>
      <c r="D534" s="241"/>
      <c r="E534" s="241"/>
    </row>
    <row r="535">
      <c r="A535" s="255">
        <v>96.0</v>
      </c>
      <c r="B535" s="260" t="s">
        <v>2667</v>
      </c>
      <c r="C535" s="255" t="s">
        <v>888</v>
      </c>
      <c r="D535" s="241"/>
      <c r="E535" s="241"/>
    </row>
    <row r="536">
      <c r="A536" s="279"/>
      <c r="B536" s="261"/>
      <c r="C536" s="261"/>
      <c r="D536" s="241"/>
      <c r="E536" s="241"/>
    </row>
    <row r="537">
      <c r="A537" s="255">
        <v>97.0</v>
      </c>
      <c r="B537" s="260" t="s">
        <v>2668</v>
      </c>
      <c r="C537" s="255" t="s">
        <v>839</v>
      </c>
      <c r="D537" s="241"/>
      <c r="E537" s="241"/>
    </row>
    <row r="538">
      <c r="A538" s="255">
        <v>98.0</v>
      </c>
      <c r="B538" s="260" t="s">
        <v>2669</v>
      </c>
      <c r="C538" s="255" t="s">
        <v>956</v>
      </c>
      <c r="D538" s="241"/>
      <c r="E538" s="241"/>
    </row>
    <row r="539">
      <c r="A539" s="255">
        <v>99.0</v>
      </c>
      <c r="B539" s="260" t="s">
        <v>2670</v>
      </c>
      <c r="C539" s="255" t="s">
        <v>2671</v>
      </c>
      <c r="D539" s="241"/>
      <c r="E539" s="241"/>
    </row>
    <row r="540">
      <c r="A540" s="255">
        <v>100.0</v>
      </c>
      <c r="B540" s="260" t="s">
        <v>2672</v>
      </c>
      <c r="C540" s="255" t="s">
        <v>1476</v>
      </c>
      <c r="D540" s="241"/>
      <c r="E540" s="241"/>
    </row>
    <row r="541">
      <c r="A541" s="255">
        <v>101.0</v>
      </c>
      <c r="B541" s="260" t="s">
        <v>2676</v>
      </c>
      <c r="C541" s="255" t="s">
        <v>990</v>
      </c>
      <c r="D541" s="241"/>
      <c r="E541" s="241"/>
    </row>
    <row r="542">
      <c r="A542" s="255">
        <v>102.0</v>
      </c>
      <c r="B542" s="260" t="s">
        <v>2677</v>
      </c>
      <c r="C542" s="255" t="s">
        <v>1273</v>
      </c>
      <c r="D542" s="241"/>
      <c r="E542" s="241"/>
    </row>
    <row r="543">
      <c r="A543" s="255">
        <v>103.0</v>
      </c>
      <c r="B543" s="260" t="s">
        <v>2681</v>
      </c>
      <c r="C543" s="255" t="s">
        <v>1194</v>
      </c>
      <c r="D543" s="241"/>
      <c r="E543" s="241"/>
    </row>
    <row r="544">
      <c r="A544" s="255">
        <v>104.0</v>
      </c>
      <c r="B544" s="260" t="s">
        <v>2684</v>
      </c>
      <c r="C544" s="255" t="s">
        <v>540</v>
      </c>
      <c r="D544" s="241"/>
      <c r="E544" s="241"/>
    </row>
    <row r="545">
      <c r="A545" s="255">
        <v>105.0</v>
      </c>
      <c r="B545" s="260" t="s">
        <v>2685</v>
      </c>
      <c r="C545" s="255" t="s">
        <v>1541</v>
      </c>
      <c r="D545" s="241"/>
      <c r="E545" s="241"/>
    </row>
    <row r="546">
      <c r="A546" s="255">
        <v>106.0</v>
      </c>
      <c r="B546" s="260" t="s">
        <v>2690</v>
      </c>
      <c r="C546" s="255" t="s">
        <v>528</v>
      </c>
      <c r="D546" s="241"/>
      <c r="E546" s="241"/>
    </row>
    <row r="547">
      <c r="A547" s="255">
        <v>107.0</v>
      </c>
      <c r="B547" s="260" t="s">
        <v>2692</v>
      </c>
      <c r="C547" s="255" t="s">
        <v>480</v>
      </c>
      <c r="D547" s="241"/>
      <c r="E547" s="241"/>
    </row>
    <row r="548">
      <c r="A548" s="255">
        <v>108.0</v>
      </c>
      <c r="B548" s="260" t="s">
        <v>2693</v>
      </c>
      <c r="C548" s="255" t="s">
        <v>1252</v>
      </c>
      <c r="D548" s="241"/>
      <c r="E548" s="241"/>
    </row>
    <row r="549">
      <c r="A549" s="279"/>
      <c r="B549" s="261"/>
      <c r="C549" s="261"/>
      <c r="D549" s="241"/>
      <c r="E549" s="241"/>
    </row>
    <row r="550">
      <c r="A550" s="255">
        <v>109.0</v>
      </c>
      <c r="B550" s="260" t="s">
        <v>2699</v>
      </c>
      <c r="C550" s="255" t="s">
        <v>2700</v>
      </c>
      <c r="D550" s="241"/>
      <c r="E550" s="241"/>
    </row>
    <row r="551">
      <c r="A551" s="255">
        <v>110.0</v>
      </c>
      <c r="B551" s="260" t="s">
        <v>2701</v>
      </c>
      <c r="C551" s="255" t="s">
        <v>1021</v>
      </c>
      <c r="D551" s="241"/>
      <c r="E551" s="241"/>
    </row>
    <row r="552">
      <c r="A552" s="255">
        <v>111.0</v>
      </c>
      <c r="B552" s="260" t="s">
        <v>2706</v>
      </c>
      <c r="C552" s="255" t="s">
        <v>624</v>
      </c>
      <c r="D552" s="241"/>
      <c r="E552" s="241"/>
    </row>
    <row r="553">
      <c r="A553" s="255">
        <v>112.0</v>
      </c>
      <c r="B553" s="260" t="s">
        <v>2708</v>
      </c>
      <c r="C553" s="255" t="s">
        <v>1178</v>
      </c>
      <c r="D553" s="241"/>
      <c r="E553" s="241"/>
    </row>
    <row r="554">
      <c r="A554" s="255">
        <v>113.0</v>
      </c>
      <c r="B554" s="260" t="s">
        <v>2709</v>
      </c>
      <c r="C554" s="255" t="s">
        <v>620</v>
      </c>
      <c r="D554" s="241"/>
      <c r="E554" s="241"/>
    </row>
    <row r="555">
      <c r="A555" s="255">
        <v>114.0</v>
      </c>
      <c r="B555" s="260" t="s">
        <v>2711</v>
      </c>
      <c r="C555" s="255" t="s">
        <v>1456</v>
      </c>
      <c r="D555" s="241"/>
      <c r="E555" s="241"/>
    </row>
    <row r="556">
      <c r="A556" s="255">
        <v>115.0</v>
      </c>
      <c r="B556" s="260" t="s">
        <v>2716</v>
      </c>
      <c r="C556" s="255" t="s">
        <v>668</v>
      </c>
      <c r="D556" s="241"/>
      <c r="E556" s="241"/>
    </row>
    <row r="557">
      <c r="A557" s="255">
        <v>116.0</v>
      </c>
      <c r="B557" s="260" t="s">
        <v>2717</v>
      </c>
      <c r="C557" s="255" t="s">
        <v>1473</v>
      </c>
      <c r="D557" s="241"/>
      <c r="E557" s="241"/>
    </row>
    <row r="558">
      <c r="A558" s="255">
        <v>117.0</v>
      </c>
      <c r="B558" s="260" t="s">
        <v>2719</v>
      </c>
      <c r="C558" s="255" t="s">
        <v>749</v>
      </c>
      <c r="D558" s="241"/>
      <c r="E558" s="241"/>
    </row>
    <row r="559">
      <c r="A559" s="255">
        <v>118.0</v>
      </c>
      <c r="B559" s="260" t="s">
        <v>2724</v>
      </c>
      <c r="C559" s="255" t="s">
        <v>1095</v>
      </c>
      <c r="D559" s="241"/>
      <c r="E559" s="241"/>
    </row>
    <row r="560">
      <c r="A560" s="255">
        <v>119.0</v>
      </c>
      <c r="B560" s="260" t="s">
        <v>2725</v>
      </c>
      <c r="C560" s="255" t="s">
        <v>912</v>
      </c>
      <c r="D560" s="241"/>
      <c r="E560" s="241"/>
    </row>
    <row r="561">
      <c r="A561" s="255">
        <v>120.0</v>
      </c>
      <c r="B561" s="260" t="s">
        <v>2726</v>
      </c>
      <c r="C561" s="255" t="s">
        <v>2346</v>
      </c>
      <c r="D561" s="241"/>
      <c r="E561" s="241"/>
    </row>
    <row r="562">
      <c r="A562" s="279"/>
      <c r="B562" s="261"/>
      <c r="C562" s="261"/>
      <c r="D562" s="241"/>
      <c r="E562" s="241"/>
    </row>
    <row r="563">
      <c r="A563" s="255">
        <v>121.0</v>
      </c>
      <c r="B563" s="260" t="s">
        <v>2727</v>
      </c>
      <c r="C563" s="255" t="s">
        <v>1245</v>
      </c>
      <c r="D563" s="241"/>
      <c r="E563" s="241"/>
    </row>
    <row r="564">
      <c r="A564" s="255">
        <v>122.0</v>
      </c>
      <c r="B564" s="260" t="s">
        <v>2729</v>
      </c>
      <c r="C564" s="255" t="s">
        <v>656</v>
      </c>
      <c r="D564" s="241"/>
      <c r="E564" s="241"/>
    </row>
    <row r="565">
      <c r="A565" s="255">
        <v>123.0</v>
      </c>
      <c r="B565" s="260" t="s">
        <v>2734</v>
      </c>
      <c r="C565" s="255" t="s">
        <v>1468</v>
      </c>
      <c r="D565" s="241"/>
      <c r="E565" s="241"/>
    </row>
    <row r="566">
      <c r="A566" s="255">
        <v>124.0</v>
      </c>
      <c r="B566" s="260" t="s">
        <v>2735</v>
      </c>
      <c r="C566" s="255" t="s">
        <v>699</v>
      </c>
      <c r="D566" s="241"/>
      <c r="E566" s="241"/>
    </row>
    <row r="567">
      <c r="A567" s="255">
        <v>125.0</v>
      </c>
      <c r="B567" s="260" t="s">
        <v>2737</v>
      </c>
      <c r="C567" s="255" t="s">
        <v>818</v>
      </c>
      <c r="D567" s="241"/>
      <c r="E567" s="241"/>
    </row>
    <row r="568">
      <c r="A568" s="255">
        <v>126.0</v>
      </c>
      <c r="B568" s="260" t="s">
        <v>2742</v>
      </c>
      <c r="C568" s="255" t="s">
        <v>1520</v>
      </c>
      <c r="D568" s="241"/>
      <c r="E568" s="241"/>
    </row>
    <row r="569">
      <c r="A569" s="255">
        <v>127.0</v>
      </c>
      <c r="B569" s="260" t="s">
        <v>2743</v>
      </c>
      <c r="C569" s="255" t="s">
        <v>1486</v>
      </c>
      <c r="D569" s="241"/>
      <c r="E569" s="241"/>
    </row>
    <row r="570">
      <c r="A570" s="255">
        <v>128.0</v>
      </c>
      <c r="B570" s="260" t="s">
        <v>2744</v>
      </c>
      <c r="C570" s="255" t="s">
        <v>1219</v>
      </c>
      <c r="D570" s="241"/>
      <c r="E570" s="241"/>
    </row>
    <row r="571">
      <c r="A571" s="255">
        <v>129.0</v>
      </c>
      <c r="B571" s="260" t="s">
        <v>2749</v>
      </c>
      <c r="C571" s="255" t="s">
        <v>1668</v>
      </c>
      <c r="D571" s="241"/>
      <c r="E571" s="241"/>
    </row>
    <row r="572">
      <c r="A572" s="255">
        <v>130.0</v>
      </c>
      <c r="B572" s="260" t="s">
        <v>2751</v>
      </c>
      <c r="C572" s="255" t="s">
        <v>847</v>
      </c>
      <c r="D572" s="241"/>
      <c r="E572" s="241"/>
    </row>
    <row r="573">
      <c r="A573" s="255">
        <v>131.0</v>
      </c>
      <c r="B573" s="260" t="s">
        <v>2752</v>
      </c>
      <c r="C573" s="255" t="s">
        <v>644</v>
      </c>
      <c r="D573" s="241"/>
      <c r="E573" s="241"/>
    </row>
    <row r="574">
      <c r="A574" s="255">
        <v>132.0</v>
      </c>
      <c r="B574" s="260" t="s">
        <v>2754</v>
      </c>
      <c r="C574" s="255" t="s">
        <v>1060</v>
      </c>
      <c r="D574" s="241"/>
      <c r="E574" s="241"/>
    </row>
    <row r="575">
      <c r="A575" s="279"/>
      <c r="B575" s="261"/>
      <c r="C575" s="261"/>
      <c r="D575" s="241"/>
      <c r="E575" s="241"/>
    </row>
    <row r="576">
      <c r="A576" s="255">
        <v>133.0</v>
      </c>
      <c r="B576" s="260" t="s">
        <v>2759</v>
      </c>
      <c r="C576" s="255" t="s">
        <v>460</v>
      </c>
      <c r="D576" s="241"/>
      <c r="E576" s="241"/>
    </row>
    <row r="577">
      <c r="A577" s="255">
        <v>134.0</v>
      </c>
      <c r="B577" s="260" t="s">
        <v>2760</v>
      </c>
      <c r="C577" s="255" t="s">
        <v>704</v>
      </c>
      <c r="D577" s="241"/>
      <c r="E577" s="241"/>
    </row>
    <row r="578">
      <c r="A578" s="255">
        <v>135.0</v>
      </c>
      <c r="B578" s="260" t="s">
        <v>2765</v>
      </c>
      <c r="C578" s="255" t="s">
        <v>576</v>
      </c>
      <c r="D578" s="241"/>
      <c r="E578" s="241"/>
    </row>
    <row r="579">
      <c r="A579" s="255">
        <v>136.0</v>
      </c>
      <c r="B579" s="260" t="s">
        <v>2767</v>
      </c>
      <c r="C579" s="255" t="s">
        <v>424</v>
      </c>
      <c r="D579" s="241"/>
      <c r="E579" s="241"/>
    </row>
    <row r="580">
      <c r="A580" s="255">
        <v>137.0</v>
      </c>
      <c r="B580" s="260" t="s">
        <v>2768</v>
      </c>
      <c r="C580" s="255" t="s">
        <v>584</v>
      </c>
      <c r="D580" s="241"/>
      <c r="E580" s="241"/>
    </row>
    <row r="581">
      <c r="A581" s="255">
        <v>138.0</v>
      </c>
      <c r="B581" s="260" t="s">
        <v>2770</v>
      </c>
      <c r="C581" s="255" t="s">
        <v>1144</v>
      </c>
      <c r="D581" s="241"/>
      <c r="E581" s="241"/>
    </row>
    <row r="582">
      <c r="A582" s="255">
        <v>139.0</v>
      </c>
      <c r="B582" s="260" t="s">
        <v>2775</v>
      </c>
      <c r="C582" s="255" t="s">
        <v>985</v>
      </c>
      <c r="D582" s="241"/>
      <c r="E582" s="241"/>
    </row>
    <row r="583">
      <c r="A583" s="255">
        <v>140.0</v>
      </c>
      <c r="B583" s="260" t="s">
        <v>2776</v>
      </c>
      <c r="C583" s="255" t="s">
        <v>1107</v>
      </c>
      <c r="D583" s="241"/>
      <c r="E583" s="241"/>
    </row>
    <row r="584">
      <c r="A584" s="255">
        <v>141.0</v>
      </c>
      <c r="B584" s="260" t="s">
        <v>2777</v>
      </c>
      <c r="C584" s="255" t="s">
        <v>927</v>
      </c>
      <c r="D584" s="241"/>
      <c r="E584" s="241"/>
    </row>
    <row r="585">
      <c r="A585" s="255">
        <v>142.0</v>
      </c>
      <c r="B585" s="260" t="s">
        <v>2783</v>
      </c>
      <c r="C585" s="255" t="s">
        <v>1385</v>
      </c>
      <c r="D585" s="241"/>
      <c r="E585" s="241"/>
    </row>
    <row r="586">
      <c r="A586" s="255">
        <v>143.0</v>
      </c>
      <c r="B586" s="260" t="s">
        <v>2784</v>
      </c>
      <c r="C586" s="255" t="s">
        <v>908</v>
      </c>
      <c r="D586" s="241"/>
      <c r="E586" s="241"/>
    </row>
    <row r="587">
      <c r="A587" s="255">
        <v>144.0</v>
      </c>
      <c r="B587" s="260" t="s">
        <v>2785</v>
      </c>
      <c r="C587" s="255" t="s">
        <v>652</v>
      </c>
      <c r="D587" s="241"/>
      <c r="E587" s="241"/>
    </row>
    <row r="588">
      <c r="A588" s="279"/>
      <c r="B588" s="261"/>
      <c r="C588" s="261"/>
      <c r="D588" s="241"/>
      <c r="E588" s="241"/>
    </row>
    <row r="589">
      <c r="A589" s="255">
        <v>145.0</v>
      </c>
      <c r="B589" s="260" t="s">
        <v>2791</v>
      </c>
      <c r="C589" s="255" t="s">
        <v>492</v>
      </c>
      <c r="D589" s="241"/>
      <c r="E589" s="241"/>
    </row>
    <row r="590">
      <c r="A590" s="255">
        <v>146.0</v>
      </c>
      <c r="B590" s="260" t="s">
        <v>2792</v>
      </c>
      <c r="C590" s="255" t="s">
        <v>1103</v>
      </c>
      <c r="D590" s="241"/>
      <c r="E590" s="241"/>
    </row>
    <row r="591">
      <c r="A591" s="255">
        <v>147.0</v>
      </c>
      <c r="B591" s="260" t="s">
        <v>2795</v>
      </c>
      <c r="C591" s="255" t="s">
        <v>2797</v>
      </c>
      <c r="D591" s="241"/>
      <c r="E591" s="241"/>
    </row>
    <row r="592">
      <c r="A592" s="255">
        <v>148.0</v>
      </c>
      <c r="B592" s="260" t="s">
        <v>2800</v>
      </c>
      <c r="C592" s="255" t="s">
        <v>440</v>
      </c>
      <c r="D592" s="241"/>
      <c r="E592" s="241"/>
    </row>
    <row r="593">
      <c r="A593" s="255">
        <v>149.0</v>
      </c>
      <c r="B593" s="260" t="s">
        <v>2801</v>
      </c>
      <c r="C593" s="255" t="s">
        <v>892</v>
      </c>
      <c r="D593" s="241"/>
      <c r="E593" s="241"/>
    </row>
    <row r="594">
      <c r="A594" s="255">
        <v>150.0</v>
      </c>
      <c r="B594" s="260" t="s">
        <v>2802</v>
      </c>
      <c r="C594" s="255" t="s">
        <v>935</v>
      </c>
      <c r="D594" s="241"/>
      <c r="E594" s="241"/>
    </row>
    <row r="595">
      <c r="A595" s="255">
        <v>151.0</v>
      </c>
      <c r="B595" s="260" t="s">
        <v>2807</v>
      </c>
      <c r="C595" s="255" t="s">
        <v>416</v>
      </c>
      <c r="D595" s="241"/>
      <c r="E595" s="241"/>
    </row>
    <row r="596">
      <c r="A596" s="255">
        <v>152.0</v>
      </c>
      <c r="B596" s="260" t="s">
        <v>2809</v>
      </c>
      <c r="C596" s="255" t="s">
        <v>1427</v>
      </c>
      <c r="D596" s="241"/>
      <c r="E596" s="241"/>
    </row>
    <row r="597">
      <c r="A597" s="255">
        <v>153.0</v>
      </c>
      <c r="B597" s="260" t="s">
        <v>2810</v>
      </c>
      <c r="C597" s="255" t="s">
        <v>711</v>
      </c>
      <c r="D597" s="241"/>
      <c r="E597" s="241"/>
    </row>
    <row r="598">
      <c r="A598" s="255">
        <v>154.0</v>
      </c>
      <c r="B598" s="260" t="s">
        <v>2811</v>
      </c>
      <c r="C598" s="255" t="s">
        <v>1031</v>
      </c>
      <c r="D598" s="241"/>
      <c r="E598" s="241"/>
    </row>
    <row r="599">
      <c r="A599" s="255">
        <v>155.0</v>
      </c>
      <c r="B599" s="260" t="s">
        <v>2817</v>
      </c>
      <c r="C599" s="255" t="s">
        <v>1170</v>
      </c>
      <c r="D599" s="241"/>
      <c r="E599" s="241"/>
    </row>
    <row r="600">
      <c r="A600" s="255">
        <v>156.0</v>
      </c>
      <c r="B600" s="260" t="s">
        <v>2818</v>
      </c>
      <c r="C600" s="255" t="s">
        <v>1350</v>
      </c>
      <c r="D600" s="241"/>
      <c r="E600" s="241"/>
    </row>
    <row r="601">
      <c r="A601" s="279"/>
      <c r="B601" s="261"/>
      <c r="C601" s="261"/>
      <c r="D601" s="241"/>
      <c r="E601" s="241"/>
    </row>
    <row r="602">
      <c r="A602" s="255">
        <v>157.0</v>
      </c>
      <c r="B602" s="260" t="s">
        <v>2821</v>
      </c>
      <c r="C602" s="255" t="s">
        <v>1139</v>
      </c>
      <c r="D602" s="241"/>
      <c r="E602" s="241"/>
    </row>
    <row r="603">
      <c r="A603" s="255">
        <v>158.0</v>
      </c>
      <c r="B603" s="260" t="s">
        <v>2825</v>
      </c>
      <c r="C603" s="255" t="s">
        <v>823</v>
      </c>
      <c r="D603" s="241"/>
      <c r="E603" s="241"/>
    </row>
    <row r="604">
      <c r="A604" s="255">
        <v>159.0</v>
      </c>
      <c r="B604" s="260" t="s">
        <v>2826</v>
      </c>
      <c r="C604" s="255" t="s">
        <v>1805</v>
      </c>
      <c r="D604" s="241"/>
      <c r="E604" s="241"/>
    </row>
    <row r="605">
      <c r="A605" s="255">
        <v>160.0</v>
      </c>
      <c r="B605" s="260" t="s">
        <v>2827</v>
      </c>
      <c r="C605" s="255" t="s">
        <v>520</v>
      </c>
      <c r="D605" s="241"/>
      <c r="E605" s="241"/>
    </row>
    <row r="606">
      <c r="A606" s="255">
        <v>161.0</v>
      </c>
      <c r="B606" s="260" t="s">
        <v>2832</v>
      </c>
      <c r="C606" s="255" t="s">
        <v>2380</v>
      </c>
      <c r="D606" s="241"/>
      <c r="E606" s="241"/>
    </row>
    <row r="607">
      <c r="A607" s="255">
        <v>162.0</v>
      </c>
      <c r="B607" s="260" t="s">
        <v>2834</v>
      </c>
      <c r="C607" s="255" t="s">
        <v>1463</v>
      </c>
      <c r="D607" s="241"/>
      <c r="E607" s="241"/>
    </row>
    <row r="608">
      <c r="A608" s="255">
        <v>163.0</v>
      </c>
      <c r="B608" s="260" t="s">
        <v>2835</v>
      </c>
      <c r="C608" s="255" t="s">
        <v>1232</v>
      </c>
      <c r="D608" s="241"/>
      <c r="E608" s="241"/>
    </row>
    <row r="609">
      <c r="A609" s="255">
        <v>164.0</v>
      </c>
      <c r="B609" s="260" t="s">
        <v>2841</v>
      </c>
      <c r="C609" s="255" t="s">
        <v>778</v>
      </c>
      <c r="D609" s="241"/>
      <c r="E609" s="241"/>
    </row>
    <row r="610">
      <c r="A610" s="255">
        <v>165.0</v>
      </c>
      <c r="B610" s="260" t="s">
        <v>2842</v>
      </c>
      <c r="C610" s="255" t="s">
        <v>572</v>
      </c>
      <c r="D610" s="241"/>
      <c r="E610" s="241"/>
    </row>
    <row r="611">
      <c r="A611" s="255">
        <v>166.0</v>
      </c>
      <c r="B611" s="260" t="s">
        <v>2843</v>
      </c>
      <c r="C611" s="255" t="s">
        <v>1166</v>
      </c>
      <c r="D611" s="241"/>
      <c r="E611" s="241"/>
    </row>
    <row r="612">
      <c r="A612" s="255">
        <v>167.0</v>
      </c>
      <c r="B612" s="260" t="s">
        <v>2849</v>
      </c>
      <c r="C612" s="255" t="s">
        <v>1037</v>
      </c>
      <c r="D612" s="241"/>
      <c r="E612" s="241"/>
    </row>
    <row r="613">
      <c r="A613" s="255">
        <v>168.0</v>
      </c>
      <c r="B613" s="260" t="s">
        <v>2850</v>
      </c>
      <c r="C613" s="255" t="s">
        <v>1301</v>
      </c>
      <c r="D613" s="241"/>
      <c r="E613" s="241"/>
    </row>
    <row r="614">
      <c r="A614" s="261"/>
      <c r="B614" s="218"/>
      <c r="C614" s="261"/>
      <c r="D614" s="241"/>
      <c r="E614" s="241"/>
    </row>
    <row r="615">
      <c r="A615" s="280"/>
      <c r="B615" s="281"/>
      <c r="C615" s="282"/>
      <c r="D615" s="241"/>
      <c r="E615" s="241"/>
    </row>
    <row r="616">
      <c r="A616" s="283" t="s">
        <v>2861</v>
      </c>
    </row>
    <row r="617">
      <c r="A617" s="279"/>
      <c r="B617" s="261"/>
      <c r="C617" s="261"/>
      <c r="D617" s="241"/>
      <c r="E617" s="241"/>
    </row>
    <row r="618">
      <c r="A618" s="284">
        <v>169.0</v>
      </c>
      <c r="B618" s="284" t="s">
        <v>2867</v>
      </c>
      <c r="C618" s="284" t="s">
        <v>2868</v>
      </c>
      <c r="D618" s="241"/>
      <c r="E618" s="241"/>
    </row>
    <row r="619">
      <c r="A619" s="284">
        <v>170.0</v>
      </c>
      <c r="B619" s="284" t="s">
        <v>2869</v>
      </c>
      <c r="C619" s="284" t="s">
        <v>2870</v>
      </c>
      <c r="D619" s="241"/>
      <c r="E619" s="241"/>
    </row>
    <row r="620">
      <c r="A620" s="284">
        <v>171.0</v>
      </c>
      <c r="B620" s="284" t="s">
        <v>2876</v>
      </c>
      <c r="C620" s="284" t="s">
        <v>1272</v>
      </c>
      <c r="D620" s="241"/>
      <c r="E620" s="241"/>
    </row>
    <row r="621">
      <c r="A621" s="284">
        <v>172.0</v>
      </c>
      <c r="B621" s="284" t="s">
        <v>2877</v>
      </c>
      <c r="C621" s="284" t="s">
        <v>2225</v>
      </c>
      <c r="D621" s="241"/>
      <c r="E621" s="241"/>
    </row>
    <row r="622">
      <c r="A622" s="284">
        <v>173.0</v>
      </c>
      <c r="B622" s="284" t="s">
        <v>2878</v>
      </c>
      <c r="C622" s="284" t="s">
        <v>1596</v>
      </c>
      <c r="D622" s="241"/>
      <c r="E622" s="241"/>
    </row>
    <row r="623">
      <c r="A623" s="284">
        <v>174.0</v>
      </c>
      <c r="B623" s="284" t="s">
        <v>2882</v>
      </c>
      <c r="C623" s="284" t="s">
        <v>1659</v>
      </c>
      <c r="D623" s="241"/>
      <c r="E623" s="241"/>
    </row>
    <row r="624">
      <c r="A624" s="284">
        <v>175.0</v>
      </c>
      <c r="B624" s="284" t="s">
        <v>2885</v>
      </c>
      <c r="C624" s="284" t="s">
        <v>2886</v>
      </c>
      <c r="D624" s="241"/>
      <c r="E624" s="241"/>
    </row>
    <row r="625">
      <c r="A625" s="284">
        <v>176.0</v>
      </c>
      <c r="B625" s="284" t="s">
        <v>2887</v>
      </c>
      <c r="C625" s="284" t="s">
        <v>1846</v>
      </c>
      <c r="D625" s="241"/>
      <c r="E625" s="241"/>
    </row>
    <row r="626">
      <c r="A626" s="284">
        <v>177.0</v>
      </c>
      <c r="B626" s="284" t="s">
        <v>2890</v>
      </c>
      <c r="C626" s="284" t="s">
        <v>2154</v>
      </c>
      <c r="D626" s="241"/>
      <c r="E626" s="241"/>
    </row>
    <row r="627">
      <c r="A627" s="284">
        <v>178.0</v>
      </c>
      <c r="B627" s="284" t="s">
        <v>2894</v>
      </c>
      <c r="C627" s="284" t="s">
        <v>1638</v>
      </c>
      <c r="D627" s="241"/>
      <c r="E627" s="241"/>
    </row>
    <row r="628">
      <c r="A628" s="284">
        <v>179.0</v>
      </c>
      <c r="B628" s="284" t="s">
        <v>2895</v>
      </c>
      <c r="C628" s="284" t="s">
        <v>2434</v>
      </c>
      <c r="D628" s="241"/>
      <c r="E628" s="241"/>
    </row>
    <row r="629">
      <c r="A629" s="284">
        <v>180.0</v>
      </c>
      <c r="B629" s="284" t="s">
        <v>2896</v>
      </c>
      <c r="C629" s="284" t="s">
        <v>2523</v>
      </c>
      <c r="D629" s="241"/>
      <c r="E629" s="241"/>
    </row>
    <row r="630">
      <c r="A630" s="285"/>
      <c r="B630" s="286"/>
      <c r="C630" s="286"/>
      <c r="D630" s="241"/>
      <c r="E630" s="241"/>
    </row>
    <row r="631">
      <c r="A631" s="284">
        <v>181.0</v>
      </c>
      <c r="B631" s="284" t="s">
        <v>2902</v>
      </c>
      <c r="C631" s="284" t="s">
        <v>2171</v>
      </c>
      <c r="D631" s="241"/>
      <c r="E631" s="241"/>
    </row>
    <row r="632">
      <c r="A632" s="284">
        <v>182.0</v>
      </c>
      <c r="B632" s="284" t="s">
        <v>2904</v>
      </c>
      <c r="C632" s="284" t="s">
        <v>2906</v>
      </c>
      <c r="D632" s="241"/>
      <c r="E632" s="241"/>
    </row>
    <row r="633">
      <c r="A633" s="284">
        <v>183.0</v>
      </c>
      <c r="B633" s="284" t="s">
        <v>2910</v>
      </c>
      <c r="C633" s="284" t="s">
        <v>2556</v>
      </c>
      <c r="D633" s="241"/>
      <c r="E633" s="241"/>
    </row>
    <row r="634">
      <c r="A634" s="284">
        <v>184.0</v>
      </c>
      <c r="B634" s="284" t="s">
        <v>2911</v>
      </c>
      <c r="C634" s="284" t="s">
        <v>2096</v>
      </c>
      <c r="D634" s="241"/>
      <c r="E634" s="241"/>
    </row>
    <row r="635">
      <c r="A635" s="284">
        <v>185.0</v>
      </c>
      <c r="B635" s="284" t="s">
        <v>2913</v>
      </c>
      <c r="C635" s="284" t="s">
        <v>2915</v>
      </c>
      <c r="D635" s="241"/>
      <c r="E635" s="241"/>
    </row>
    <row r="636">
      <c r="A636" s="284">
        <v>186.0</v>
      </c>
      <c r="B636" s="284" t="s">
        <v>2919</v>
      </c>
      <c r="C636" s="284" t="s">
        <v>2920</v>
      </c>
      <c r="D636" s="241"/>
      <c r="E636" s="241"/>
    </row>
    <row r="637">
      <c r="A637" s="284">
        <v>187.0</v>
      </c>
      <c r="B637" s="284" t="s">
        <v>2921</v>
      </c>
      <c r="C637" s="284" t="s">
        <v>2922</v>
      </c>
      <c r="D637" s="241"/>
      <c r="E637" s="241"/>
    </row>
    <row r="638">
      <c r="A638" s="284">
        <v>188.0</v>
      </c>
      <c r="B638" s="284" t="s">
        <v>2923</v>
      </c>
      <c r="C638" s="284" t="s">
        <v>1947</v>
      </c>
      <c r="D638" s="241"/>
      <c r="E638" s="241"/>
    </row>
    <row r="639">
      <c r="A639" s="284">
        <v>189.0</v>
      </c>
      <c r="B639" s="284" t="s">
        <v>2929</v>
      </c>
      <c r="C639" s="284" t="s">
        <v>1908</v>
      </c>
      <c r="D639" s="241"/>
      <c r="E639" s="241"/>
    </row>
    <row r="640">
      <c r="A640" s="284">
        <v>190.0</v>
      </c>
      <c r="B640" s="284" t="s">
        <v>2930</v>
      </c>
      <c r="C640" s="284" t="s">
        <v>1507</v>
      </c>
      <c r="D640" s="241"/>
      <c r="E640" s="241"/>
    </row>
    <row r="641">
      <c r="A641" s="284">
        <v>191.0</v>
      </c>
      <c r="B641" s="284" t="s">
        <v>2931</v>
      </c>
      <c r="C641" s="284" t="s">
        <v>2007</v>
      </c>
      <c r="D641" s="241"/>
      <c r="E641" s="241"/>
    </row>
    <row r="642">
      <c r="A642" s="284">
        <v>192.0</v>
      </c>
      <c r="B642" s="284" t="s">
        <v>2937</v>
      </c>
      <c r="C642" s="284" t="s">
        <v>1089</v>
      </c>
      <c r="D642" s="241"/>
      <c r="E642" s="241"/>
    </row>
    <row r="643">
      <c r="A643" s="285"/>
      <c r="B643" s="286"/>
      <c r="C643" s="286"/>
      <c r="D643" s="241"/>
      <c r="E643" s="241"/>
    </row>
    <row r="644">
      <c r="A644" s="284">
        <v>193.0</v>
      </c>
      <c r="B644" s="287" t="s">
        <v>2938</v>
      </c>
      <c r="C644" s="284" t="s">
        <v>1464</v>
      </c>
      <c r="D644" s="241"/>
      <c r="E644" s="241"/>
    </row>
    <row r="645">
      <c r="A645" s="284">
        <v>194.0</v>
      </c>
      <c r="B645" s="287" t="s">
        <v>2944</v>
      </c>
      <c r="C645" s="284" t="s">
        <v>1641</v>
      </c>
      <c r="D645" s="241"/>
      <c r="E645" s="241"/>
    </row>
    <row r="646">
      <c r="A646" s="284">
        <v>195.0</v>
      </c>
      <c r="B646" s="287" t="s">
        <v>2945</v>
      </c>
      <c r="C646" s="284" t="s">
        <v>2335</v>
      </c>
      <c r="D646" s="241"/>
      <c r="E646" s="241"/>
    </row>
    <row r="647">
      <c r="A647" s="284">
        <v>196.0</v>
      </c>
      <c r="B647" s="287" t="s">
        <v>2946</v>
      </c>
      <c r="C647" s="284" t="s">
        <v>2947</v>
      </c>
      <c r="D647" s="241"/>
      <c r="E647" s="241"/>
    </row>
    <row r="648">
      <c r="A648" s="284">
        <v>197.0</v>
      </c>
      <c r="B648" s="287" t="s">
        <v>2952</v>
      </c>
      <c r="C648" s="284" t="s">
        <v>1628</v>
      </c>
      <c r="D648" s="241"/>
      <c r="E648" s="241"/>
    </row>
    <row r="649">
      <c r="A649" s="284">
        <v>198.0</v>
      </c>
      <c r="B649" s="287" t="s">
        <v>2954</v>
      </c>
      <c r="C649" s="284" t="s">
        <v>1203</v>
      </c>
      <c r="D649" s="241"/>
      <c r="E649" s="241"/>
    </row>
    <row r="650">
      <c r="A650" s="284">
        <v>199.0</v>
      </c>
      <c r="B650" s="287" t="s">
        <v>2955</v>
      </c>
      <c r="C650" s="284" t="s">
        <v>1632</v>
      </c>
      <c r="D650" s="241"/>
      <c r="E650" s="241"/>
    </row>
    <row r="651">
      <c r="A651" s="284">
        <v>200.0</v>
      </c>
      <c r="B651" s="287" t="s">
        <v>2960</v>
      </c>
      <c r="C651" s="284" t="s">
        <v>2528</v>
      </c>
      <c r="D651" s="241"/>
      <c r="E651" s="241"/>
    </row>
    <row r="652">
      <c r="A652" s="284">
        <v>201.0</v>
      </c>
      <c r="B652" s="287" t="s">
        <v>2962</v>
      </c>
      <c r="C652" s="284" t="s">
        <v>2150</v>
      </c>
      <c r="D652" s="241"/>
      <c r="E652" s="241"/>
    </row>
    <row r="653">
      <c r="A653" s="284">
        <v>202.0</v>
      </c>
      <c r="B653" s="287" t="s">
        <v>2963</v>
      </c>
      <c r="C653" s="284" t="s">
        <v>944</v>
      </c>
      <c r="D653" s="241"/>
      <c r="E653" s="241"/>
    </row>
    <row r="654">
      <c r="A654" s="284">
        <v>203.0</v>
      </c>
      <c r="B654" s="287" t="s">
        <v>2964</v>
      </c>
      <c r="C654" s="284" t="s">
        <v>2504</v>
      </c>
      <c r="D654" s="241"/>
      <c r="E654" s="241"/>
    </row>
    <row r="655">
      <c r="A655" s="284">
        <v>204.0</v>
      </c>
      <c r="B655" s="287" t="s">
        <v>2969</v>
      </c>
      <c r="C655" s="284" t="s">
        <v>2212</v>
      </c>
      <c r="D655" s="241"/>
      <c r="E655" s="241"/>
    </row>
    <row r="656">
      <c r="A656" s="285"/>
      <c r="B656" s="286"/>
      <c r="C656" s="286"/>
      <c r="D656" s="241"/>
      <c r="E656" s="241"/>
    </row>
    <row r="657">
      <c r="A657" s="284">
        <v>205.0</v>
      </c>
      <c r="B657" s="287" t="s">
        <v>2971</v>
      </c>
      <c r="C657" s="284" t="s">
        <v>2080</v>
      </c>
      <c r="D657" s="241"/>
      <c r="E657" s="241"/>
    </row>
    <row r="658">
      <c r="A658" s="284">
        <v>206.0</v>
      </c>
      <c r="B658" s="287" t="s">
        <v>2972</v>
      </c>
      <c r="C658" s="284" t="s">
        <v>2446</v>
      </c>
      <c r="D658" s="241"/>
      <c r="E658" s="241"/>
    </row>
    <row r="659">
      <c r="A659" s="284">
        <v>207.0</v>
      </c>
      <c r="B659" s="287" t="s">
        <v>2977</v>
      </c>
      <c r="C659" s="284" t="s">
        <v>1653</v>
      </c>
      <c r="D659" s="241"/>
      <c r="E659" s="241"/>
    </row>
    <row r="660">
      <c r="A660" s="284">
        <v>208.0</v>
      </c>
      <c r="B660" s="287" t="s">
        <v>2979</v>
      </c>
      <c r="C660" s="284" t="s">
        <v>1402</v>
      </c>
      <c r="D660" s="241"/>
      <c r="E660" s="241"/>
    </row>
    <row r="661">
      <c r="A661" s="284">
        <v>209.0</v>
      </c>
      <c r="B661" s="287" t="s">
        <v>2980</v>
      </c>
      <c r="C661" s="284" t="s">
        <v>2981</v>
      </c>
      <c r="D661" s="241"/>
      <c r="E661" s="241"/>
    </row>
    <row r="662">
      <c r="A662" s="284">
        <v>210.0</v>
      </c>
      <c r="B662" s="287" t="s">
        <v>2986</v>
      </c>
      <c r="C662" s="284" t="s">
        <v>2988</v>
      </c>
      <c r="D662" s="241"/>
      <c r="E662" s="241"/>
    </row>
    <row r="663">
      <c r="A663" s="284">
        <v>211.0</v>
      </c>
      <c r="B663" s="287" t="s">
        <v>2989</v>
      </c>
      <c r="C663" s="284" t="s">
        <v>742</v>
      </c>
      <c r="D663" s="241"/>
      <c r="E663" s="241"/>
    </row>
    <row r="664">
      <c r="A664" s="284">
        <v>212.0</v>
      </c>
      <c r="B664" s="287" t="s">
        <v>2990</v>
      </c>
      <c r="C664" s="284" t="s">
        <v>1614</v>
      </c>
      <c r="D664" s="241"/>
      <c r="E664" s="241"/>
    </row>
    <row r="665">
      <c r="A665" s="284">
        <v>213.0</v>
      </c>
      <c r="B665" s="287" t="s">
        <v>2996</v>
      </c>
      <c r="C665" s="284" t="s">
        <v>1959</v>
      </c>
      <c r="D665" s="241"/>
      <c r="E665" s="241"/>
    </row>
    <row r="666">
      <c r="A666" s="284">
        <v>214.0</v>
      </c>
      <c r="B666" s="287" t="s">
        <v>2997</v>
      </c>
      <c r="C666" s="284" t="s">
        <v>1777</v>
      </c>
      <c r="D666" s="241"/>
      <c r="E666" s="241"/>
    </row>
    <row r="667">
      <c r="A667" s="284">
        <v>215.0</v>
      </c>
      <c r="B667" s="287" t="s">
        <v>2998</v>
      </c>
      <c r="C667" s="284" t="s">
        <v>1597</v>
      </c>
      <c r="D667" s="241"/>
      <c r="E667" s="241"/>
    </row>
    <row r="668">
      <c r="A668" s="284">
        <v>216.0</v>
      </c>
      <c r="B668" s="287" t="s">
        <v>3003</v>
      </c>
      <c r="C668" s="284" t="s">
        <v>1624</v>
      </c>
      <c r="D668" s="241"/>
      <c r="E668" s="241"/>
    </row>
    <row r="669">
      <c r="A669" s="285"/>
      <c r="B669" s="286"/>
      <c r="C669" s="286"/>
      <c r="D669" s="241"/>
      <c r="E669" s="241"/>
    </row>
    <row r="670">
      <c r="A670" s="284">
        <v>217.0</v>
      </c>
      <c r="B670" s="287" t="s">
        <v>3005</v>
      </c>
      <c r="C670" s="284" t="s">
        <v>1240</v>
      </c>
      <c r="D670" s="241"/>
      <c r="E670" s="241"/>
    </row>
    <row r="671">
      <c r="A671" s="284">
        <v>218.0</v>
      </c>
      <c r="B671" s="287" t="s">
        <v>3006</v>
      </c>
      <c r="C671" s="284" t="s">
        <v>2457</v>
      </c>
      <c r="D671" s="241"/>
      <c r="E671" s="241"/>
    </row>
    <row r="672">
      <c r="A672" s="284">
        <v>219.0</v>
      </c>
      <c r="B672" s="287" t="s">
        <v>3012</v>
      </c>
      <c r="C672" s="284" t="s">
        <v>2204</v>
      </c>
      <c r="D672" s="241"/>
      <c r="E672" s="241"/>
    </row>
    <row r="673">
      <c r="A673" s="284">
        <v>220.0</v>
      </c>
      <c r="B673" s="287" t="s">
        <v>3013</v>
      </c>
      <c r="C673" s="284" t="s">
        <v>2404</v>
      </c>
      <c r="D673" s="241"/>
      <c r="E673" s="241"/>
    </row>
    <row r="674">
      <c r="A674" s="284">
        <v>221.0</v>
      </c>
      <c r="B674" s="287" t="s">
        <v>3014</v>
      </c>
      <c r="C674" s="284" t="s">
        <v>2565</v>
      </c>
      <c r="D674" s="241"/>
      <c r="E674" s="241"/>
    </row>
    <row r="675">
      <c r="A675" s="284">
        <v>222.0</v>
      </c>
      <c r="B675" s="287" t="s">
        <v>3019</v>
      </c>
      <c r="C675" s="284" t="s">
        <v>1647</v>
      </c>
      <c r="D675" s="241"/>
      <c r="E675" s="241"/>
    </row>
    <row r="676">
      <c r="A676" s="284">
        <v>223.0</v>
      </c>
      <c r="B676" s="287" t="s">
        <v>3021</v>
      </c>
      <c r="C676" s="284" t="s">
        <v>3022</v>
      </c>
      <c r="D676" s="241"/>
      <c r="E676" s="241"/>
    </row>
    <row r="677">
      <c r="A677" s="284">
        <v>224.0</v>
      </c>
      <c r="B677" s="287" t="s">
        <v>3023</v>
      </c>
      <c r="C677" s="284" t="s">
        <v>3024</v>
      </c>
      <c r="D677" s="241"/>
      <c r="E677" s="241"/>
    </row>
    <row r="678">
      <c r="A678" s="284">
        <v>225.0</v>
      </c>
      <c r="B678" s="287" t="s">
        <v>3027</v>
      </c>
      <c r="C678" s="284" t="s">
        <v>1568</v>
      </c>
      <c r="D678" s="241"/>
      <c r="E678" s="241"/>
    </row>
    <row r="679">
      <c r="A679" s="284">
        <v>226.0</v>
      </c>
      <c r="B679" s="287" t="s">
        <v>3031</v>
      </c>
      <c r="C679" s="284" t="s">
        <v>3032</v>
      </c>
      <c r="D679" s="241"/>
      <c r="E679" s="241"/>
    </row>
    <row r="680">
      <c r="A680" s="284">
        <v>227.0</v>
      </c>
      <c r="B680" s="287" t="s">
        <v>3033</v>
      </c>
      <c r="C680" s="284" t="s">
        <v>3034</v>
      </c>
      <c r="D680" s="241"/>
      <c r="E680" s="241"/>
    </row>
    <row r="681">
      <c r="A681" s="284">
        <v>228.0</v>
      </c>
      <c r="B681" s="287" t="s">
        <v>3035</v>
      </c>
      <c r="C681" s="284" t="s">
        <v>3036</v>
      </c>
      <c r="D681" s="241"/>
      <c r="E681" s="241"/>
    </row>
    <row r="682">
      <c r="A682" s="285"/>
      <c r="B682" s="286"/>
      <c r="C682" s="286"/>
      <c r="D682" s="241"/>
      <c r="E682" s="241"/>
    </row>
    <row r="683">
      <c r="A683" s="284">
        <v>229.0</v>
      </c>
      <c r="B683" s="287" t="s">
        <v>3042</v>
      </c>
      <c r="C683" s="284" t="s">
        <v>2000</v>
      </c>
      <c r="D683" s="241"/>
      <c r="E683" s="241"/>
    </row>
    <row r="684">
      <c r="A684" s="284">
        <v>230.0</v>
      </c>
      <c r="B684" s="287" t="s">
        <v>3043</v>
      </c>
      <c r="C684" s="284" t="s">
        <v>2291</v>
      </c>
      <c r="D684" s="241"/>
      <c r="E684" s="241"/>
    </row>
    <row r="685">
      <c r="A685" s="284">
        <v>231.0</v>
      </c>
      <c r="B685" s="287" t="s">
        <v>3045</v>
      </c>
      <c r="C685" s="284" t="s">
        <v>3047</v>
      </c>
      <c r="D685" s="241"/>
      <c r="E685" s="241"/>
    </row>
    <row r="686">
      <c r="A686" s="284">
        <v>232.0</v>
      </c>
      <c r="B686" s="287" t="s">
        <v>3051</v>
      </c>
      <c r="C686" s="284" t="s">
        <v>1497</v>
      </c>
      <c r="D686" s="241"/>
      <c r="E686" s="241"/>
    </row>
    <row r="687">
      <c r="A687" s="284">
        <v>233.0</v>
      </c>
      <c r="B687" s="287" t="s">
        <v>3052</v>
      </c>
      <c r="C687" s="284" t="s">
        <v>1577</v>
      </c>
      <c r="D687" s="241"/>
      <c r="E687" s="241"/>
    </row>
    <row r="688">
      <c r="A688" s="284">
        <v>234.0</v>
      </c>
      <c r="B688" s="287" t="s">
        <v>3055</v>
      </c>
      <c r="C688" s="284" t="s">
        <v>3057</v>
      </c>
      <c r="D688" s="241"/>
      <c r="E688" s="241"/>
    </row>
    <row r="689">
      <c r="A689" s="284">
        <v>235.0</v>
      </c>
      <c r="B689" s="287" t="s">
        <v>3060</v>
      </c>
      <c r="C689" s="284" t="s">
        <v>1701</v>
      </c>
      <c r="D689" s="241"/>
      <c r="E689" s="241"/>
    </row>
    <row r="690">
      <c r="A690" s="284">
        <v>236.0</v>
      </c>
      <c r="B690" s="287" t="s">
        <v>3061</v>
      </c>
      <c r="C690" s="284" t="s">
        <v>2104</v>
      </c>
      <c r="D690" s="241"/>
      <c r="E690" s="241"/>
    </row>
    <row r="691">
      <c r="A691" s="284">
        <v>237.0</v>
      </c>
      <c r="B691" s="287" t="s">
        <v>3067</v>
      </c>
      <c r="C691" s="284" t="s">
        <v>3068</v>
      </c>
      <c r="D691" s="241"/>
      <c r="E691" s="241"/>
    </row>
    <row r="692">
      <c r="A692" s="284">
        <v>238.0</v>
      </c>
      <c r="B692" s="287" t="s">
        <v>3069</v>
      </c>
      <c r="C692" s="284" t="s">
        <v>1260</v>
      </c>
      <c r="D692" s="241"/>
      <c r="E692" s="241"/>
    </row>
    <row r="693">
      <c r="A693" s="284">
        <v>239.0</v>
      </c>
      <c r="B693" s="287" t="s">
        <v>3075</v>
      </c>
      <c r="C693" s="284" t="s">
        <v>3081</v>
      </c>
      <c r="D693" s="241"/>
      <c r="E693" s="241"/>
    </row>
    <row r="694">
      <c r="A694" s="284">
        <v>240.0</v>
      </c>
      <c r="B694" s="287" t="s">
        <v>3083</v>
      </c>
      <c r="C694" s="284" t="s">
        <v>2161</v>
      </c>
      <c r="D694" s="241"/>
      <c r="E694" s="241"/>
    </row>
    <row r="695">
      <c r="A695" s="285"/>
      <c r="B695" s="286"/>
      <c r="C695" s="286"/>
      <c r="D695" s="241"/>
      <c r="E695" s="241"/>
    </row>
    <row r="696">
      <c r="A696" s="284">
        <v>241.0</v>
      </c>
      <c r="B696" s="287" t="s">
        <v>3088</v>
      </c>
      <c r="C696" s="284" t="s">
        <v>1613</v>
      </c>
      <c r="D696" s="241"/>
      <c r="E696" s="241"/>
    </row>
    <row r="697">
      <c r="A697" s="284">
        <v>242.0</v>
      </c>
      <c r="B697" s="287" t="s">
        <v>3094</v>
      </c>
      <c r="C697" s="284" t="s">
        <v>3095</v>
      </c>
      <c r="D697" s="241"/>
      <c r="E697" s="241"/>
    </row>
    <row r="698">
      <c r="A698" s="284">
        <v>243.0</v>
      </c>
      <c r="B698" s="287" t="s">
        <v>3096</v>
      </c>
      <c r="C698" s="284" t="s">
        <v>872</v>
      </c>
      <c r="D698" s="241"/>
      <c r="E698" s="241"/>
    </row>
    <row r="699">
      <c r="A699" s="284">
        <v>244.0</v>
      </c>
      <c r="B699" s="287" t="s">
        <v>3098</v>
      </c>
      <c r="C699" s="284" t="s">
        <v>3100</v>
      </c>
      <c r="D699" s="241"/>
      <c r="E699" s="241"/>
    </row>
    <row r="700">
      <c r="A700" s="284">
        <v>245.0</v>
      </c>
      <c r="B700" s="287" t="s">
        <v>3104</v>
      </c>
      <c r="C700" s="284" t="s">
        <v>1056</v>
      </c>
      <c r="D700" s="241"/>
      <c r="E700" s="241"/>
    </row>
    <row r="701">
      <c r="A701" s="284">
        <v>246.0</v>
      </c>
      <c r="B701" s="287" t="s">
        <v>3105</v>
      </c>
      <c r="C701" s="284" t="s">
        <v>806</v>
      </c>
      <c r="D701" s="241"/>
      <c r="E701" s="241"/>
    </row>
    <row r="702">
      <c r="A702" s="284">
        <v>247.0</v>
      </c>
      <c r="B702" s="287" t="s">
        <v>3110</v>
      </c>
      <c r="C702" s="284" t="s">
        <v>1558</v>
      </c>
      <c r="D702" s="241"/>
      <c r="E702" s="241"/>
    </row>
    <row r="703">
      <c r="A703" s="284">
        <v>248.0</v>
      </c>
      <c r="B703" s="287" t="s">
        <v>3112</v>
      </c>
      <c r="C703" s="284" t="s">
        <v>3113</v>
      </c>
      <c r="D703" s="241"/>
      <c r="E703" s="241"/>
    </row>
    <row r="704">
      <c r="A704" s="284">
        <v>249.0</v>
      </c>
      <c r="B704" s="287" t="s">
        <v>3114</v>
      </c>
      <c r="C704" s="284" t="s">
        <v>2339</v>
      </c>
      <c r="D704" s="241"/>
      <c r="E704" s="241"/>
    </row>
    <row r="705">
      <c r="A705" s="284">
        <v>250.0</v>
      </c>
      <c r="B705" s="287" t="s">
        <v>3120</v>
      </c>
      <c r="C705" s="284" t="s">
        <v>3121</v>
      </c>
      <c r="D705" s="241"/>
      <c r="E705" s="241"/>
    </row>
    <row r="706">
      <c r="A706" s="284">
        <v>251.0</v>
      </c>
      <c r="B706" s="287" t="s">
        <v>3122</v>
      </c>
      <c r="C706" s="284" t="s">
        <v>724</v>
      </c>
      <c r="D706" s="241"/>
      <c r="E706" s="241"/>
    </row>
    <row r="707">
      <c r="A707" s="284">
        <v>252.0</v>
      </c>
      <c r="B707" s="287" t="s">
        <v>3123</v>
      </c>
      <c r="C707" s="284" t="s">
        <v>2461</v>
      </c>
      <c r="D707" s="241"/>
      <c r="E707" s="241"/>
    </row>
    <row r="708">
      <c r="A708" s="285"/>
      <c r="B708" s="286"/>
      <c r="C708" s="286"/>
      <c r="D708" s="241"/>
      <c r="E708" s="241"/>
    </row>
    <row r="709">
      <c r="A709" s="284">
        <v>253.0</v>
      </c>
      <c r="B709" s="287" t="s">
        <v>3129</v>
      </c>
      <c r="C709" s="284" t="s">
        <v>1546</v>
      </c>
      <c r="D709" s="241"/>
      <c r="E709" s="241"/>
    </row>
    <row r="710">
      <c r="A710" s="284">
        <v>254.0</v>
      </c>
      <c r="B710" s="287" t="s">
        <v>3130</v>
      </c>
      <c r="C710" s="284" t="s">
        <v>1011</v>
      </c>
      <c r="D710" s="241"/>
      <c r="E710" s="241"/>
    </row>
    <row r="711">
      <c r="A711" s="284">
        <v>255.0</v>
      </c>
      <c r="B711" s="287" t="s">
        <v>3132</v>
      </c>
      <c r="C711" s="284" t="s">
        <v>2301</v>
      </c>
      <c r="D711" s="241"/>
      <c r="E711" s="241"/>
    </row>
    <row r="712">
      <c r="A712" s="284">
        <v>256.0</v>
      </c>
      <c r="B712" s="287" t="s">
        <v>3137</v>
      </c>
      <c r="C712" s="284" t="s">
        <v>2320</v>
      </c>
      <c r="D712" s="241"/>
      <c r="E712" s="241"/>
    </row>
    <row r="713">
      <c r="A713" s="284">
        <v>257.0</v>
      </c>
      <c r="B713" s="287" t="s">
        <v>3138</v>
      </c>
      <c r="C713" s="284" t="s">
        <v>3139</v>
      </c>
      <c r="D713" s="241"/>
      <c r="E713" s="241"/>
    </row>
    <row r="714">
      <c r="A714" s="284">
        <v>258.0</v>
      </c>
      <c r="B714" s="287" t="s">
        <v>3142</v>
      </c>
      <c r="C714" s="284" t="s">
        <v>3144</v>
      </c>
      <c r="D714" s="241"/>
      <c r="E714" s="241"/>
    </row>
    <row r="715">
      <c r="A715" s="284">
        <v>259.0</v>
      </c>
      <c r="B715" s="287" t="s">
        <v>3147</v>
      </c>
      <c r="C715" s="284" t="s">
        <v>1697</v>
      </c>
      <c r="D715" s="241"/>
      <c r="E715" s="241"/>
    </row>
    <row r="716">
      <c r="A716" s="284">
        <v>260.0</v>
      </c>
      <c r="B716" s="287" t="s">
        <v>3148</v>
      </c>
      <c r="C716" s="284" t="s">
        <v>3149</v>
      </c>
      <c r="D716" s="241"/>
      <c r="E716" s="241"/>
    </row>
    <row r="717">
      <c r="A717" s="284">
        <v>261.0</v>
      </c>
      <c r="B717" s="287" t="s">
        <v>3155</v>
      </c>
      <c r="C717" s="284" t="s">
        <v>3156</v>
      </c>
      <c r="D717" s="241"/>
      <c r="E717" s="241"/>
    </row>
    <row r="718">
      <c r="A718" s="284">
        <v>262.0</v>
      </c>
      <c r="B718" s="287" t="s">
        <v>3157</v>
      </c>
      <c r="C718" s="284" t="s">
        <v>2191</v>
      </c>
      <c r="D718" s="241"/>
      <c r="E718" s="241"/>
    </row>
    <row r="719">
      <c r="A719" s="284">
        <v>263.0</v>
      </c>
      <c r="B719" s="287" t="s">
        <v>3159</v>
      </c>
      <c r="C719" s="284" t="s">
        <v>2279</v>
      </c>
      <c r="D719" s="241"/>
      <c r="E719" s="241"/>
    </row>
    <row r="720">
      <c r="A720" s="284">
        <v>264.0</v>
      </c>
      <c r="B720" s="287" t="s">
        <v>3164</v>
      </c>
      <c r="C720" s="284" t="s">
        <v>2035</v>
      </c>
      <c r="D720" s="241"/>
      <c r="E720" s="241"/>
    </row>
    <row r="721">
      <c r="A721" s="285"/>
      <c r="B721" s="286"/>
      <c r="C721" s="286"/>
      <c r="D721" s="241"/>
      <c r="E721" s="241"/>
    </row>
    <row r="722">
      <c r="A722" s="284">
        <v>265.0</v>
      </c>
      <c r="B722" s="287" t="s">
        <v>3170</v>
      </c>
      <c r="C722" s="284" t="s">
        <v>3171</v>
      </c>
      <c r="D722" s="241"/>
      <c r="E722" s="241"/>
    </row>
    <row r="723">
      <c r="A723" s="284">
        <v>266.0</v>
      </c>
      <c r="B723" s="287" t="s">
        <v>3172</v>
      </c>
      <c r="C723" s="284" t="s">
        <v>1743</v>
      </c>
      <c r="D723" s="241"/>
      <c r="E723" s="241"/>
    </row>
    <row r="724">
      <c r="A724" s="284">
        <v>267.0</v>
      </c>
      <c r="B724" s="287" t="s">
        <v>3173</v>
      </c>
      <c r="C724" s="284" t="s">
        <v>3175</v>
      </c>
      <c r="D724" s="241"/>
      <c r="E724" s="241"/>
    </row>
    <row r="725">
      <c r="A725" s="284">
        <v>268.0</v>
      </c>
      <c r="B725" s="287" t="s">
        <v>3180</v>
      </c>
      <c r="C725" s="284" t="s">
        <v>1951</v>
      </c>
      <c r="D725" s="241"/>
      <c r="E725" s="241"/>
    </row>
    <row r="726">
      <c r="A726" s="284">
        <v>269.0</v>
      </c>
      <c r="B726" s="287" t="s">
        <v>3181</v>
      </c>
      <c r="C726" s="284" t="s">
        <v>2495</v>
      </c>
      <c r="D726" s="241"/>
      <c r="E726" s="241"/>
    </row>
    <row r="727">
      <c r="A727" s="284">
        <v>270.0</v>
      </c>
      <c r="B727" s="287" t="s">
        <v>3183</v>
      </c>
      <c r="C727" s="284" t="s">
        <v>3185</v>
      </c>
      <c r="D727" s="241"/>
      <c r="E727" s="241"/>
    </row>
    <row r="728">
      <c r="A728" s="284">
        <v>271.0</v>
      </c>
      <c r="B728" s="287" t="s">
        <v>3189</v>
      </c>
      <c r="C728" s="284" t="s">
        <v>932</v>
      </c>
      <c r="D728" s="241"/>
      <c r="E728" s="241"/>
    </row>
    <row r="729">
      <c r="A729" s="284">
        <v>272.0</v>
      </c>
      <c r="B729" s="287" t="s">
        <v>3194</v>
      </c>
      <c r="C729" s="284" t="s">
        <v>2253</v>
      </c>
      <c r="D729" s="241"/>
      <c r="E729" s="241"/>
    </row>
    <row r="730">
      <c r="A730" s="284">
        <v>273.0</v>
      </c>
      <c r="B730" s="287" t="s">
        <v>3196</v>
      </c>
      <c r="C730" s="284" t="s">
        <v>2443</v>
      </c>
      <c r="D730" s="241"/>
      <c r="E730" s="241"/>
    </row>
    <row r="731">
      <c r="A731" s="284">
        <v>274.0</v>
      </c>
      <c r="B731" s="287" t="s">
        <v>3197</v>
      </c>
      <c r="C731" s="284" t="s">
        <v>2136</v>
      </c>
      <c r="D731" s="241"/>
      <c r="E731" s="241"/>
    </row>
    <row r="732">
      <c r="A732" s="284">
        <v>275.0</v>
      </c>
      <c r="B732" s="287" t="s">
        <v>3202</v>
      </c>
      <c r="C732" s="284" t="s">
        <v>1684</v>
      </c>
      <c r="D732" s="241"/>
      <c r="E732" s="241"/>
    </row>
    <row r="733">
      <c r="A733" s="284">
        <v>276.0</v>
      </c>
      <c r="B733" s="287" t="s">
        <v>3204</v>
      </c>
      <c r="C733" s="284" t="s">
        <v>2230</v>
      </c>
      <c r="D733" s="241"/>
      <c r="E733" s="241"/>
    </row>
    <row r="734">
      <c r="A734" s="285"/>
      <c r="B734" s="286"/>
      <c r="C734" s="286"/>
      <c r="D734" s="241"/>
      <c r="E734" s="241"/>
    </row>
    <row r="735">
      <c r="A735" s="284">
        <v>277.0</v>
      </c>
      <c r="B735" s="287" t="s">
        <v>3210</v>
      </c>
      <c r="C735" s="284" t="s">
        <v>1513</v>
      </c>
      <c r="D735" s="241"/>
      <c r="E735" s="241"/>
    </row>
    <row r="736">
      <c r="A736" s="284">
        <v>278.0</v>
      </c>
      <c r="B736" s="287" t="s">
        <v>3211</v>
      </c>
      <c r="C736" s="284" t="s">
        <v>2469</v>
      </c>
      <c r="D736" s="241"/>
      <c r="E736" s="241"/>
    </row>
    <row r="737">
      <c r="A737" s="284">
        <v>279.0</v>
      </c>
      <c r="B737" s="287" t="s">
        <v>3216</v>
      </c>
      <c r="C737" s="284" t="s">
        <v>2518</v>
      </c>
      <c r="D737" s="241"/>
      <c r="E737" s="241"/>
    </row>
    <row r="738">
      <c r="A738" s="284">
        <v>280.0</v>
      </c>
      <c r="B738" s="287" t="s">
        <v>3218</v>
      </c>
      <c r="C738" s="284" t="s">
        <v>3219</v>
      </c>
      <c r="D738" s="241"/>
      <c r="E738" s="241"/>
    </row>
    <row r="739">
      <c r="A739" s="284">
        <v>281.0</v>
      </c>
      <c r="B739" s="287" t="s">
        <v>3220</v>
      </c>
      <c r="C739" s="284" t="s">
        <v>1636</v>
      </c>
      <c r="D739" s="241"/>
      <c r="E739" s="241"/>
    </row>
    <row r="740">
      <c r="A740" s="284">
        <v>282.0</v>
      </c>
      <c r="B740" s="287" t="s">
        <v>3226</v>
      </c>
      <c r="C740" s="284" t="s">
        <v>1855</v>
      </c>
      <c r="D740" s="241"/>
      <c r="E740" s="241"/>
    </row>
    <row r="741">
      <c r="A741" s="284">
        <v>283.0</v>
      </c>
      <c r="B741" s="287" t="s">
        <v>3227</v>
      </c>
      <c r="C741" s="284" t="s">
        <v>3228</v>
      </c>
      <c r="D741" s="241"/>
      <c r="E741" s="241"/>
    </row>
    <row r="742">
      <c r="A742" s="284">
        <v>284.0</v>
      </c>
      <c r="B742" s="287" t="s">
        <v>3232</v>
      </c>
      <c r="C742" s="284" t="s">
        <v>1111</v>
      </c>
      <c r="D742" s="241"/>
      <c r="E742" s="241"/>
    </row>
    <row r="743">
      <c r="A743" s="284">
        <v>285.0</v>
      </c>
      <c r="B743" s="287" t="s">
        <v>3235</v>
      </c>
      <c r="C743" s="284" t="s">
        <v>700</v>
      </c>
      <c r="D743" s="241"/>
      <c r="E743" s="241"/>
    </row>
    <row r="744">
      <c r="A744" s="284">
        <v>286.0</v>
      </c>
      <c r="B744" s="287" t="s">
        <v>3236</v>
      </c>
      <c r="C744" s="284" t="s">
        <v>1920</v>
      </c>
      <c r="D744" s="241"/>
      <c r="E744" s="241"/>
    </row>
    <row r="745">
      <c r="A745" s="284">
        <v>287.0</v>
      </c>
      <c r="B745" s="287" t="s">
        <v>3241</v>
      </c>
      <c r="C745" s="284" t="s">
        <v>3243</v>
      </c>
      <c r="D745" s="241"/>
      <c r="E745" s="241"/>
    </row>
    <row r="746">
      <c r="A746" s="284">
        <v>288.0</v>
      </c>
      <c r="B746" s="287" t="s">
        <v>3244</v>
      </c>
      <c r="C746" s="284" t="s">
        <v>2042</v>
      </c>
      <c r="D746" s="241"/>
      <c r="E746" s="241"/>
    </row>
    <row r="747">
      <c r="A747" s="261"/>
      <c r="B747" s="218"/>
      <c r="C747" s="261"/>
      <c r="D747" s="241"/>
      <c r="E747" s="241"/>
    </row>
    <row r="748">
      <c r="A748" s="280"/>
      <c r="B748" s="281"/>
      <c r="C748" s="282"/>
      <c r="D748" s="241"/>
      <c r="E748" s="241"/>
    </row>
    <row r="749">
      <c r="A749" s="283" t="s">
        <v>3250</v>
      </c>
    </row>
    <row r="750">
      <c r="A750" s="255">
        <v>289.0</v>
      </c>
      <c r="B750" s="255" t="s">
        <v>3251</v>
      </c>
      <c r="C750" s="255" t="s">
        <v>468</v>
      </c>
      <c r="D750" s="241"/>
      <c r="E750" s="241"/>
    </row>
    <row r="751">
      <c r="A751" s="255">
        <v>290.0</v>
      </c>
      <c r="B751" s="255" t="s">
        <v>3257</v>
      </c>
      <c r="C751" s="255" t="s">
        <v>1407</v>
      </c>
      <c r="D751" s="241"/>
      <c r="E751" s="241"/>
    </row>
    <row r="752">
      <c r="A752" s="255">
        <v>291.0</v>
      </c>
      <c r="B752" s="255" t="s">
        <v>3258</v>
      </c>
      <c r="C752" s="255" t="s">
        <v>672</v>
      </c>
      <c r="D752" s="241"/>
      <c r="E752" s="241"/>
    </row>
    <row r="753">
      <c r="A753" s="255">
        <v>292.0</v>
      </c>
      <c r="B753" s="255" t="s">
        <v>3262</v>
      </c>
      <c r="C753" s="255" t="s">
        <v>1553</v>
      </c>
      <c r="D753" s="241"/>
      <c r="E753" s="241"/>
    </row>
    <row r="754">
      <c r="A754" s="255">
        <v>293.0</v>
      </c>
      <c r="B754" s="255" t="s">
        <v>3265</v>
      </c>
      <c r="C754" s="255" t="s">
        <v>1101</v>
      </c>
      <c r="D754" s="241"/>
      <c r="E754" s="241"/>
    </row>
    <row r="755">
      <c r="A755" s="255">
        <v>294.0</v>
      </c>
      <c r="B755" s="255" t="s">
        <v>3266</v>
      </c>
      <c r="C755" s="255" t="s">
        <v>765</v>
      </c>
      <c r="D755" s="241"/>
      <c r="E755" s="241"/>
    </row>
    <row r="756">
      <c r="A756" s="255">
        <v>295.0</v>
      </c>
      <c r="B756" s="255" t="s">
        <v>3269</v>
      </c>
      <c r="C756" s="255" t="s">
        <v>1076</v>
      </c>
      <c r="D756" s="241"/>
      <c r="E756" s="241"/>
    </row>
    <row r="757">
      <c r="A757" s="255">
        <v>296.0</v>
      </c>
      <c r="B757" s="255" t="s">
        <v>3273</v>
      </c>
      <c r="C757" s="255" t="s">
        <v>1600</v>
      </c>
      <c r="D757" s="241"/>
      <c r="E757" s="241"/>
    </row>
    <row r="758">
      <c r="A758" s="255">
        <v>297.0</v>
      </c>
      <c r="B758" s="255" t="s">
        <v>3274</v>
      </c>
      <c r="C758" s="255" t="s">
        <v>1862</v>
      </c>
      <c r="D758" s="241"/>
      <c r="E758" s="241"/>
    </row>
    <row r="759">
      <c r="A759" s="255">
        <v>298.0</v>
      </c>
      <c r="B759" s="255" t="s">
        <v>3279</v>
      </c>
      <c r="C759" s="255" t="s">
        <v>761</v>
      </c>
      <c r="D759" s="241"/>
      <c r="E759" s="241"/>
    </row>
    <row r="760">
      <c r="A760" s="255">
        <v>299.0</v>
      </c>
      <c r="B760" s="255" t="s">
        <v>3281</v>
      </c>
      <c r="C760" s="255" t="s">
        <v>617</v>
      </c>
      <c r="D760" s="241"/>
      <c r="E760" s="241"/>
    </row>
    <row r="761">
      <c r="A761" s="255">
        <v>300.0</v>
      </c>
      <c r="B761" s="255" t="s">
        <v>3282</v>
      </c>
      <c r="C761" s="255" t="s">
        <v>1411</v>
      </c>
      <c r="D761" s="241"/>
      <c r="E761" s="241"/>
    </row>
    <row r="762">
      <c r="A762" s="279"/>
      <c r="B762" s="261"/>
      <c r="C762" s="261"/>
      <c r="D762" s="241"/>
      <c r="E762" s="241"/>
    </row>
    <row r="763">
      <c r="A763" s="255">
        <v>301.0</v>
      </c>
      <c r="B763" s="255" t="s">
        <v>3288</v>
      </c>
      <c r="C763" s="255" t="s">
        <v>664</v>
      </c>
      <c r="D763" s="241"/>
      <c r="E763" s="241"/>
    </row>
    <row r="764">
      <c r="A764" s="255">
        <v>302.0</v>
      </c>
      <c r="B764" s="255" t="s">
        <v>3289</v>
      </c>
      <c r="C764" s="255" t="s">
        <v>448</v>
      </c>
      <c r="D764" s="241"/>
      <c r="E764" s="241"/>
    </row>
    <row r="765">
      <c r="A765" s="255">
        <v>303.0</v>
      </c>
      <c r="B765" s="255" t="s">
        <v>3295</v>
      </c>
      <c r="C765" s="255" t="s">
        <v>1078</v>
      </c>
      <c r="D765" s="241"/>
      <c r="E765" s="241"/>
    </row>
    <row r="766">
      <c r="A766" s="255">
        <v>304.0</v>
      </c>
      <c r="B766" s="255" t="s">
        <v>3296</v>
      </c>
      <c r="C766" s="255" t="s">
        <v>456</v>
      </c>
      <c r="D766" s="241"/>
      <c r="E766" s="241"/>
    </row>
    <row r="767">
      <c r="A767" s="255">
        <v>305.0</v>
      </c>
      <c r="B767" s="255" t="s">
        <v>3297</v>
      </c>
      <c r="C767" s="255" t="s">
        <v>1379</v>
      </c>
      <c r="D767" s="241"/>
      <c r="E767" s="241"/>
    </row>
    <row r="768">
      <c r="A768" s="255">
        <v>306.0</v>
      </c>
      <c r="B768" s="255" t="s">
        <v>3298</v>
      </c>
      <c r="C768" s="255" t="s">
        <v>3299</v>
      </c>
      <c r="D768" s="241"/>
      <c r="E768" s="241"/>
    </row>
    <row r="769">
      <c r="A769" s="255">
        <v>307.0</v>
      </c>
      <c r="B769" s="255" t="s">
        <v>3304</v>
      </c>
      <c r="C769" s="255" t="s">
        <v>3306</v>
      </c>
      <c r="D769" s="241"/>
      <c r="E769" s="241"/>
    </row>
    <row r="770">
      <c r="A770" s="255">
        <v>308.0</v>
      </c>
      <c r="B770" s="255" t="s">
        <v>3307</v>
      </c>
      <c r="C770" s="255" t="s">
        <v>1120</v>
      </c>
      <c r="D770" s="241"/>
      <c r="E770" s="241"/>
    </row>
    <row r="771">
      <c r="A771" s="255">
        <v>309.0</v>
      </c>
      <c r="B771" s="255" t="s">
        <v>3308</v>
      </c>
      <c r="C771" s="255" t="s">
        <v>464</v>
      </c>
      <c r="D771" s="241"/>
      <c r="E771" s="241"/>
    </row>
    <row r="772">
      <c r="A772" s="255">
        <v>310.0</v>
      </c>
      <c r="B772" s="255" t="s">
        <v>3313</v>
      </c>
      <c r="C772" s="255" t="s">
        <v>580</v>
      </c>
      <c r="D772" s="241"/>
      <c r="E772" s="241"/>
    </row>
    <row r="773">
      <c r="A773" s="255">
        <v>311.0</v>
      </c>
      <c r="B773" s="255" t="s">
        <v>3315</v>
      </c>
      <c r="C773" s="255" t="s">
        <v>676</v>
      </c>
      <c r="D773" s="241"/>
      <c r="E773" s="241"/>
    </row>
    <row r="774">
      <c r="A774" s="255">
        <v>312.0</v>
      </c>
      <c r="B774" s="255" t="s">
        <v>3316</v>
      </c>
      <c r="C774" s="255" t="s">
        <v>804</v>
      </c>
      <c r="D774" s="241"/>
      <c r="E774" s="241"/>
    </row>
    <row r="775">
      <c r="A775" s="279"/>
      <c r="B775" s="261"/>
      <c r="C775" s="261"/>
      <c r="D775" s="241"/>
      <c r="E775" s="241"/>
    </row>
    <row r="776">
      <c r="A776" s="255">
        <v>313.0</v>
      </c>
      <c r="B776" s="260" t="s">
        <v>3322</v>
      </c>
      <c r="C776" s="255" t="s">
        <v>516</v>
      </c>
      <c r="D776" s="241"/>
      <c r="E776" s="241"/>
    </row>
    <row r="777">
      <c r="A777" s="255">
        <v>314.0</v>
      </c>
      <c r="B777" s="260" t="s">
        <v>3323</v>
      </c>
      <c r="C777" s="255" t="s">
        <v>1367</v>
      </c>
      <c r="D777" s="241"/>
      <c r="E777" s="241"/>
    </row>
    <row r="778">
      <c r="A778" s="255">
        <v>315.0</v>
      </c>
      <c r="B778" s="260" t="s">
        <v>3325</v>
      </c>
      <c r="C778" s="255" t="s">
        <v>536</v>
      </c>
      <c r="D778" s="241"/>
      <c r="E778" s="241"/>
    </row>
    <row r="779">
      <c r="A779" s="255">
        <v>316.0</v>
      </c>
      <c r="B779" s="260" t="s">
        <v>3330</v>
      </c>
      <c r="C779" s="255" t="s">
        <v>3331</v>
      </c>
      <c r="D779" s="241"/>
      <c r="E779" s="241"/>
    </row>
    <row r="780">
      <c r="A780" s="255">
        <v>317.0</v>
      </c>
      <c r="B780" s="260" t="s">
        <v>3332</v>
      </c>
      <c r="C780" s="255" t="s">
        <v>2201</v>
      </c>
      <c r="D780" s="241"/>
      <c r="E780" s="241"/>
    </row>
    <row r="781">
      <c r="A781" s="255">
        <v>318.0</v>
      </c>
      <c r="B781" s="260" t="s">
        <v>3338</v>
      </c>
      <c r="C781" s="255" t="s">
        <v>3339</v>
      </c>
      <c r="D781" s="241"/>
      <c r="E781" s="241"/>
    </row>
    <row r="782">
      <c r="A782" s="255">
        <v>319.0</v>
      </c>
      <c r="B782" s="260" t="s">
        <v>3340</v>
      </c>
      <c r="C782" s="255" t="s">
        <v>1308</v>
      </c>
      <c r="D782" s="241"/>
      <c r="E782" s="241"/>
    </row>
    <row r="783">
      <c r="A783" s="255">
        <v>320.0</v>
      </c>
      <c r="B783" s="260" t="s">
        <v>3342</v>
      </c>
      <c r="C783" s="255" t="s">
        <v>628</v>
      </c>
      <c r="D783" s="241"/>
      <c r="E783" s="241"/>
    </row>
    <row r="784">
      <c r="A784" s="255">
        <v>321.0</v>
      </c>
      <c r="B784" s="260" t="s">
        <v>3347</v>
      </c>
      <c r="C784" s="255" t="s">
        <v>681</v>
      </c>
      <c r="D784" s="241"/>
      <c r="E784" s="241"/>
    </row>
    <row r="785">
      <c r="A785" s="255">
        <v>322.0</v>
      </c>
      <c r="B785" s="260" t="s">
        <v>3351</v>
      </c>
      <c r="C785" s="255" t="s">
        <v>1537</v>
      </c>
      <c r="D785" s="241"/>
      <c r="E785" s="241"/>
    </row>
    <row r="786">
      <c r="A786" s="255">
        <v>323.0</v>
      </c>
      <c r="B786" s="260" t="s">
        <v>3354</v>
      </c>
      <c r="C786" s="255" t="s">
        <v>2356</v>
      </c>
      <c r="D786" s="241"/>
      <c r="E786" s="241"/>
    </row>
    <row r="787">
      <c r="A787" s="255">
        <v>324.0</v>
      </c>
      <c r="B787" s="260" t="s">
        <v>3355</v>
      </c>
      <c r="C787" s="255" t="s">
        <v>2545</v>
      </c>
      <c r="D787" s="241"/>
      <c r="E787" s="241"/>
    </row>
    <row r="788">
      <c r="A788" s="279"/>
      <c r="B788" s="261"/>
      <c r="C788" s="261"/>
      <c r="D788" s="241"/>
      <c r="E788" s="241"/>
    </row>
    <row r="789">
      <c r="A789" s="255">
        <v>325.0</v>
      </c>
      <c r="B789" s="260" t="s">
        <v>3361</v>
      </c>
      <c r="C789" s="255" t="s">
        <v>1531</v>
      </c>
      <c r="D789" s="241"/>
      <c r="E789" s="241"/>
    </row>
    <row r="790">
      <c r="A790" s="255">
        <v>326.0</v>
      </c>
      <c r="B790" s="260" t="s">
        <v>3367</v>
      </c>
      <c r="C790" s="255" t="s">
        <v>3369</v>
      </c>
      <c r="D790" s="241"/>
      <c r="E790" s="241"/>
    </row>
    <row r="791">
      <c r="A791" s="255">
        <v>327.0</v>
      </c>
      <c r="B791" s="260" t="s">
        <v>3374</v>
      </c>
      <c r="C791" s="255" t="s">
        <v>564</v>
      </c>
      <c r="D791" s="241"/>
      <c r="E791" s="241"/>
    </row>
    <row r="792">
      <c r="A792" s="255">
        <v>328.0</v>
      </c>
      <c r="B792" s="260" t="s">
        <v>3375</v>
      </c>
      <c r="C792" s="255" t="s">
        <v>1521</v>
      </c>
      <c r="D792" s="241"/>
      <c r="E792" s="241"/>
    </row>
    <row r="793">
      <c r="A793" s="255">
        <v>329.0</v>
      </c>
      <c r="B793" s="260" t="s">
        <v>3379</v>
      </c>
      <c r="C793" s="255" t="s">
        <v>1264</v>
      </c>
      <c r="D793" s="241"/>
      <c r="E793" s="241"/>
    </row>
    <row r="794">
      <c r="A794" s="255">
        <v>330.0</v>
      </c>
      <c r="B794" s="260" t="s">
        <v>3382</v>
      </c>
      <c r="C794" s="255" t="s">
        <v>2267</v>
      </c>
      <c r="D794" s="241"/>
      <c r="E794" s="241"/>
    </row>
    <row r="795">
      <c r="A795" s="255">
        <v>331.0</v>
      </c>
      <c r="B795" s="260" t="s">
        <v>3383</v>
      </c>
      <c r="C795" s="255" t="s">
        <v>1663</v>
      </c>
      <c r="D795" s="241"/>
      <c r="E795" s="241"/>
    </row>
    <row r="796">
      <c r="A796" s="255">
        <v>332.0</v>
      </c>
      <c r="B796" s="260" t="s">
        <v>3387</v>
      </c>
      <c r="C796" s="255" t="s">
        <v>826</v>
      </c>
      <c r="D796" s="241"/>
      <c r="E796" s="241"/>
    </row>
    <row r="797">
      <c r="A797" s="255">
        <v>333.0</v>
      </c>
      <c r="B797" s="260" t="s">
        <v>3390</v>
      </c>
      <c r="C797" s="255" t="s">
        <v>901</v>
      </c>
      <c r="D797" s="241"/>
      <c r="E797" s="241"/>
    </row>
    <row r="798">
      <c r="A798" s="255">
        <v>334.0</v>
      </c>
      <c r="B798" s="260" t="s">
        <v>3391</v>
      </c>
      <c r="C798" s="255" t="s">
        <v>1479</v>
      </c>
      <c r="D798" s="241"/>
      <c r="E798" s="241"/>
    </row>
    <row r="799">
      <c r="A799" s="255">
        <v>335.0</v>
      </c>
      <c r="B799" s="260" t="s">
        <v>3397</v>
      </c>
      <c r="C799" s="255" t="s">
        <v>413</v>
      </c>
      <c r="D799" s="241"/>
      <c r="E799" s="241"/>
    </row>
    <row r="800">
      <c r="A800" s="255">
        <v>336.0</v>
      </c>
      <c r="B800" s="260" t="s">
        <v>3398</v>
      </c>
      <c r="C800" s="255" t="s">
        <v>3399</v>
      </c>
      <c r="D800" s="241"/>
      <c r="E800" s="241"/>
    </row>
    <row r="801">
      <c r="A801" s="279"/>
      <c r="B801" s="261"/>
      <c r="C801" s="261"/>
      <c r="D801" s="241"/>
      <c r="E801" s="241"/>
    </row>
    <row r="802">
      <c r="A802" s="255">
        <v>337.0</v>
      </c>
      <c r="B802" s="260" t="s">
        <v>3404</v>
      </c>
      <c r="C802" s="255" t="s">
        <v>727</v>
      </c>
      <c r="D802" s="241"/>
      <c r="E802" s="241"/>
    </row>
    <row r="803">
      <c r="A803" s="255">
        <v>338.0</v>
      </c>
      <c r="B803" s="260" t="s">
        <v>3406</v>
      </c>
      <c r="C803" s="255" t="s">
        <v>752</v>
      </c>
      <c r="D803" s="241"/>
      <c r="E803" s="241"/>
    </row>
    <row r="804">
      <c r="A804" s="255">
        <v>339.0</v>
      </c>
      <c r="B804" s="260" t="s">
        <v>3408</v>
      </c>
      <c r="C804" s="255" t="s">
        <v>1091</v>
      </c>
      <c r="D804" s="241"/>
      <c r="E804" s="241"/>
    </row>
    <row r="805">
      <c r="A805" s="255">
        <v>340.0</v>
      </c>
      <c r="B805" s="260" t="s">
        <v>3413</v>
      </c>
      <c r="C805" s="255" t="s">
        <v>835</v>
      </c>
      <c r="D805" s="241"/>
      <c r="E805" s="241"/>
    </row>
    <row r="806">
      <c r="A806" s="255">
        <v>341.0</v>
      </c>
      <c r="B806" s="260" t="s">
        <v>3418</v>
      </c>
      <c r="C806" s="255" t="s">
        <v>1069</v>
      </c>
      <c r="D806" s="241"/>
      <c r="E806" s="241"/>
    </row>
    <row r="807">
      <c r="A807" s="255">
        <v>342.0</v>
      </c>
      <c r="B807" s="260" t="s">
        <v>3420</v>
      </c>
      <c r="C807" s="255" t="s">
        <v>2368</v>
      </c>
      <c r="D807" s="241"/>
      <c r="E807" s="241"/>
    </row>
    <row r="808">
      <c r="A808" s="255">
        <v>343.0</v>
      </c>
      <c r="B808" s="260" t="s">
        <v>3421</v>
      </c>
      <c r="C808" s="255" t="s">
        <v>500</v>
      </c>
      <c r="D808" s="241"/>
      <c r="E808" s="241"/>
    </row>
    <row r="809">
      <c r="A809" s="255">
        <v>344.0</v>
      </c>
      <c r="B809" s="260" t="s">
        <v>3427</v>
      </c>
      <c r="C809" s="255" t="s">
        <v>2372</v>
      </c>
      <c r="D809" s="241"/>
      <c r="E809" s="241"/>
    </row>
    <row r="810">
      <c r="A810" s="255">
        <v>345.0</v>
      </c>
      <c r="B810" s="260" t="s">
        <v>3428</v>
      </c>
      <c r="C810" s="255" t="s">
        <v>1055</v>
      </c>
      <c r="D810" s="241"/>
      <c r="E810" s="241"/>
    </row>
    <row r="811">
      <c r="A811" s="255">
        <v>346.0</v>
      </c>
      <c r="B811" s="260" t="s">
        <v>3429</v>
      </c>
      <c r="C811" s="255" t="s">
        <v>1422</v>
      </c>
      <c r="D811" s="241"/>
      <c r="E811" s="241"/>
    </row>
    <row r="812">
      <c r="A812" s="255">
        <v>347.0</v>
      </c>
      <c r="B812" s="260" t="s">
        <v>3435</v>
      </c>
      <c r="C812" s="255" t="s">
        <v>1326</v>
      </c>
      <c r="D812" s="241"/>
      <c r="E812" s="241"/>
    </row>
    <row r="813">
      <c r="A813" s="255">
        <v>348.0</v>
      </c>
      <c r="B813" s="260" t="s">
        <v>3436</v>
      </c>
      <c r="C813" s="255" t="s">
        <v>887</v>
      </c>
      <c r="D813" s="241"/>
      <c r="E813" s="241"/>
    </row>
    <row r="814">
      <c r="A814" s="261"/>
      <c r="B814" s="218"/>
      <c r="C814" s="261"/>
      <c r="D814" s="241"/>
      <c r="E814" s="241"/>
    </row>
    <row r="815">
      <c r="A815" s="280"/>
      <c r="B815" s="281"/>
      <c r="C815" s="282"/>
      <c r="D815" s="241"/>
      <c r="E815" s="241"/>
    </row>
    <row r="816">
      <c r="A816" s="283" t="s">
        <v>3441</v>
      </c>
    </row>
    <row r="817">
      <c r="A817" s="284">
        <v>349.0</v>
      </c>
      <c r="B817" s="284" t="s">
        <v>3443</v>
      </c>
      <c r="C817" s="284" t="s">
        <v>3444</v>
      </c>
      <c r="D817" s="241"/>
      <c r="E817" s="241"/>
    </row>
    <row r="818">
      <c r="A818" s="284">
        <v>350.0</v>
      </c>
      <c r="B818" s="284" t="s">
        <v>3445</v>
      </c>
      <c r="C818" s="284" t="s">
        <v>2120</v>
      </c>
      <c r="D818" s="241"/>
      <c r="E818" s="241"/>
    </row>
    <row r="819">
      <c r="A819" s="284">
        <v>351.0</v>
      </c>
      <c r="B819" s="284" t="s">
        <v>3446</v>
      </c>
      <c r="C819" s="284" t="s">
        <v>1305</v>
      </c>
      <c r="D819" s="241"/>
      <c r="E819" s="241"/>
    </row>
    <row r="820">
      <c r="A820" s="284">
        <v>352.0</v>
      </c>
      <c r="B820" s="284" t="s">
        <v>3449</v>
      </c>
      <c r="C820" s="284" t="s">
        <v>2053</v>
      </c>
      <c r="D820" s="241"/>
      <c r="E820" s="241"/>
    </row>
    <row r="821">
      <c r="A821" s="284">
        <v>353.0</v>
      </c>
      <c r="B821" s="284" t="s">
        <v>3453</v>
      </c>
      <c r="C821" s="284" t="s">
        <v>1813</v>
      </c>
      <c r="D821" s="241"/>
      <c r="E821" s="241"/>
    </row>
    <row r="822">
      <c r="A822" s="284">
        <v>354.0</v>
      </c>
      <c r="B822" s="284" t="s">
        <v>3457</v>
      </c>
      <c r="C822" s="284" t="s">
        <v>909</v>
      </c>
      <c r="D822" s="241"/>
      <c r="E822" s="241"/>
    </row>
    <row r="823">
      <c r="A823" s="284">
        <v>355.0</v>
      </c>
      <c r="B823" s="284" t="s">
        <v>3460</v>
      </c>
      <c r="C823" s="284" t="s">
        <v>1987</v>
      </c>
      <c r="D823" s="241"/>
      <c r="E823" s="241"/>
    </row>
    <row r="824">
      <c r="A824" s="284">
        <v>356.0</v>
      </c>
      <c r="B824" s="284" t="s">
        <v>3464</v>
      </c>
      <c r="C824" s="284" t="s">
        <v>3466</v>
      </c>
      <c r="D824" s="241"/>
      <c r="E824" s="241"/>
    </row>
    <row r="825">
      <c r="A825" s="284">
        <v>357.0</v>
      </c>
      <c r="B825" s="284" t="s">
        <v>3468</v>
      </c>
      <c r="C825" s="284" t="s">
        <v>2064</v>
      </c>
      <c r="D825" s="241"/>
      <c r="E825" s="241"/>
    </row>
    <row r="826">
      <c r="A826" s="284">
        <v>358.0</v>
      </c>
      <c r="B826" s="284" t="s">
        <v>3473</v>
      </c>
      <c r="C826" s="284" t="s">
        <v>1658</v>
      </c>
      <c r="D826" s="241"/>
      <c r="E826" s="241"/>
    </row>
    <row r="827">
      <c r="A827" s="284">
        <v>359.0</v>
      </c>
      <c r="B827" s="284" t="s">
        <v>3476</v>
      </c>
      <c r="C827" s="284" t="s">
        <v>2091</v>
      </c>
      <c r="D827" s="241"/>
      <c r="E827" s="241"/>
    </row>
    <row r="828">
      <c r="A828" s="284">
        <v>360.0</v>
      </c>
      <c r="B828" s="284" t="s">
        <v>3480</v>
      </c>
      <c r="C828" s="284" t="s">
        <v>1492</v>
      </c>
      <c r="D828" s="241"/>
      <c r="E828" s="241"/>
    </row>
    <row r="829">
      <c r="A829" s="285"/>
      <c r="B829" s="286"/>
      <c r="C829" s="286"/>
      <c r="D829" s="241"/>
      <c r="E829" s="241"/>
    </row>
    <row r="830">
      <c r="A830" s="284">
        <v>361.0</v>
      </c>
      <c r="B830" s="284" t="s">
        <v>3487</v>
      </c>
      <c r="C830" s="284" t="s">
        <v>2389</v>
      </c>
      <c r="D830" s="241"/>
      <c r="E830" s="241"/>
    </row>
    <row r="831">
      <c r="A831" s="284">
        <v>362.0</v>
      </c>
      <c r="B831" s="284" t="s">
        <v>3491</v>
      </c>
      <c r="C831" s="284" t="s">
        <v>788</v>
      </c>
      <c r="D831" s="241"/>
      <c r="E831" s="241"/>
    </row>
    <row r="832">
      <c r="A832" s="284">
        <v>363.0</v>
      </c>
      <c r="B832" s="284" t="s">
        <v>3494</v>
      </c>
      <c r="C832" s="284" t="s">
        <v>1725</v>
      </c>
      <c r="D832" s="241"/>
      <c r="E832" s="241"/>
    </row>
    <row r="833">
      <c r="A833" s="284">
        <v>364.0</v>
      </c>
      <c r="B833" s="284" t="s">
        <v>3499</v>
      </c>
      <c r="C833" s="284" t="s">
        <v>2132</v>
      </c>
      <c r="D833" s="241"/>
      <c r="E833" s="241"/>
    </row>
    <row r="834">
      <c r="A834" s="284">
        <v>365.0</v>
      </c>
      <c r="B834" s="284" t="s">
        <v>3502</v>
      </c>
      <c r="C834" s="284" t="s">
        <v>1893</v>
      </c>
      <c r="D834" s="241"/>
      <c r="E834" s="241"/>
    </row>
    <row r="835">
      <c r="A835" s="284">
        <v>366.0</v>
      </c>
      <c r="B835" s="284" t="s">
        <v>3507</v>
      </c>
      <c r="C835" s="284" t="s">
        <v>1344</v>
      </c>
      <c r="D835" s="241"/>
      <c r="E835" s="241"/>
    </row>
    <row r="836">
      <c r="A836" s="284">
        <v>367.0</v>
      </c>
      <c r="B836" s="284" t="s">
        <v>3510</v>
      </c>
      <c r="C836" s="284" t="s">
        <v>2068</v>
      </c>
      <c r="D836" s="241"/>
      <c r="E836" s="241"/>
    </row>
    <row r="837">
      <c r="A837" s="284">
        <v>368.0</v>
      </c>
      <c r="B837" s="284" t="s">
        <v>3515</v>
      </c>
      <c r="C837" s="284" t="s">
        <v>1967</v>
      </c>
      <c r="D837" s="241"/>
      <c r="E837" s="241"/>
    </row>
    <row r="838">
      <c r="A838" s="284">
        <v>369.0</v>
      </c>
      <c r="B838" s="284" t="s">
        <v>3519</v>
      </c>
      <c r="C838" s="284" t="s">
        <v>3521</v>
      </c>
      <c r="D838" s="241"/>
      <c r="E838" s="241"/>
    </row>
    <row r="839">
      <c r="A839" s="284">
        <v>370.0</v>
      </c>
      <c r="B839" s="284" t="s">
        <v>3523</v>
      </c>
      <c r="C839" s="284" t="s">
        <v>1675</v>
      </c>
      <c r="D839" s="241"/>
      <c r="E839" s="241"/>
    </row>
    <row r="840">
      <c r="A840" s="284">
        <v>371.0</v>
      </c>
      <c r="B840" s="284" t="s">
        <v>3527</v>
      </c>
      <c r="C840" s="284" t="s">
        <v>2311</v>
      </c>
      <c r="D840" s="241"/>
      <c r="E840" s="241"/>
    </row>
    <row r="841">
      <c r="A841" s="284">
        <v>372.0</v>
      </c>
      <c r="B841" s="284" t="s">
        <v>3531</v>
      </c>
      <c r="C841" s="284" t="s">
        <v>3532</v>
      </c>
      <c r="D841" s="241"/>
      <c r="E841" s="241"/>
    </row>
    <row r="842">
      <c r="A842" s="261"/>
      <c r="B842" s="261"/>
      <c r="C842" s="261"/>
      <c r="D842" s="241"/>
      <c r="E842" s="241"/>
    </row>
    <row r="843">
      <c r="A843" s="280"/>
      <c r="B843" s="282"/>
      <c r="C843" s="282"/>
      <c r="D843" s="241"/>
      <c r="E843" s="241"/>
    </row>
    <row r="844">
      <c r="A844" s="283" t="s">
        <v>3540</v>
      </c>
    </row>
    <row r="845">
      <c r="A845" s="255">
        <v>373.0</v>
      </c>
      <c r="B845" s="260" t="s">
        <v>3542</v>
      </c>
      <c r="C845" s="260" t="s">
        <v>799</v>
      </c>
      <c r="D845" s="241"/>
      <c r="E845" s="241"/>
    </row>
    <row r="846">
      <c r="A846" s="255">
        <v>374.0</v>
      </c>
      <c r="B846" s="260" t="s">
        <v>3547</v>
      </c>
      <c r="C846" s="260" t="s">
        <v>3549</v>
      </c>
      <c r="D846" s="241"/>
      <c r="E846" s="241"/>
    </row>
    <row r="847">
      <c r="A847" s="255">
        <v>375.0</v>
      </c>
      <c r="B847" s="260" t="s">
        <v>3553</v>
      </c>
      <c r="C847" s="260" t="s">
        <v>616</v>
      </c>
      <c r="D847" s="241"/>
      <c r="E847" s="241"/>
    </row>
    <row r="848">
      <c r="A848" s="255">
        <v>376.0</v>
      </c>
      <c r="B848" s="260" t="s">
        <v>3557</v>
      </c>
      <c r="C848" s="260" t="s">
        <v>1295</v>
      </c>
      <c r="D848" s="241"/>
      <c r="E848" s="241"/>
    </row>
    <row r="849">
      <c r="A849" s="255">
        <v>377.0</v>
      </c>
      <c r="B849" s="260" t="s">
        <v>3562</v>
      </c>
      <c r="C849" s="260" t="s">
        <v>1216</v>
      </c>
      <c r="D849" s="241"/>
      <c r="E849" s="241"/>
    </row>
    <row r="850">
      <c r="A850" s="255">
        <v>378.0</v>
      </c>
      <c r="B850" s="260" t="s">
        <v>3566</v>
      </c>
      <c r="C850" s="260" t="s">
        <v>791</v>
      </c>
      <c r="D850" s="241"/>
      <c r="E850" s="241"/>
    </row>
    <row r="851">
      <c r="A851" s="255">
        <v>379.0</v>
      </c>
      <c r="B851" s="260" t="s">
        <v>3570</v>
      </c>
      <c r="C851" s="260" t="s">
        <v>612</v>
      </c>
      <c r="D851" s="241"/>
      <c r="E851" s="241"/>
    </row>
    <row r="852">
      <c r="A852" s="255">
        <v>380.0</v>
      </c>
      <c r="B852" s="260" t="s">
        <v>3572</v>
      </c>
      <c r="C852" s="260" t="s">
        <v>1007</v>
      </c>
      <c r="D852" s="241"/>
      <c r="E852" s="241"/>
    </row>
    <row r="853">
      <c r="A853" s="255">
        <v>381.0</v>
      </c>
      <c r="B853" s="260" t="s">
        <v>3577</v>
      </c>
      <c r="C853" s="260" t="s">
        <v>2481</v>
      </c>
      <c r="D853" s="241"/>
      <c r="E853" s="241"/>
    </row>
    <row r="854">
      <c r="A854" s="255">
        <v>382.0</v>
      </c>
      <c r="B854" s="260" t="s">
        <v>3582</v>
      </c>
      <c r="C854" s="260" t="s">
        <v>544</v>
      </c>
      <c r="D854" s="241"/>
      <c r="E854" s="241"/>
    </row>
    <row r="855">
      <c r="A855" s="255">
        <v>383.0</v>
      </c>
      <c r="B855" s="260" t="s">
        <v>3586</v>
      </c>
      <c r="C855" s="260" t="s">
        <v>547</v>
      </c>
      <c r="D855" s="241"/>
      <c r="E855" s="241"/>
    </row>
    <row r="856">
      <c r="A856" s="284">
        <v>384.0</v>
      </c>
      <c r="B856" s="287" t="s">
        <v>3589</v>
      </c>
      <c r="C856" s="284" t="s">
        <v>2165</v>
      </c>
      <c r="D856" s="241"/>
      <c r="E856" s="275" t="s">
        <v>3592</v>
      </c>
    </row>
    <row r="857">
      <c r="A857" s="261"/>
      <c r="B857" s="218"/>
      <c r="C857" s="261"/>
      <c r="D857" s="241"/>
      <c r="E857" s="241"/>
    </row>
    <row r="858">
      <c r="A858" s="280"/>
      <c r="B858" s="282"/>
      <c r="C858" s="282"/>
      <c r="D858" s="241"/>
      <c r="E858" s="241"/>
    </row>
    <row r="859">
      <c r="A859" s="283" t="s">
        <v>3598</v>
      </c>
    </row>
    <row r="860">
      <c r="A860" s="241"/>
      <c r="B860" s="241"/>
      <c r="C860" s="241"/>
      <c r="D860" s="241"/>
      <c r="E860" s="241"/>
    </row>
    <row r="861">
      <c r="A861" s="284">
        <v>385.0</v>
      </c>
      <c r="B861" s="287" t="s">
        <v>3606</v>
      </c>
      <c r="C861" s="284" t="s">
        <v>1493</v>
      </c>
      <c r="D861" s="241"/>
      <c r="E861" s="275" t="s">
        <v>3608</v>
      </c>
    </row>
    <row r="862">
      <c r="A862" s="284">
        <v>386.0</v>
      </c>
      <c r="B862" s="287" t="s">
        <v>3609</v>
      </c>
      <c r="C862" s="284" t="s">
        <v>1281</v>
      </c>
      <c r="D862" s="241"/>
      <c r="E862" s="275" t="s">
        <v>3608</v>
      </c>
    </row>
    <row r="863">
      <c r="A863" s="284">
        <v>387.0</v>
      </c>
      <c r="B863" s="287" t="s">
        <v>3615</v>
      </c>
      <c r="C863" s="284" t="s">
        <v>2248</v>
      </c>
      <c r="D863" s="241"/>
      <c r="E863" s="275" t="s">
        <v>3608</v>
      </c>
    </row>
  </sheetData>
  <mergeCells count="5">
    <mergeCell ref="A616:E616"/>
    <mergeCell ref="A749:E749"/>
    <mergeCell ref="A816:E816"/>
    <mergeCell ref="A844:E844"/>
    <mergeCell ref="A859:E85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4" t="s">
        <v>680</v>
      </c>
      <c r="B1" s="264" t="s">
        <v>684</v>
      </c>
      <c r="C1" s="264" t="s">
        <v>686</v>
      </c>
      <c r="D1" s="264" t="s">
        <v>687</v>
      </c>
      <c r="E1" s="264" t="s">
        <v>688</v>
      </c>
      <c r="F1" s="264" t="s">
        <v>689</v>
      </c>
      <c r="G1" s="265"/>
      <c r="H1" s="265"/>
      <c r="I1" s="265"/>
      <c r="J1" s="265"/>
      <c r="K1" s="265"/>
      <c r="L1" s="265"/>
      <c r="M1" s="265"/>
      <c r="N1" s="265"/>
      <c r="O1" s="265"/>
      <c r="P1" s="265"/>
      <c r="Q1" s="265"/>
      <c r="R1" s="265"/>
      <c r="S1" s="265"/>
      <c r="T1" s="265"/>
      <c r="U1" s="265"/>
      <c r="V1" s="265"/>
      <c r="W1" s="265"/>
      <c r="X1" s="265"/>
      <c r="Y1" s="265"/>
      <c r="Z1" s="265"/>
    </row>
    <row r="2">
      <c r="A2" s="264" t="s">
        <v>694</v>
      </c>
      <c r="B2" s="264" t="s">
        <v>696</v>
      </c>
      <c r="C2" s="264" t="s">
        <v>152</v>
      </c>
      <c r="D2" s="264" t="s">
        <v>698</v>
      </c>
      <c r="E2" s="264" t="s">
        <v>154</v>
      </c>
      <c r="F2" s="264" t="s">
        <v>700</v>
      </c>
      <c r="G2" s="265"/>
      <c r="H2" s="265"/>
      <c r="I2" s="265"/>
      <c r="J2" s="265"/>
      <c r="K2" s="265"/>
      <c r="L2" s="265"/>
      <c r="M2" s="265"/>
      <c r="N2" s="265"/>
      <c r="O2" s="265"/>
      <c r="P2" s="265"/>
      <c r="Q2" s="265"/>
      <c r="R2" s="265"/>
      <c r="S2" s="265"/>
      <c r="T2" s="265"/>
      <c r="U2" s="265"/>
      <c r="V2" s="265"/>
      <c r="W2" s="265"/>
      <c r="X2" s="265"/>
      <c r="Y2" s="265"/>
      <c r="Z2" s="265"/>
    </row>
    <row r="3">
      <c r="A3" s="264" t="s">
        <v>694</v>
      </c>
      <c r="B3" s="264" t="s">
        <v>706</v>
      </c>
      <c r="C3" s="264" t="s">
        <v>707</v>
      </c>
      <c r="D3" s="264" t="s">
        <v>697</v>
      </c>
      <c r="E3" s="264" t="s">
        <v>709</v>
      </c>
      <c r="F3" s="264" t="s">
        <v>711</v>
      </c>
      <c r="G3" s="265"/>
      <c r="H3" s="265"/>
      <c r="I3" s="265"/>
      <c r="J3" s="265"/>
      <c r="K3" s="265"/>
      <c r="L3" s="265"/>
      <c r="M3" s="265"/>
      <c r="N3" s="265"/>
      <c r="O3" s="265"/>
      <c r="P3" s="265"/>
      <c r="Q3" s="265"/>
      <c r="R3" s="265"/>
      <c r="S3" s="265"/>
      <c r="T3" s="265"/>
      <c r="U3" s="265"/>
      <c r="V3" s="265"/>
      <c r="W3" s="265"/>
      <c r="X3" s="265"/>
      <c r="Y3" s="265"/>
      <c r="Z3" s="265"/>
    </row>
    <row r="4">
      <c r="A4" s="264" t="s">
        <v>694</v>
      </c>
      <c r="B4" s="264" t="s">
        <v>717</v>
      </c>
      <c r="C4" s="264" t="s">
        <v>719</v>
      </c>
      <c r="D4" s="264" t="s">
        <v>519</v>
      </c>
      <c r="E4" s="264" t="s">
        <v>720</v>
      </c>
      <c r="F4" s="264" t="s">
        <v>496</v>
      </c>
      <c r="G4" s="265"/>
      <c r="H4" s="265"/>
      <c r="I4" s="265"/>
      <c r="J4" s="265"/>
      <c r="K4" s="265"/>
      <c r="L4" s="265"/>
      <c r="M4" s="265"/>
      <c r="N4" s="265"/>
      <c r="O4" s="265"/>
      <c r="P4" s="265"/>
      <c r="Q4" s="265"/>
      <c r="R4" s="265"/>
      <c r="S4" s="265"/>
      <c r="T4" s="265"/>
      <c r="U4" s="265"/>
      <c r="V4" s="265"/>
      <c r="W4" s="265"/>
      <c r="X4" s="265"/>
      <c r="Y4" s="265"/>
      <c r="Z4" s="265"/>
    </row>
    <row r="5">
      <c r="A5" s="264" t="s">
        <v>694</v>
      </c>
      <c r="B5" s="264" t="s">
        <v>728</v>
      </c>
      <c r="C5" s="264" t="s">
        <v>729</v>
      </c>
      <c r="D5" s="264" t="s">
        <v>731</v>
      </c>
      <c r="E5" s="264" t="s">
        <v>732</v>
      </c>
      <c r="F5" s="264" t="s">
        <v>733</v>
      </c>
      <c r="G5" s="265"/>
      <c r="H5" s="265"/>
      <c r="I5" s="265"/>
      <c r="J5" s="265"/>
      <c r="K5" s="265"/>
      <c r="L5" s="265"/>
      <c r="M5" s="265"/>
      <c r="N5" s="265"/>
      <c r="O5" s="265"/>
      <c r="P5" s="265"/>
      <c r="Q5" s="265"/>
      <c r="R5" s="265"/>
      <c r="S5" s="265"/>
      <c r="T5" s="265"/>
      <c r="U5" s="265"/>
      <c r="V5" s="265"/>
      <c r="W5" s="265"/>
      <c r="X5" s="265"/>
      <c r="Y5" s="265"/>
      <c r="Z5" s="265"/>
    </row>
    <row r="6">
      <c r="A6" s="264" t="s">
        <v>694</v>
      </c>
      <c r="B6" s="264" t="s">
        <v>736</v>
      </c>
      <c r="C6" s="264" t="s">
        <v>738</v>
      </c>
      <c r="D6" s="264" t="s">
        <v>739</v>
      </c>
      <c r="E6" s="264" t="s">
        <v>741</v>
      </c>
      <c r="F6" s="264" t="s">
        <v>742</v>
      </c>
      <c r="G6" s="265"/>
      <c r="H6" s="265"/>
      <c r="I6" s="265"/>
      <c r="J6" s="265"/>
      <c r="K6" s="265"/>
      <c r="L6" s="265"/>
      <c r="M6" s="265"/>
      <c r="N6" s="265"/>
      <c r="O6" s="265"/>
      <c r="P6" s="265"/>
      <c r="Q6" s="265"/>
      <c r="R6" s="265"/>
      <c r="S6" s="265"/>
      <c r="T6" s="265"/>
      <c r="U6" s="265"/>
      <c r="V6" s="265"/>
      <c r="W6" s="265"/>
      <c r="X6" s="265"/>
      <c r="Y6" s="265"/>
      <c r="Z6" s="265"/>
    </row>
    <row r="7">
      <c r="A7" s="264" t="s">
        <v>694</v>
      </c>
      <c r="B7" s="264" t="s">
        <v>745</v>
      </c>
      <c r="C7" s="264" t="s">
        <v>746</v>
      </c>
      <c r="D7" s="264" t="s">
        <v>747</v>
      </c>
      <c r="E7" s="264" t="s">
        <v>748</v>
      </c>
      <c r="F7" s="264" t="s">
        <v>749</v>
      </c>
      <c r="G7" s="265"/>
      <c r="H7" s="265"/>
      <c r="I7" s="265"/>
      <c r="J7" s="265"/>
      <c r="K7" s="265"/>
      <c r="L7" s="265"/>
      <c r="M7" s="265"/>
      <c r="N7" s="265"/>
      <c r="O7" s="265"/>
      <c r="P7" s="265"/>
      <c r="Q7" s="265"/>
      <c r="R7" s="265"/>
      <c r="S7" s="265"/>
      <c r="T7" s="265"/>
      <c r="U7" s="265"/>
      <c r="V7" s="265"/>
      <c r="W7" s="265"/>
      <c r="X7" s="265"/>
      <c r="Y7" s="265"/>
      <c r="Z7" s="265"/>
    </row>
    <row r="8">
      <c r="A8" s="264" t="s">
        <v>694</v>
      </c>
      <c r="B8" s="264" t="s">
        <v>754</v>
      </c>
      <c r="C8" s="264" t="s">
        <v>756</v>
      </c>
      <c r="D8" s="264" t="s">
        <v>758</v>
      </c>
      <c r="E8" s="264" t="s">
        <v>759</v>
      </c>
      <c r="F8" s="264" t="s">
        <v>760</v>
      </c>
      <c r="G8" s="265"/>
      <c r="H8" s="265"/>
      <c r="I8" s="265"/>
      <c r="J8" s="265"/>
      <c r="K8" s="265"/>
      <c r="L8" s="265"/>
      <c r="M8" s="265"/>
      <c r="N8" s="265"/>
      <c r="O8" s="265"/>
      <c r="P8" s="265"/>
      <c r="Q8" s="265"/>
      <c r="R8" s="265"/>
      <c r="S8" s="265"/>
      <c r="T8" s="265"/>
      <c r="U8" s="265"/>
      <c r="V8" s="265"/>
      <c r="W8" s="265"/>
      <c r="X8" s="265"/>
      <c r="Y8" s="265"/>
      <c r="Z8" s="265"/>
    </row>
    <row r="9">
      <c r="A9" s="264" t="s">
        <v>694</v>
      </c>
      <c r="B9" s="264" t="s">
        <v>767</v>
      </c>
      <c r="C9" s="264" t="s">
        <v>768</v>
      </c>
      <c r="D9" s="264" t="s">
        <v>567</v>
      </c>
      <c r="E9" s="264" t="s">
        <v>769</v>
      </c>
      <c r="F9" s="264" t="s">
        <v>770</v>
      </c>
      <c r="G9" s="265"/>
      <c r="H9" s="265"/>
      <c r="I9" s="265"/>
      <c r="J9" s="265"/>
      <c r="K9" s="265"/>
      <c r="L9" s="265"/>
      <c r="M9" s="265"/>
      <c r="N9" s="265"/>
      <c r="O9" s="265"/>
      <c r="P9" s="265"/>
      <c r="Q9" s="265"/>
      <c r="R9" s="265"/>
      <c r="S9" s="265"/>
      <c r="T9" s="265"/>
      <c r="U9" s="265"/>
      <c r="V9" s="265"/>
      <c r="W9" s="265"/>
      <c r="X9" s="265"/>
      <c r="Y9" s="265"/>
      <c r="Z9" s="265"/>
    </row>
    <row r="10">
      <c r="A10" s="264" t="s">
        <v>694</v>
      </c>
      <c r="B10" s="264" t="s">
        <v>773</v>
      </c>
      <c r="C10" s="264" t="s">
        <v>774</v>
      </c>
      <c r="D10" s="264" t="s">
        <v>775</v>
      </c>
      <c r="E10" s="264" t="s">
        <v>777</v>
      </c>
      <c r="F10" s="264" t="s">
        <v>778</v>
      </c>
      <c r="G10" s="265"/>
      <c r="H10" s="265"/>
      <c r="I10" s="265"/>
      <c r="J10" s="265"/>
      <c r="K10" s="265"/>
      <c r="L10" s="265"/>
      <c r="M10" s="265"/>
      <c r="N10" s="265"/>
      <c r="O10" s="265"/>
      <c r="P10" s="265"/>
      <c r="Q10" s="265"/>
      <c r="R10" s="265"/>
      <c r="S10" s="265"/>
      <c r="T10" s="265"/>
      <c r="U10" s="265"/>
      <c r="V10" s="265"/>
      <c r="W10" s="265"/>
      <c r="X10" s="265"/>
      <c r="Y10" s="265"/>
      <c r="Z10" s="265"/>
    </row>
    <row r="11">
      <c r="A11" s="264" t="s">
        <v>694</v>
      </c>
      <c r="B11" s="264" t="s">
        <v>784</v>
      </c>
      <c r="C11" s="264" t="s">
        <v>785</v>
      </c>
      <c r="D11" s="264" t="s">
        <v>786</v>
      </c>
      <c r="E11" s="264" t="s">
        <v>787</v>
      </c>
      <c r="F11" s="264" t="s">
        <v>788</v>
      </c>
      <c r="G11" s="265"/>
      <c r="H11" s="265"/>
      <c r="I11" s="265"/>
      <c r="J11" s="265"/>
      <c r="K11" s="265"/>
      <c r="L11" s="265"/>
      <c r="M11" s="265"/>
      <c r="N11" s="265"/>
      <c r="O11" s="265"/>
      <c r="P11" s="265"/>
      <c r="Q11" s="265"/>
      <c r="R11" s="265"/>
      <c r="S11" s="265"/>
      <c r="T11" s="265"/>
      <c r="U11" s="265"/>
      <c r="V11" s="265"/>
      <c r="W11" s="265"/>
      <c r="X11" s="265"/>
      <c r="Y11" s="265"/>
      <c r="Z11" s="265"/>
    </row>
    <row r="12">
      <c r="A12" s="264" t="s">
        <v>694</v>
      </c>
      <c r="B12" s="264" t="s">
        <v>794</v>
      </c>
      <c r="C12" s="264" t="s">
        <v>796</v>
      </c>
      <c r="D12" s="264" t="s">
        <v>797</v>
      </c>
      <c r="E12" s="264" t="s">
        <v>798</v>
      </c>
      <c r="F12" s="264" t="s">
        <v>800</v>
      </c>
      <c r="G12" s="265"/>
      <c r="H12" s="265"/>
      <c r="I12" s="265"/>
      <c r="J12" s="265"/>
      <c r="K12" s="265"/>
      <c r="L12" s="265"/>
      <c r="M12" s="265"/>
      <c r="N12" s="265"/>
      <c r="O12" s="265"/>
      <c r="P12" s="265"/>
      <c r="Q12" s="265"/>
      <c r="R12" s="265"/>
      <c r="S12" s="265"/>
      <c r="T12" s="265"/>
      <c r="U12" s="265"/>
      <c r="V12" s="265"/>
      <c r="W12" s="265"/>
      <c r="X12" s="265"/>
      <c r="Y12" s="265"/>
      <c r="Z12" s="265"/>
    </row>
    <row r="13">
      <c r="A13" s="264" t="s">
        <v>694</v>
      </c>
      <c r="B13" s="264" t="s">
        <v>805</v>
      </c>
      <c r="C13" s="264" t="s">
        <v>807</v>
      </c>
      <c r="D13" s="264" t="s">
        <v>808</v>
      </c>
      <c r="E13" s="264" t="s">
        <v>809</v>
      </c>
      <c r="F13" s="264" t="s">
        <v>810</v>
      </c>
      <c r="G13" s="265"/>
      <c r="H13" s="265"/>
      <c r="I13" s="265"/>
      <c r="J13" s="265"/>
      <c r="K13" s="265"/>
      <c r="L13" s="265"/>
      <c r="M13" s="265"/>
      <c r="N13" s="265"/>
      <c r="O13" s="265"/>
      <c r="P13" s="265"/>
      <c r="Q13" s="265"/>
      <c r="R13" s="265"/>
      <c r="S13" s="265"/>
      <c r="T13" s="265"/>
      <c r="U13" s="265"/>
      <c r="V13" s="265"/>
      <c r="W13" s="265"/>
      <c r="X13" s="265"/>
      <c r="Y13" s="265"/>
      <c r="Z13" s="265"/>
    </row>
    <row r="14">
      <c r="A14" s="264" t="s">
        <v>694</v>
      </c>
      <c r="B14" s="264" t="s">
        <v>811</v>
      </c>
      <c r="C14" s="264" t="s">
        <v>812</v>
      </c>
      <c r="D14" s="264" t="s">
        <v>813</v>
      </c>
      <c r="E14" s="264" t="s">
        <v>814</v>
      </c>
      <c r="F14" s="264" t="s">
        <v>815</v>
      </c>
      <c r="G14" s="265"/>
      <c r="H14" s="265"/>
      <c r="I14" s="265"/>
      <c r="J14" s="265"/>
      <c r="K14" s="265"/>
      <c r="L14" s="265"/>
      <c r="M14" s="265"/>
      <c r="N14" s="265"/>
      <c r="O14" s="265"/>
      <c r="P14" s="265"/>
      <c r="Q14" s="265"/>
      <c r="R14" s="265"/>
      <c r="S14" s="265"/>
      <c r="T14" s="265"/>
      <c r="U14" s="265"/>
      <c r="V14" s="265"/>
      <c r="W14" s="265"/>
      <c r="X14" s="265"/>
      <c r="Y14" s="265"/>
      <c r="Z14" s="265"/>
    </row>
    <row r="15">
      <c r="A15" s="264" t="s">
        <v>694</v>
      </c>
      <c r="B15" s="264" t="s">
        <v>820</v>
      </c>
      <c r="C15" s="264" t="s">
        <v>821</v>
      </c>
      <c r="D15" s="264" t="s">
        <v>643</v>
      </c>
      <c r="E15" s="264" t="s">
        <v>822</v>
      </c>
      <c r="F15" s="264" t="s">
        <v>823</v>
      </c>
      <c r="G15" s="265"/>
      <c r="H15" s="265"/>
      <c r="I15" s="265"/>
      <c r="J15" s="265"/>
      <c r="K15" s="265"/>
      <c r="L15" s="265"/>
      <c r="M15" s="265"/>
      <c r="N15" s="265"/>
      <c r="O15" s="265"/>
      <c r="P15" s="265"/>
      <c r="Q15" s="265"/>
      <c r="R15" s="265"/>
      <c r="S15" s="265"/>
      <c r="T15" s="265"/>
      <c r="U15" s="265"/>
      <c r="V15" s="265"/>
      <c r="W15" s="265"/>
      <c r="X15" s="265"/>
      <c r="Y15" s="265"/>
      <c r="Z15" s="265"/>
    </row>
    <row r="16">
      <c r="A16" s="264" t="s">
        <v>694</v>
      </c>
      <c r="B16" s="264" t="s">
        <v>829</v>
      </c>
      <c r="C16" s="264" t="s">
        <v>830</v>
      </c>
      <c r="D16" s="264" t="s">
        <v>832</v>
      </c>
      <c r="E16" s="264" t="s">
        <v>833</v>
      </c>
      <c r="F16" s="264" t="s">
        <v>834</v>
      </c>
      <c r="G16" s="265"/>
      <c r="H16" s="265"/>
      <c r="I16" s="265"/>
      <c r="J16" s="265"/>
      <c r="K16" s="265"/>
      <c r="L16" s="265"/>
      <c r="M16" s="265"/>
      <c r="N16" s="265"/>
      <c r="O16" s="265"/>
      <c r="P16" s="265"/>
      <c r="Q16" s="265"/>
      <c r="R16" s="265"/>
      <c r="S16" s="265"/>
      <c r="T16" s="265"/>
      <c r="U16" s="265"/>
      <c r="V16" s="265"/>
      <c r="W16" s="265"/>
      <c r="X16" s="265"/>
      <c r="Y16" s="265"/>
      <c r="Z16" s="265"/>
    </row>
    <row r="17">
      <c r="A17" s="264" t="s">
        <v>694</v>
      </c>
      <c r="B17" s="264" t="s">
        <v>840</v>
      </c>
      <c r="C17" s="264" t="s">
        <v>842</v>
      </c>
      <c r="D17" s="264" t="s">
        <v>647</v>
      </c>
      <c r="E17" s="264" t="s">
        <v>843</v>
      </c>
      <c r="F17" s="264" t="s">
        <v>844</v>
      </c>
      <c r="G17" s="265"/>
      <c r="H17" s="265"/>
      <c r="I17" s="265"/>
      <c r="J17" s="265"/>
      <c r="K17" s="265"/>
      <c r="L17" s="265"/>
      <c r="M17" s="265"/>
      <c r="N17" s="265"/>
      <c r="O17" s="265"/>
      <c r="P17" s="265"/>
      <c r="Q17" s="265"/>
      <c r="R17" s="265"/>
      <c r="S17" s="265"/>
      <c r="T17" s="265"/>
      <c r="U17" s="265"/>
      <c r="V17" s="265"/>
      <c r="W17" s="265"/>
      <c r="X17" s="265"/>
      <c r="Y17" s="265"/>
      <c r="Z17" s="265"/>
    </row>
    <row r="18">
      <c r="A18" s="264" t="s">
        <v>694</v>
      </c>
      <c r="B18" s="264" t="s">
        <v>849</v>
      </c>
      <c r="C18" s="264" t="s">
        <v>850</v>
      </c>
      <c r="D18" s="264" t="s">
        <v>852</v>
      </c>
      <c r="E18" s="264" t="s">
        <v>854</v>
      </c>
      <c r="F18" s="264" t="s">
        <v>855</v>
      </c>
      <c r="G18" s="265"/>
      <c r="H18" s="265"/>
      <c r="I18" s="265"/>
      <c r="J18" s="265"/>
      <c r="K18" s="265"/>
      <c r="L18" s="265"/>
      <c r="M18" s="265"/>
      <c r="N18" s="265"/>
      <c r="O18" s="265"/>
      <c r="P18" s="265"/>
      <c r="Q18" s="265"/>
      <c r="R18" s="265"/>
      <c r="S18" s="265"/>
      <c r="T18" s="265"/>
      <c r="U18" s="265"/>
      <c r="V18" s="265"/>
      <c r="W18" s="265"/>
      <c r="X18" s="265"/>
      <c r="Y18" s="265"/>
      <c r="Z18" s="265"/>
    </row>
    <row r="19">
      <c r="A19" s="264" t="s">
        <v>694</v>
      </c>
      <c r="B19" s="264" t="s">
        <v>860</v>
      </c>
      <c r="C19" s="264" t="s">
        <v>861</v>
      </c>
      <c r="D19" s="264" t="s">
        <v>862</v>
      </c>
      <c r="E19" s="264" t="s">
        <v>863</v>
      </c>
      <c r="F19" s="264" t="s">
        <v>412</v>
      </c>
      <c r="G19" s="265"/>
      <c r="H19" s="265"/>
      <c r="I19" s="265"/>
      <c r="J19" s="265"/>
      <c r="K19" s="265"/>
      <c r="L19" s="265"/>
      <c r="M19" s="265"/>
      <c r="N19" s="265"/>
      <c r="O19" s="265"/>
      <c r="P19" s="265"/>
      <c r="Q19" s="265"/>
      <c r="R19" s="265"/>
      <c r="S19" s="265"/>
      <c r="T19" s="265"/>
      <c r="U19" s="265"/>
      <c r="V19" s="265"/>
      <c r="W19" s="265"/>
      <c r="X19" s="265"/>
      <c r="Y19" s="265"/>
      <c r="Z19" s="265"/>
    </row>
    <row r="20">
      <c r="A20" s="264" t="s">
        <v>694</v>
      </c>
      <c r="B20" s="264" t="s">
        <v>866</v>
      </c>
      <c r="C20" s="264" t="s">
        <v>868</v>
      </c>
      <c r="D20" s="264" t="s">
        <v>870</v>
      </c>
      <c r="E20" s="264" t="s">
        <v>871</v>
      </c>
      <c r="F20" s="264" t="s">
        <v>872</v>
      </c>
      <c r="G20" s="265"/>
      <c r="H20" s="265"/>
      <c r="I20" s="265"/>
      <c r="J20" s="265"/>
      <c r="K20" s="265"/>
      <c r="L20" s="265"/>
      <c r="M20" s="265"/>
      <c r="N20" s="265"/>
      <c r="O20" s="265"/>
      <c r="P20" s="265"/>
      <c r="Q20" s="265"/>
      <c r="R20" s="265"/>
      <c r="S20" s="265"/>
      <c r="T20" s="265"/>
      <c r="U20" s="265"/>
      <c r="V20" s="265"/>
      <c r="W20" s="265"/>
      <c r="X20" s="265"/>
      <c r="Y20" s="265"/>
      <c r="Z20" s="265"/>
    </row>
    <row r="21">
      <c r="A21" s="264" t="s">
        <v>694</v>
      </c>
      <c r="B21" s="264" t="s">
        <v>874</v>
      </c>
      <c r="C21" s="264" t="s">
        <v>875</v>
      </c>
      <c r="D21" s="264" t="s">
        <v>876</v>
      </c>
      <c r="E21" s="264" t="s">
        <v>877</v>
      </c>
      <c r="F21" s="264" t="s">
        <v>752</v>
      </c>
      <c r="G21" s="265"/>
      <c r="H21" s="265"/>
      <c r="I21" s="265"/>
      <c r="J21" s="265"/>
      <c r="K21" s="265"/>
      <c r="L21" s="265"/>
      <c r="M21" s="265"/>
      <c r="N21" s="265"/>
      <c r="O21" s="265"/>
      <c r="P21" s="265"/>
      <c r="Q21" s="265"/>
      <c r="R21" s="265"/>
      <c r="S21" s="265"/>
      <c r="T21" s="265"/>
      <c r="U21" s="265"/>
      <c r="V21" s="265"/>
      <c r="W21" s="265"/>
      <c r="X21" s="265"/>
      <c r="Y21" s="265"/>
      <c r="Z21" s="265"/>
    </row>
    <row r="22">
      <c r="A22" s="264" t="s">
        <v>694</v>
      </c>
      <c r="B22" s="264" t="s">
        <v>882</v>
      </c>
      <c r="C22" s="264" t="s">
        <v>884</v>
      </c>
      <c r="D22" s="264" t="s">
        <v>885</v>
      </c>
      <c r="E22" s="264" t="s">
        <v>886</v>
      </c>
      <c r="F22" s="264" t="s">
        <v>888</v>
      </c>
      <c r="G22" s="265"/>
      <c r="H22" s="265"/>
      <c r="I22" s="265"/>
      <c r="J22" s="265"/>
      <c r="K22" s="265"/>
      <c r="L22" s="265"/>
      <c r="M22" s="265"/>
      <c r="N22" s="265"/>
      <c r="O22" s="265"/>
      <c r="P22" s="265"/>
      <c r="Q22" s="265"/>
      <c r="R22" s="265"/>
      <c r="S22" s="265"/>
      <c r="T22" s="265"/>
      <c r="U22" s="265"/>
      <c r="V22" s="265"/>
      <c r="W22" s="265"/>
      <c r="X22" s="265"/>
      <c r="Y22" s="265"/>
      <c r="Z22" s="265"/>
    </row>
    <row r="23">
      <c r="A23" s="264" t="s">
        <v>694</v>
      </c>
      <c r="B23" s="264" t="s">
        <v>894</v>
      </c>
      <c r="C23" s="264" t="s">
        <v>895</v>
      </c>
      <c r="D23" s="264" t="s">
        <v>896</v>
      </c>
      <c r="E23" s="264" t="s">
        <v>897</v>
      </c>
      <c r="F23" s="264" t="s">
        <v>898</v>
      </c>
      <c r="G23" s="265"/>
      <c r="H23" s="265"/>
      <c r="I23" s="265"/>
      <c r="J23" s="265"/>
      <c r="K23" s="265"/>
      <c r="L23" s="265"/>
      <c r="M23" s="265"/>
      <c r="N23" s="265"/>
      <c r="O23" s="265"/>
      <c r="P23" s="265"/>
      <c r="Q23" s="265"/>
      <c r="R23" s="265"/>
      <c r="S23" s="265"/>
      <c r="T23" s="265"/>
      <c r="U23" s="265"/>
      <c r="V23" s="265"/>
      <c r="W23" s="265"/>
      <c r="X23" s="265"/>
      <c r="Y23" s="265"/>
      <c r="Z23" s="265"/>
    </row>
    <row r="24">
      <c r="A24" s="264" t="s">
        <v>694</v>
      </c>
      <c r="B24" s="264" t="s">
        <v>903</v>
      </c>
      <c r="C24" s="264" t="s">
        <v>905</v>
      </c>
      <c r="D24" s="264" t="s">
        <v>548</v>
      </c>
      <c r="E24" s="264" t="s">
        <v>907</v>
      </c>
      <c r="F24" s="264" t="s">
        <v>572</v>
      </c>
      <c r="G24" s="265"/>
      <c r="H24" s="265"/>
      <c r="I24" s="265"/>
      <c r="J24" s="265"/>
      <c r="K24" s="265"/>
      <c r="L24" s="265"/>
      <c r="M24" s="265"/>
      <c r="N24" s="265"/>
      <c r="O24" s="265"/>
      <c r="P24" s="265"/>
      <c r="Q24" s="265"/>
      <c r="R24" s="265"/>
      <c r="S24" s="265"/>
      <c r="T24" s="265"/>
      <c r="U24" s="265"/>
      <c r="V24" s="265"/>
      <c r="W24" s="265"/>
      <c r="X24" s="265"/>
      <c r="Y24" s="265"/>
      <c r="Z24" s="265"/>
    </row>
    <row r="25">
      <c r="A25" s="264" t="s">
        <v>694</v>
      </c>
      <c r="B25" s="264" t="s">
        <v>913</v>
      </c>
      <c r="C25" s="264" t="s">
        <v>915</v>
      </c>
      <c r="D25" s="264" t="s">
        <v>803</v>
      </c>
      <c r="E25" s="264" t="s">
        <v>916</v>
      </c>
      <c r="F25" s="264" t="s">
        <v>917</v>
      </c>
      <c r="G25" s="265"/>
      <c r="H25" s="265"/>
      <c r="I25" s="265"/>
      <c r="J25" s="265"/>
      <c r="K25" s="265"/>
      <c r="L25" s="265"/>
      <c r="M25" s="265"/>
      <c r="N25" s="265"/>
      <c r="O25" s="265"/>
      <c r="P25" s="265"/>
      <c r="Q25" s="265"/>
      <c r="R25" s="265"/>
      <c r="S25" s="265"/>
      <c r="T25" s="265"/>
      <c r="U25" s="265"/>
      <c r="V25" s="265"/>
      <c r="W25" s="265"/>
      <c r="X25" s="265"/>
      <c r="Y25" s="265"/>
      <c r="Z25" s="265"/>
    </row>
    <row r="26">
      <c r="A26" s="264" t="s">
        <v>694</v>
      </c>
      <c r="B26" s="264" t="s">
        <v>922</v>
      </c>
      <c r="C26" s="264" t="s">
        <v>924</v>
      </c>
      <c r="D26" s="264" t="s">
        <v>429</v>
      </c>
      <c r="E26" s="264" t="s">
        <v>926</v>
      </c>
      <c r="F26" s="264" t="s">
        <v>500</v>
      </c>
      <c r="G26" s="265"/>
      <c r="H26" s="265"/>
      <c r="I26" s="265"/>
      <c r="J26" s="265"/>
      <c r="K26" s="265"/>
      <c r="L26" s="265"/>
      <c r="M26" s="265"/>
      <c r="N26" s="265"/>
      <c r="O26" s="265"/>
      <c r="P26" s="265"/>
      <c r="Q26" s="265"/>
      <c r="R26" s="265"/>
      <c r="S26" s="265"/>
      <c r="T26" s="265"/>
      <c r="U26" s="265"/>
      <c r="V26" s="265"/>
      <c r="W26" s="265"/>
      <c r="X26" s="265"/>
      <c r="Y26" s="265"/>
      <c r="Z26" s="265"/>
    </row>
    <row r="27">
      <c r="A27" s="264" t="s">
        <v>694</v>
      </c>
      <c r="B27" s="264" t="s">
        <v>929</v>
      </c>
      <c r="C27" s="264" t="s">
        <v>930</v>
      </c>
      <c r="D27" s="264" t="s">
        <v>795</v>
      </c>
      <c r="E27" s="264" t="s">
        <v>931</v>
      </c>
      <c r="F27" s="264" t="s">
        <v>932</v>
      </c>
      <c r="G27" s="265"/>
      <c r="H27" s="265"/>
      <c r="I27" s="265"/>
      <c r="J27" s="265"/>
      <c r="K27" s="265"/>
      <c r="L27" s="265"/>
      <c r="M27" s="265"/>
      <c r="N27" s="265"/>
      <c r="O27" s="265"/>
      <c r="P27" s="265"/>
      <c r="Q27" s="265"/>
      <c r="R27" s="265"/>
      <c r="S27" s="265"/>
      <c r="T27" s="265"/>
      <c r="U27" s="265"/>
      <c r="V27" s="265"/>
      <c r="W27" s="265"/>
      <c r="X27" s="265"/>
      <c r="Y27" s="265"/>
      <c r="Z27" s="265"/>
    </row>
    <row r="28">
      <c r="A28" s="264" t="s">
        <v>694</v>
      </c>
      <c r="B28" s="264" t="s">
        <v>938</v>
      </c>
      <c r="C28" s="264" t="s">
        <v>940</v>
      </c>
      <c r="D28" s="264" t="s">
        <v>941</v>
      </c>
      <c r="E28" s="264" t="s">
        <v>942</v>
      </c>
      <c r="F28" s="264" t="s">
        <v>944</v>
      </c>
      <c r="G28" s="265"/>
      <c r="H28" s="265"/>
      <c r="I28" s="265"/>
      <c r="J28" s="265"/>
      <c r="K28" s="265"/>
      <c r="L28" s="265"/>
      <c r="M28" s="265"/>
      <c r="N28" s="265"/>
      <c r="O28" s="265"/>
      <c r="P28" s="265"/>
      <c r="Q28" s="265"/>
      <c r="R28" s="265"/>
      <c r="S28" s="265"/>
      <c r="T28" s="265"/>
      <c r="U28" s="265"/>
      <c r="V28" s="265"/>
      <c r="W28" s="265"/>
      <c r="X28" s="265"/>
      <c r="Y28" s="265"/>
      <c r="Z28" s="265"/>
    </row>
    <row r="29">
      <c r="A29" s="264" t="s">
        <v>694</v>
      </c>
      <c r="B29" s="264" t="s">
        <v>950</v>
      </c>
      <c r="C29" s="264" t="s">
        <v>951</v>
      </c>
      <c r="D29" s="264" t="s">
        <v>952</v>
      </c>
      <c r="E29" s="264" t="s">
        <v>953</v>
      </c>
      <c r="F29" s="264" t="s">
        <v>596</v>
      </c>
      <c r="G29" s="265"/>
      <c r="H29" s="265"/>
      <c r="I29" s="265"/>
      <c r="J29" s="265"/>
      <c r="K29" s="265"/>
      <c r="L29" s="265"/>
      <c r="M29" s="265"/>
      <c r="N29" s="265"/>
      <c r="O29" s="265"/>
      <c r="P29" s="265"/>
      <c r="Q29" s="265"/>
      <c r="R29" s="265"/>
      <c r="S29" s="265"/>
      <c r="T29" s="265"/>
      <c r="U29" s="265"/>
      <c r="V29" s="265"/>
      <c r="W29" s="265"/>
      <c r="X29" s="265"/>
      <c r="Y29" s="265"/>
      <c r="Z29" s="265"/>
    </row>
    <row r="30">
      <c r="A30" s="264" t="s">
        <v>694</v>
      </c>
      <c r="B30" s="264" t="s">
        <v>959</v>
      </c>
      <c r="C30" s="264" t="s">
        <v>960</v>
      </c>
      <c r="D30" s="264" t="s">
        <v>962</v>
      </c>
      <c r="E30" s="264" t="s">
        <v>963</v>
      </c>
      <c r="F30" s="264" t="s">
        <v>452</v>
      </c>
      <c r="G30" s="265"/>
      <c r="H30" s="265"/>
      <c r="I30" s="265"/>
      <c r="J30" s="265"/>
      <c r="K30" s="265"/>
      <c r="L30" s="265"/>
      <c r="M30" s="265"/>
      <c r="N30" s="265"/>
      <c r="O30" s="265"/>
      <c r="P30" s="265"/>
      <c r="Q30" s="265"/>
      <c r="R30" s="265"/>
      <c r="S30" s="265"/>
      <c r="T30" s="265"/>
      <c r="U30" s="265"/>
      <c r="V30" s="265"/>
      <c r="W30" s="265"/>
      <c r="X30" s="265"/>
      <c r="Y30" s="265"/>
      <c r="Z30" s="265"/>
    </row>
    <row r="31">
      <c r="A31" s="264" t="s">
        <v>694</v>
      </c>
      <c r="B31" s="264" t="s">
        <v>970</v>
      </c>
      <c r="C31" s="264" t="s">
        <v>971</v>
      </c>
      <c r="D31" s="264" t="s">
        <v>972</v>
      </c>
      <c r="E31" s="264" t="s">
        <v>973</v>
      </c>
      <c r="F31" s="264" t="s">
        <v>588</v>
      </c>
      <c r="G31" s="265"/>
      <c r="H31" s="265"/>
      <c r="I31" s="265"/>
      <c r="J31" s="265"/>
      <c r="K31" s="265"/>
      <c r="L31" s="265"/>
      <c r="M31" s="265"/>
      <c r="N31" s="265"/>
      <c r="O31" s="265"/>
      <c r="P31" s="265"/>
      <c r="Q31" s="265"/>
      <c r="R31" s="265"/>
      <c r="S31" s="265"/>
      <c r="T31" s="265"/>
      <c r="U31" s="265"/>
      <c r="V31" s="265"/>
      <c r="W31" s="265"/>
      <c r="X31" s="265"/>
      <c r="Y31" s="265"/>
      <c r="Z31" s="265"/>
    </row>
    <row r="32">
      <c r="A32" s="264" t="s">
        <v>694</v>
      </c>
      <c r="B32" s="264" t="s">
        <v>980</v>
      </c>
      <c r="C32" s="264" t="s">
        <v>981</v>
      </c>
      <c r="D32" s="264" t="s">
        <v>547</v>
      </c>
      <c r="E32" s="264" t="s">
        <v>983</v>
      </c>
      <c r="F32" s="264" t="s">
        <v>985</v>
      </c>
      <c r="G32" s="265"/>
      <c r="H32" s="265"/>
      <c r="I32" s="265"/>
      <c r="J32" s="265"/>
      <c r="K32" s="265"/>
      <c r="L32" s="265"/>
      <c r="M32" s="265"/>
      <c r="N32" s="265"/>
      <c r="O32" s="265"/>
      <c r="P32" s="265"/>
      <c r="Q32" s="265"/>
      <c r="R32" s="265"/>
      <c r="S32" s="265"/>
      <c r="T32" s="265"/>
      <c r="U32" s="265"/>
      <c r="V32" s="265"/>
      <c r="W32" s="265"/>
      <c r="X32" s="265"/>
      <c r="Y32" s="265"/>
      <c r="Z32" s="265"/>
    </row>
    <row r="33">
      <c r="A33" s="264" t="s">
        <v>694</v>
      </c>
      <c r="B33" s="264" t="s">
        <v>986</v>
      </c>
      <c r="C33" s="264" t="s">
        <v>987</v>
      </c>
      <c r="D33" s="264" t="s">
        <v>825</v>
      </c>
      <c r="E33" s="264" t="s">
        <v>988</v>
      </c>
      <c r="F33" s="264" t="s">
        <v>990</v>
      </c>
      <c r="G33" s="265"/>
      <c r="H33" s="265"/>
      <c r="I33" s="265"/>
      <c r="J33" s="265"/>
      <c r="K33" s="265"/>
      <c r="L33" s="265"/>
      <c r="M33" s="265"/>
      <c r="N33" s="265"/>
      <c r="O33" s="265"/>
      <c r="P33" s="265"/>
      <c r="Q33" s="265"/>
      <c r="R33" s="265"/>
      <c r="S33" s="265"/>
      <c r="T33" s="265"/>
      <c r="U33" s="265"/>
      <c r="V33" s="265"/>
      <c r="W33" s="265"/>
      <c r="X33" s="265"/>
      <c r="Y33" s="265"/>
      <c r="Z33" s="265"/>
    </row>
    <row r="34">
      <c r="A34" s="264" t="s">
        <v>694</v>
      </c>
      <c r="B34" s="264" t="s">
        <v>996</v>
      </c>
      <c r="C34" s="264" t="s">
        <v>997</v>
      </c>
      <c r="D34" s="264" t="s">
        <v>998</v>
      </c>
      <c r="E34" s="264" t="s">
        <v>1000</v>
      </c>
      <c r="F34" s="264" t="s">
        <v>1001</v>
      </c>
      <c r="G34" s="265"/>
      <c r="H34" s="265"/>
      <c r="I34" s="265"/>
      <c r="J34" s="265"/>
      <c r="K34" s="265"/>
      <c r="L34" s="265"/>
      <c r="M34" s="265"/>
      <c r="N34" s="265"/>
      <c r="O34" s="265"/>
      <c r="P34" s="265"/>
      <c r="Q34" s="265"/>
      <c r="R34" s="265"/>
      <c r="S34" s="265"/>
      <c r="T34" s="265"/>
      <c r="U34" s="265"/>
      <c r="V34" s="265"/>
      <c r="W34" s="265"/>
      <c r="X34" s="265"/>
      <c r="Y34" s="265"/>
      <c r="Z34" s="265"/>
    </row>
    <row r="35">
      <c r="A35" s="264" t="s">
        <v>694</v>
      </c>
      <c r="B35" s="264" t="s">
        <v>1006</v>
      </c>
      <c r="C35" s="264" t="s">
        <v>1008</v>
      </c>
      <c r="D35" s="264" t="s">
        <v>1009</v>
      </c>
      <c r="E35" s="264" t="s">
        <v>1010</v>
      </c>
      <c r="F35" s="264" t="s">
        <v>1011</v>
      </c>
      <c r="G35" s="265"/>
      <c r="H35" s="265"/>
      <c r="I35" s="265"/>
      <c r="J35" s="265"/>
      <c r="K35" s="265"/>
      <c r="L35" s="265"/>
      <c r="M35" s="265"/>
      <c r="N35" s="265"/>
      <c r="O35" s="265"/>
      <c r="P35" s="265"/>
      <c r="Q35" s="265"/>
      <c r="R35" s="265"/>
      <c r="S35" s="265"/>
      <c r="T35" s="265"/>
      <c r="U35" s="265"/>
      <c r="V35" s="265"/>
      <c r="W35" s="265"/>
      <c r="X35" s="265"/>
      <c r="Y35" s="265"/>
      <c r="Z35" s="265"/>
    </row>
    <row r="36">
      <c r="A36" s="264" t="s">
        <v>694</v>
      </c>
      <c r="B36" s="264" t="s">
        <v>1016</v>
      </c>
      <c r="C36" s="264" t="s">
        <v>1017</v>
      </c>
      <c r="D36" s="264" t="s">
        <v>1018</v>
      </c>
      <c r="E36" s="264" t="s">
        <v>1020</v>
      </c>
      <c r="F36" s="264" t="s">
        <v>1021</v>
      </c>
      <c r="G36" s="265"/>
      <c r="H36" s="265"/>
      <c r="I36" s="265"/>
      <c r="J36" s="265"/>
      <c r="K36" s="265"/>
      <c r="L36" s="265"/>
      <c r="M36" s="265"/>
      <c r="N36" s="265"/>
      <c r="O36" s="265"/>
      <c r="P36" s="265"/>
      <c r="Q36" s="265"/>
      <c r="R36" s="265"/>
      <c r="S36" s="265"/>
      <c r="T36" s="265"/>
      <c r="U36" s="265"/>
      <c r="V36" s="265"/>
      <c r="W36" s="265"/>
      <c r="X36" s="265"/>
      <c r="Y36" s="265"/>
      <c r="Z36" s="265"/>
    </row>
    <row r="37">
      <c r="A37" s="264" t="s">
        <v>694</v>
      </c>
      <c r="B37" s="264" t="s">
        <v>1026</v>
      </c>
      <c r="C37" s="264" t="s">
        <v>1027</v>
      </c>
      <c r="D37" s="264" t="s">
        <v>1029</v>
      </c>
      <c r="E37" s="264" t="s">
        <v>1030</v>
      </c>
      <c r="F37" s="264" t="s">
        <v>1031</v>
      </c>
      <c r="G37" s="265"/>
      <c r="H37" s="265"/>
      <c r="I37" s="265"/>
      <c r="J37" s="265"/>
      <c r="K37" s="265"/>
      <c r="L37" s="265"/>
      <c r="M37" s="265"/>
      <c r="N37" s="265"/>
      <c r="O37" s="265"/>
      <c r="P37" s="265"/>
      <c r="Q37" s="265"/>
      <c r="R37" s="265"/>
      <c r="S37" s="265"/>
      <c r="T37" s="265"/>
      <c r="U37" s="265"/>
      <c r="V37" s="265"/>
      <c r="W37" s="265"/>
      <c r="X37" s="265"/>
      <c r="Y37" s="265"/>
      <c r="Z37" s="265"/>
    </row>
    <row r="38">
      <c r="A38" s="264" t="s">
        <v>694</v>
      </c>
      <c r="B38" s="264" t="s">
        <v>1035</v>
      </c>
      <c r="C38" s="264" t="s">
        <v>1036</v>
      </c>
      <c r="D38" s="264" t="s">
        <v>1038</v>
      </c>
      <c r="E38" s="264" t="s">
        <v>1040</v>
      </c>
      <c r="F38" s="264" t="s">
        <v>652</v>
      </c>
      <c r="G38" s="265"/>
      <c r="H38" s="265"/>
      <c r="I38" s="265"/>
      <c r="J38" s="265"/>
      <c r="K38" s="265"/>
      <c r="L38" s="265"/>
      <c r="M38" s="265"/>
      <c r="N38" s="265"/>
      <c r="O38" s="265"/>
      <c r="P38" s="265"/>
      <c r="Q38" s="265"/>
      <c r="R38" s="265"/>
      <c r="S38" s="265"/>
      <c r="T38" s="265"/>
      <c r="U38" s="265"/>
      <c r="V38" s="265"/>
      <c r="W38" s="265"/>
      <c r="X38" s="265"/>
      <c r="Y38" s="265"/>
      <c r="Z38" s="265"/>
    </row>
    <row r="39">
      <c r="A39" s="264" t="s">
        <v>694</v>
      </c>
      <c r="B39" s="264" t="s">
        <v>1045</v>
      </c>
      <c r="C39" s="264" t="s">
        <v>1046</v>
      </c>
      <c r="D39" s="264" t="s">
        <v>764</v>
      </c>
      <c r="E39" s="264" t="s">
        <v>1047</v>
      </c>
      <c r="F39" s="264" t="s">
        <v>1048</v>
      </c>
      <c r="G39" s="265"/>
      <c r="H39" s="265"/>
      <c r="I39" s="265"/>
      <c r="J39" s="265"/>
      <c r="K39" s="265"/>
      <c r="L39" s="265"/>
      <c r="M39" s="265"/>
      <c r="N39" s="265"/>
      <c r="O39" s="265"/>
      <c r="P39" s="265"/>
      <c r="Q39" s="265"/>
      <c r="R39" s="265"/>
      <c r="S39" s="265"/>
      <c r="T39" s="265"/>
      <c r="U39" s="265"/>
      <c r="V39" s="265"/>
      <c r="W39" s="265"/>
      <c r="X39" s="265"/>
      <c r="Y39" s="265"/>
      <c r="Z39" s="265"/>
    </row>
    <row r="40">
      <c r="A40" s="264" t="s">
        <v>694</v>
      </c>
      <c r="B40" s="264" t="s">
        <v>1050</v>
      </c>
      <c r="C40" s="264" t="s">
        <v>1051</v>
      </c>
      <c r="D40" s="264" t="s">
        <v>1053</v>
      </c>
      <c r="E40" s="264" t="s">
        <v>1054</v>
      </c>
      <c r="F40" s="264" t="s">
        <v>1056</v>
      </c>
      <c r="G40" s="265"/>
      <c r="H40" s="265"/>
      <c r="I40" s="265"/>
      <c r="J40" s="265"/>
      <c r="K40" s="265"/>
      <c r="L40" s="265"/>
      <c r="M40" s="265"/>
      <c r="N40" s="265"/>
      <c r="O40" s="265"/>
      <c r="P40" s="265"/>
      <c r="Q40" s="265"/>
      <c r="R40" s="265"/>
      <c r="S40" s="265"/>
      <c r="T40" s="265"/>
      <c r="U40" s="265"/>
      <c r="V40" s="265"/>
      <c r="W40" s="265"/>
      <c r="X40" s="265"/>
      <c r="Y40" s="265"/>
      <c r="Z40" s="265"/>
    </row>
    <row r="41">
      <c r="A41" s="264" t="s">
        <v>694</v>
      </c>
      <c r="B41" s="264" t="s">
        <v>1062</v>
      </c>
      <c r="C41" s="264" t="s">
        <v>1063</v>
      </c>
      <c r="D41" s="264" t="s">
        <v>722</v>
      </c>
      <c r="E41" s="264" t="s">
        <v>1065</v>
      </c>
      <c r="F41" s="264" t="s">
        <v>982</v>
      </c>
      <c r="G41" s="265"/>
      <c r="H41" s="265"/>
      <c r="I41" s="265"/>
      <c r="J41" s="265"/>
      <c r="K41" s="265"/>
      <c r="L41" s="265"/>
      <c r="M41" s="265"/>
      <c r="N41" s="265"/>
      <c r="O41" s="265"/>
      <c r="P41" s="265"/>
      <c r="Q41" s="265"/>
      <c r="R41" s="265"/>
      <c r="S41" s="265"/>
      <c r="T41" s="265"/>
      <c r="U41" s="265"/>
      <c r="V41" s="265"/>
      <c r="W41" s="265"/>
      <c r="X41" s="265"/>
      <c r="Y41" s="265"/>
      <c r="Z41" s="265"/>
    </row>
    <row r="42">
      <c r="A42" s="264" t="s">
        <v>694</v>
      </c>
      <c r="B42" s="264" t="s">
        <v>1071</v>
      </c>
      <c r="C42" s="264" t="s">
        <v>1072</v>
      </c>
      <c r="D42" s="264" t="s">
        <v>1073</v>
      </c>
      <c r="E42" s="264" t="s">
        <v>1074</v>
      </c>
      <c r="F42" s="264" t="s">
        <v>1076</v>
      </c>
      <c r="G42" s="265"/>
      <c r="H42" s="265"/>
      <c r="I42" s="265"/>
      <c r="J42" s="265"/>
      <c r="K42" s="265"/>
      <c r="L42" s="265"/>
      <c r="M42" s="265"/>
      <c r="N42" s="265"/>
      <c r="O42" s="265"/>
      <c r="P42" s="265"/>
      <c r="Q42" s="265"/>
      <c r="R42" s="265"/>
      <c r="S42" s="265"/>
      <c r="T42" s="265"/>
      <c r="U42" s="265"/>
      <c r="V42" s="265"/>
      <c r="W42" s="265"/>
      <c r="X42" s="265"/>
      <c r="Y42" s="265"/>
      <c r="Z42" s="265"/>
    </row>
    <row r="43">
      <c r="A43" s="264" t="s">
        <v>694</v>
      </c>
      <c r="B43" s="264" t="s">
        <v>1084</v>
      </c>
      <c r="C43" s="264" t="s">
        <v>1085</v>
      </c>
      <c r="D43" s="264" t="s">
        <v>1086</v>
      </c>
      <c r="E43" s="264" t="s">
        <v>1088</v>
      </c>
      <c r="F43" s="264" t="s">
        <v>1089</v>
      </c>
      <c r="G43" s="265"/>
      <c r="H43" s="265"/>
      <c r="I43" s="265"/>
      <c r="J43" s="265"/>
      <c r="K43" s="265"/>
      <c r="L43" s="265"/>
      <c r="M43" s="265"/>
      <c r="N43" s="265"/>
      <c r="O43" s="265"/>
      <c r="P43" s="265"/>
      <c r="Q43" s="265"/>
      <c r="R43" s="265"/>
      <c r="S43" s="265"/>
      <c r="T43" s="265"/>
      <c r="U43" s="265"/>
      <c r="V43" s="265"/>
      <c r="W43" s="265"/>
      <c r="X43" s="265"/>
      <c r="Y43" s="265"/>
      <c r="Z43" s="265"/>
    </row>
    <row r="44">
      <c r="A44" s="264" t="s">
        <v>694</v>
      </c>
      <c r="B44" s="264" t="s">
        <v>1097</v>
      </c>
      <c r="C44" s="264" t="s">
        <v>1098</v>
      </c>
      <c r="D44" s="264" t="s">
        <v>1099</v>
      </c>
      <c r="E44" s="264" t="s">
        <v>1100</v>
      </c>
      <c r="F44" s="264" t="s">
        <v>1101</v>
      </c>
      <c r="G44" s="265"/>
      <c r="H44" s="265"/>
      <c r="I44" s="265"/>
      <c r="J44" s="265"/>
      <c r="K44" s="265"/>
      <c r="L44" s="265"/>
      <c r="M44" s="265"/>
      <c r="N44" s="265"/>
      <c r="O44" s="265"/>
      <c r="P44" s="265"/>
      <c r="Q44" s="265"/>
      <c r="R44" s="265"/>
      <c r="S44" s="265"/>
      <c r="T44" s="265"/>
      <c r="U44" s="265"/>
      <c r="V44" s="265"/>
      <c r="W44" s="265"/>
      <c r="X44" s="265"/>
      <c r="Y44" s="265"/>
      <c r="Z44" s="265"/>
    </row>
    <row r="45">
      <c r="A45" s="264" t="s">
        <v>694</v>
      </c>
      <c r="B45" s="264" t="s">
        <v>1108</v>
      </c>
      <c r="C45" s="264" t="s">
        <v>1110</v>
      </c>
      <c r="D45" s="264" t="s">
        <v>1111</v>
      </c>
      <c r="E45" s="264" t="s">
        <v>1112</v>
      </c>
      <c r="F45" s="264" t="s">
        <v>1113</v>
      </c>
      <c r="G45" s="265"/>
      <c r="H45" s="265"/>
      <c r="I45" s="265"/>
      <c r="J45" s="265"/>
      <c r="K45" s="265"/>
      <c r="L45" s="265"/>
      <c r="M45" s="265"/>
      <c r="N45" s="265"/>
      <c r="O45" s="265"/>
      <c r="P45" s="265"/>
      <c r="Q45" s="265"/>
      <c r="R45" s="265"/>
      <c r="S45" s="265"/>
      <c r="T45" s="265"/>
      <c r="U45" s="265"/>
      <c r="V45" s="265"/>
      <c r="W45" s="265"/>
      <c r="X45" s="265"/>
      <c r="Y45" s="265"/>
      <c r="Z45" s="265"/>
    </row>
    <row r="46">
      <c r="A46" s="264" t="s">
        <v>694</v>
      </c>
      <c r="B46" s="264" t="s">
        <v>1122</v>
      </c>
      <c r="C46" s="264" t="s">
        <v>1123</v>
      </c>
      <c r="D46" s="264" t="s">
        <v>1124</v>
      </c>
      <c r="E46" s="264" t="s">
        <v>1125</v>
      </c>
      <c r="F46" s="264" t="s">
        <v>1127</v>
      </c>
      <c r="G46" s="265"/>
      <c r="H46" s="265"/>
      <c r="I46" s="265"/>
      <c r="J46" s="265"/>
      <c r="K46" s="265"/>
      <c r="L46" s="265"/>
      <c r="M46" s="265"/>
      <c r="N46" s="265"/>
      <c r="O46" s="265"/>
      <c r="P46" s="265"/>
      <c r="Q46" s="265"/>
      <c r="R46" s="265"/>
      <c r="S46" s="265"/>
      <c r="T46" s="265"/>
      <c r="U46" s="265"/>
      <c r="V46" s="265"/>
      <c r="W46" s="265"/>
      <c r="X46" s="265"/>
      <c r="Y46" s="265"/>
      <c r="Z46" s="265"/>
    </row>
    <row r="47">
      <c r="A47" s="264" t="s">
        <v>694</v>
      </c>
      <c r="B47" s="264" t="s">
        <v>1134</v>
      </c>
      <c r="C47" s="264" t="s">
        <v>1136</v>
      </c>
      <c r="D47" s="264" t="s">
        <v>447</v>
      </c>
      <c r="E47" s="264" t="s">
        <v>1138</v>
      </c>
      <c r="F47" s="264" t="s">
        <v>1140</v>
      </c>
      <c r="G47" s="265"/>
      <c r="H47" s="265"/>
      <c r="I47" s="265"/>
      <c r="J47" s="265"/>
      <c r="K47" s="265"/>
      <c r="L47" s="265"/>
      <c r="M47" s="265"/>
      <c r="N47" s="265"/>
      <c r="O47" s="265"/>
      <c r="P47" s="265"/>
      <c r="Q47" s="265"/>
      <c r="R47" s="265"/>
      <c r="S47" s="265"/>
      <c r="T47" s="265"/>
      <c r="U47" s="265"/>
      <c r="V47" s="265"/>
      <c r="W47" s="265"/>
      <c r="X47" s="265"/>
      <c r="Y47" s="265"/>
      <c r="Z47" s="265"/>
    </row>
    <row r="48">
      <c r="A48" s="264" t="s">
        <v>694</v>
      </c>
      <c r="B48" s="264" t="s">
        <v>1146</v>
      </c>
      <c r="C48" s="264" t="s">
        <v>1147</v>
      </c>
      <c r="D48" s="264" t="s">
        <v>1148</v>
      </c>
      <c r="E48" s="264" t="s">
        <v>1149</v>
      </c>
      <c r="F48" s="264" t="s">
        <v>1150</v>
      </c>
      <c r="G48" s="265"/>
      <c r="H48" s="265"/>
      <c r="I48" s="265"/>
      <c r="J48" s="265"/>
      <c r="K48" s="265"/>
      <c r="L48" s="265"/>
      <c r="M48" s="265"/>
      <c r="N48" s="265"/>
      <c r="O48" s="265"/>
      <c r="P48" s="265"/>
      <c r="Q48" s="265"/>
      <c r="R48" s="265"/>
      <c r="S48" s="265"/>
      <c r="T48" s="265"/>
      <c r="U48" s="265"/>
      <c r="V48" s="265"/>
      <c r="W48" s="265"/>
      <c r="X48" s="265"/>
      <c r="Y48" s="265"/>
      <c r="Z48" s="265"/>
    </row>
    <row r="49">
      <c r="A49" s="264" t="s">
        <v>694</v>
      </c>
      <c r="B49" s="264" t="s">
        <v>1159</v>
      </c>
      <c r="C49" s="264" t="s">
        <v>1160</v>
      </c>
      <c r="D49" s="264" t="s">
        <v>1162</v>
      </c>
      <c r="E49" s="264" t="s">
        <v>1164</v>
      </c>
      <c r="F49" s="264" t="s">
        <v>1165</v>
      </c>
      <c r="G49" s="265"/>
      <c r="H49" s="265"/>
      <c r="I49" s="265"/>
      <c r="J49" s="265"/>
      <c r="K49" s="265"/>
      <c r="L49" s="265"/>
      <c r="M49" s="265"/>
      <c r="N49" s="265"/>
      <c r="O49" s="265"/>
      <c r="P49" s="265"/>
      <c r="Q49" s="265"/>
      <c r="R49" s="265"/>
      <c r="S49" s="265"/>
      <c r="T49" s="265"/>
      <c r="U49" s="265"/>
      <c r="V49" s="265"/>
      <c r="W49" s="265"/>
      <c r="X49" s="265"/>
      <c r="Y49" s="265"/>
      <c r="Z49" s="265"/>
    </row>
    <row r="50">
      <c r="A50" s="264" t="s">
        <v>694</v>
      </c>
      <c r="B50" s="264" t="s">
        <v>1172</v>
      </c>
      <c r="C50" s="264" t="s">
        <v>1174</v>
      </c>
      <c r="D50" s="264" t="s">
        <v>1176</v>
      </c>
      <c r="E50" s="264" t="s">
        <v>1177</v>
      </c>
      <c r="F50" s="264" t="s">
        <v>1179</v>
      </c>
      <c r="G50" s="265"/>
      <c r="H50" s="265"/>
      <c r="I50" s="265"/>
      <c r="J50" s="265"/>
      <c r="K50" s="265"/>
      <c r="L50" s="265"/>
      <c r="M50" s="265"/>
      <c r="N50" s="265"/>
      <c r="O50" s="265"/>
      <c r="P50" s="265"/>
      <c r="Q50" s="265"/>
      <c r="R50" s="265"/>
      <c r="S50" s="265"/>
      <c r="T50" s="265"/>
      <c r="U50" s="265"/>
      <c r="V50" s="265"/>
      <c r="W50" s="265"/>
      <c r="X50" s="265"/>
      <c r="Y50" s="265"/>
      <c r="Z50" s="265"/>
    </row>
    <row r="51">
      <c r="A51" s="264" t="s">
        <v>694</v>
      </c>
      <c r="B51" s="264" t="s">
        <v>1185</v>
      </c>
      <c r="C51" s="264" t="s">
        <v>1187</v>
      </c>
      <c r="D51" s="264" t="s">
        <v>1188</v>
      </c>
      <c r="E51" s="264" t="s">
        <v>1189</v>
      </c>
      <c r="F51" s="264" t="s">
        <v>699</v>
      </c>
      <c r="G51" s="265"/>
      <c r="H51" s="265"/>
      <c r="I51" s="265"/>
      <c r="J51" s="265"/>
      <c r="K51" s="265"/>
      <c r="L51" s="265"/>
      <c r="M51" s="265"/>
      <c r="N51" s="265"/>
      <c r="O51" s="265"/>
      <c r="P51" s="265"/>
      <c r="Q51" s="265"/>
      <c r="R51" s="265"/>
      <c r="S51" s="265"/>
      <c r="T51" s="265"/>
      <c r="U51" s="265"/>
      <c r="V51" s="265"/>
      <c r="W51" s="265"/>
      <c r="X51" s="265"/>
      <c r="Y51" s="265"/>
      <c r="Z51" s="265"/>
    </row>
    <row r="52">
      <c r="A52" s="264" t="s">
        <v>694</v>
      </c>
      <c r="B52" s="264" t="s">
        <v>1195</v>
      </c>
      <c r="C52" s="264" t="s">
        <v>1197</v>
      </c>
      <c r="D52" s="264" t="s">
        <v>495</v>
      </c>
      <c r="E52" s="264" t="s">
        <v>1198</v>
      </c>
      <c r="F52" s="264" t="s">
        <v>520</v>
      </c>
      <c r="G52" s="265"/>
      <c r="H52" s="265"/>
      <c r="I52" s="265"/>
      <c r="J52" s="265"/>
      <c r="K52" s="265"/>
      <c r="L52" s="265"/>
      <c r="M52" s="265"/>
      <c r="N52" s="265"/>
      <c r="O52" s="265"/>
      <c r="P52" s="265"/>
      <c r="Q52" s="265"/>
      <c r="R52" s="265"/>
      <c r="S52" s="265"/>
      <c r="T52" s="265"/>
      <c r="U52" s="265"/>
      <c r="V52" s="265"/>
      <c r="W52" s="265"/>
      <c r="X52" s="265"/>
      <c r="Y52" s="265"/>
      <c r="Z52" s="265"/>
    </row>
    <row r="53">
      <c r="A53" s="264" t="s">
        <v>694</v>
      </c>
      <c r="B53" s="264" t="s">
        <v>1199</v>
      </c>
      <c r="C53" s="264" t="s">
        <v>1200</v>
      </c>
      <c r="D53" s="264" t="s">
        <v>1201</v>
      </c>
      <c r="E53" s="264" t="s">
        <v>1202</v>
      </c>
      <c r="F53" s="264" t="s">
        <v>1203</v>
      </c>
      <c r="G53" s="265"/>
      <c r="H53" s="265"/>
      <c r="I53" s="265"/>
      <c r="J53" s="265"/>
      <c r="K53" s="265"/>
      <c r="L53" s="265"/>
      <c r="M53" s="265"/>
      <c r="N53" s="265"/>
      <c r="O53" s="265"/>
      <c r="P53" s="265"/>
      <c r="Q53" s="265"/>
      <c r="R53" s="265"/>
      <c r="S53" s="265"/>
      <c r="T53" s="265"/>
      <c r="U53" s="265"/>
      <c r="V53" s="265"/>
      <c r="W53" s="265"/>
      <c r="X53" s="265"/>
      <c r="Y53" s="265"/>
      <c r="Z53" s="265"/>
    </row>
    <row r="54">
      <c r="A54" s="264" t="s">
        <v>694</v>
      </c>
      <c r="B54" s="264" t="s">
        <v>1212</v>
      </c>
      <c r="C54" s="264" t="s">
        <v>1213</v>
      </c>
      <c r="D54" s="264" t="s">
        <v>1214</v>
      </c>
      <c r="E54" s="264" t="s">
        <v>1215</v>
      </c>
      <c r="F54" s="264" t="s">
        <v>1216</v>
      </c>
      <c r="G54" s="265"/>
      <c r="H54" s="265"/>
      <c r="I54" s="265"/>
      <c r="J54" s="265"/>
      <c r="K54" s="265"/>
      <c r="L54" s="265"/>
      <c r="M54" s="265"/>
      <c r="N54" s="265"/>
      <c r="O54" s="265"/>
      <c r="P54" s="265"/>
      <c r="Q54" s="265"/>
      <c r="R54" s="265"/>
      <c r="S54" s="265"/>
      <c r="T54" s="265"/>
      <c r="U54" s="265"/>
      <c r="V54" s="265"/>
      <c r="W54" s="265"/>
      <c r="X54" s="265"/>
      <c r="Y54" s="265"/>
      <c r="Z54" s="265"/>
    </row>
    <row r="55">
      <c r="A55" s="264" t="s">
        <v>694</v>
      </c>
      <c r="B55" s="264" t="s">
        <v>1223</v>
      </c>
      <c r="C55" s="264" t="s">
        <v>1225</v>
      </c>
      <c r="D55" s="264" t="s">
        <v>1227</v>
      </c>
      <c r="E55" s="264" t="s">
        <v>1228</v>
      </c>
      <c r="F55" s="264" t="s">
        <v>1229</v>
      </c>
      <c r="G55" s="265"/>
      <c r="H55" s="265"/>
      <c r="I55" s="265"/>
      <c r="J55" s="265"/>
      <c r="K55" s="265"/>
      <c r="L55" s="265"/>
      <c r="M55" s="265"/>
      <c r="N55" s="265"/>
      <c r="O55" s="265"/>
      <c r="P55" s="265"/>
      <c r="Q55" s="265"/>
      <c r="R55" s="265"/>
      <c r="S55" s="265"/>
      <c r="T55" s="265"/>
      <c r="U55" s="265"/>
      <c r="V55" s="265"/>
      <c r="W55" s="265"/>
      <c r="X55" s="265"/>
      <c r="Y55" s="265"/>
      <c r="Z55" s="265"/>
    </row>
    <row r="56">
      <c r="A56" s="264" t="s">
        <v>694</v>
      </c>
      <c r="B56" s="264" t="s">
        <v>1234</v>
      </c>
      <c r="C56" s="264" t="s">
        <v>1236</v>
      </c>
      <c r="D56" s="264" t="s">
        <v>1237</v>
      </c>
      <c r="E56" s="264" t="s">
        <v>1239</v>
      </c>
      <c r="F56" s="264" t="s">
        <v>1240</v>
      </c>
      <c r="G56" s="265"/>
      <c r="H56" s="265"/>
      <c r="I56" s="265"/>
      <c r="J56" s="265"/>
      <c r="K56" s="265"/>
      <c r="L56" s="265"/>
      <c r="M56" s="265"/>
      <c r="N56" s="265"/>
      <c r="O56" s="265"/>
      <c r="P56" s="265"/>
      <c r="Q56" s="265"/>
      <c r="R56" s="265"/>
      <c r="S56" s="265"/>
      <c r="T56" s="265"/>
      <c r="U56" s="265"/>
      <c r="V56" s="265"/>
      <c r="W56" s="265"/>
      <c r="X56" s="265"/>
      <c r="Y56" s="265"/>
      <c r="Z56" s="265"/>
    </row>
    <row r="57">
      <c r="A57" s="264" t="s">
        <v>694</v>
      </c>
      <c r="B57" s="264" t="s">
        <v>1247</v>
      </c>
      <c r="C57" s="264" t="s">
        <v>1248</v>
      </c>
      <c r="D57" s="264" t="s">
        <v>879</v>
      </c>
      <c r="E57" s="264" t="s">
        <v>1250</v>
      </c>
      <c r="F57" s="264" t="s">
        <v>568</v>
      </c>
      <c r="G57" s="265"/>
      <c r="H57" s="265"/>
      <c r="I57" s="265"/>
      <c r="J57" s="265"/>
      <c r="K57" s="265"/>
      <c r="L57" s="265"/>
      <c r="M57" s="265"/>
      <c r="N57" s="265"/>
      <c r="O57" s="265"/>
      <c r="P57" s="265"/>
      <c r="Q57" s="265"/>
      <c r="R57" s="265"/>
      <c r="S57" s="265"/>
      <c r="T57" s="265"/>
      <c r="U57" s="265"/>
      <c r="V57" s="265"/>
      <c r="W57" s="265"/>
      <c r="X57" s="265"/>
      <c r="Y57" s="265"/>
      <c r="Z57" s="265"/>
    </row>
    <row r="58">
      <c r="A58" s="264" t="s">
        <v>694</v>
      </c>
      <c r="B58" s="264" t="s">
        <v>1254</v>
      </c>
      <c r="C58" s="264" t="s">
        <v>1256</v>
      </c>
      <c r="D58" s="264" t="s">
        <v>869</v>
      </c>
      <c r="E58" s="264" t="s">
        <v>1258</v>
      </c>
      <c r="F58" s="264" t="s">
        <v>1260</v>
      </c>
      <c r="G58" s="265"/>
      <c r="H58" s="265"/>
      <c r="I58" s="265"/>
      <c r="J58" s="265"/>
      <c r="K58" s="265"/>
      <c r="L58" s="265"/>
      <c r="M58" s="265"/>
      <c r="N58" s="265"/>
      <c r="O58" s="265"/>
      <c r="P58" s="265"/>
      <c r="Q58" s="265"/>
      <c r="R58" s="265"/>
      <c r="S58" s="265"/>
      <c r="T58" s="265"/>
      <c r="U58" s="265"/>
      <c r="V58" s="265"/>
      <c r="W58" s="265"/>
      <c r="X58" s="265"/>
      <c r="Y58" s="265"/>
      <c r="Z58" s="265"/>
    </row>
    <row r="59">
      <c r="A59" s="264" t="s">
        <v>694</v>
      </c>
      <c r="B59" s="264" t="s">
        <v>1266</v>
      </c>
      <c r="C59" s="264" t="s">
        <v>1267</v>
      </c>
      <c r="D59" s="264" t="s">
        <v>1269</v>
      </c>
      <c r="E59" s="264" t="s">
        <v>1271</v>
      </c>
      <c r="F59" s="264" t="s">
        <v>1272</v>
      </c>
      <c r="G59" s="265"/>
      <c r="H59" s="265"/>
      <c r="I59" s="265"/>
      <c r="J59" s="265"/>
      <c r="K59" s="265"/>
      <c r="L59" s="265"/>
      <c r="M59" s="265"/>
      <c r="N59" s="265"/>
      <c r="O59" s="265"/>
      <c r="P59" s="265"/>
      <c r="Q59" s="265"/>
      <c r="R59" s="265"/>
      <c r="S59" s="265"/>
      <c r="T59" s="265"/>
      <c r="U59" s="265"/>
      <c r="V59" s="265"/>
      <c r="W59" s="265"/>
      <c r="X59" s="265"/>
      <c r="Y59" s="265"/>
      <c r="Z59" s="265"/>
    </row>
    <row r="60">
      <c r="A60" s="264" t="s">
        <v>694</v>
      </c>
      <c r="B60" s="264" t="s">
        <v>1276</v>
      </c>
      <c r="C60" s="264" t="s">
        <v>1278</v>
      </c>
      <c r="D60" s="264" t="s">
        <v>1279</v>
      </c>
      <c r="E60" s="264" t="s">
        <v>1280</v>
      </c>
      <c r="F60" s="264" t="s">
        <v>1281</v>
      </c>
      <c r="G60" s="265"/>
      <c r="H60" s="265"/>
      <c r="I60" s="265"/>
      <c r="J60" s="265"/>
      <c r="K60" s="265"/>
      <c r="L60" s="265"/>
      <c r="M60" s="265"/>
      <c r="N60" s="265"/>
      <c r="O60" s="265"/>
      <c r="P60" s="265"/>
      <c r="Q60" s="265"/>
      <c r="R60" s="265"/>
      <c r="S60" s="265"/>
      <c r="T60" s="265"/>
      <c r="U60" s="265"/>
      <c r="V60" s="265"/>
      <c r="W60" s="265"/>
      <c r="X60" s="265"/>
      <c r="Y60" s="265"/>
      <c r="Z60" s="265"/>
    </row>
    <row r="61">
      <c r="A61" s="264" t="s">
        <v>694</v>
      </c>
      <c r="B61" s="264" t="s">
        <v>1288</v>
      </c>
      <c r="C61" s="264" t="s">
        <v>1289</v>
      </c>
      <c r="D61" s="264" t="s">
        <v>1290</v>
      </c>
      <c r="E61" s="264" t="s">
        <v>1291</v>
      </c>
      <c r="F61" s="264" t="s">
        <v>1103</v>
      </c>
      <c r="G61" s="265"/>
      <c r="H61" s="265"/>
      <c r="I61" s="265"/>
      <c r="J61" s="265"/>
      <c r="K61" s="265"/>
      <c r="L61" s="265"/>
      <c r="M61" s="265"/>
      <c r="N61" s="265"/>
      <c r="O61" s="265"/>
      <c r="P61" s="265"/>
      <c r="Q61" s="265"/>
      <c r="R61" s="265"/>
      <c r="S61" s="265"/>
      <c r="T61" s="265"/>
      <c r="U61" s="265"/>
      <c r="V61" s="265"/>
      <c r="W61" s="265"/>
      <c r="X61" s="265"/>
      <c r="Y61" s="265"/>
      <c r="Z61" s="265"/>
    </row>
    <row r="62">
      <c r="A62" s="264" t="s">
        <v>694</v>
      </c>
      <c r="B62" s="264" t="s">
        <v>1299</v>
      </c>
      <c r="C62" s="264" t="s">
        <v>1300</v>
      </c>
      <c r="D62" s="264" t="s">
        <v>1302</v>
      </c>
      <c r="E62" s="264" t="s">
        <v>1304</v>
      </c>
      <c r="F62" s="264" t="s">
        <v>1305</v>
      </c>
      <c r="G62" s="265"/>
      <c r="H62" s="265"/>
      <c r="I62" s="265"/>
      <c r="J62" s="265"/>
      <c r="K62" s="265"/>
      <c r="L62" s="265"/>
      <c r="M62" s="265"/>
      <c r="N62" s="265"/>
      <c r="O62" s="265"/>
      <c r="P62" s="265"/>
      <c r="Q62" s="265"/>
      <c r="R62" s="265"/>
      <c r="S62" s="265"/>
      <c r="T62" s="265"/>
      <c r="U62" s="265"/>
      <c r="V62" s="265"/>
      <c r="W62" s="265"/>
      <c r="X62" s="265"/>
      <c r="Y62" s="265"/>
      <c r="Z62" s="265"/>
    </row>
    <row r="63">
      <c r="A63" s="264" t="s">
        <v>694</v>
      </c>
      <c r="B63" s="264" t="s">
        <v>1309</v>
      </c>
      <c r="C63" s="264" t="s">
        <v>1311</v>
      </c>
      <c r="D63" s="264" t="s">
        <v>1312</v>
      </c>
      <c r="E63" s="264" t="s">
        <v>1313</v>
      </c>
      <c r="F63" s="264" t="s">
        <v>644</v>
      </c>
      <c r="G63" s="265"/>
      <c r="H63" s="265"/>
      <c r="I63" s="265"/>
      <c r="J63" s="265"/>
      <c r="K63" s="265"/>
      <c r="L63" s="265"/>
      <c r="M63" s="265"/>
      <c r="N63" s="265"/>
      <c r="O63" s="265"/>
      <c r="P63" s="265"/>
      <c r="Q63" s="265"/>
      <c r="R63" s="265"/>
      <c r="S63" s="265"/>
      <c r="T63" s="265"/>
      <c r="U63" s="265"/>
      <c r="V63" s="265"/>
      <c r="W63" s="265"/>
      <c r="X63" s="265"/>
      <c r="Y63" s="265"/>
      <c r="Z63" s="265"/>
    </row>
    <row r="64">
      <c r="A64" s="264" t="s">
        <v>694</v>
      </c>
      <c r="B64" s="264" t="s">
        <v>1321</v>
      </c>
      <c r="C64" s="264" t="s">
        <v>1323</v>
      </c>
      <c r="D64" s="264" t="s">
        <v>1324</v>
      </c>
      <c r="E64" s="264" t="s">
        <v>1325</v>
      </c>
      <c r="F64" s="264" t="s">
        <v>1326</v>
      </c>
      <c r="G64" s="265"/>
      <c r="H64" s="265"/>
      <c r="I64" s="265"/>
      <c r="J64" s="265"/>
      <c r="K64" s="265"/>
      <c r="L64" s="265"/>
      <c r="M64" s="265"/>
      <c r="N64" s="265"/>
      <c r="O64" s="265"/>
      <c r="P64" s="265"/>
      <c r="Q64" s="265"/>
      <c r="R64" s="265"/>
      <c r="S64" s="265"/>
      <c r="T64" s="265"/>
      <c r="U64" s="265"/>
      <c r="V64" s="265"/>
      <c r="W64" s="265"/>
      <c r="X64" s="265"/>
      <c r="Y64" s="265"/>
      <c r="Z64" s="265"/>
    </row>
    <row r="65">
      <c r="A65" s="264" t="s">
        <v>694</v>
      </c>
      <c r="B65" s="264" t="s">
        <v>1330</v>
      </c>
      <c r="C65" s="264" t="s">
        <v>1331</v>
      </c>
      <c r="D65" s="264" t="s">
        <v>1333</v>
      </c>
      <c r="E65" s="264" t="s">
        <v>1334</v>
      </c>
      <c r="F65" s="264" t="s">
        <v>648</v>
      </c>
      <c r="G65" s="265"/>
      <c r="H65" s="265"/>
      <c r="I65" s="265"/>
      <c r="J65" s="265"/>
      <c r="K65" s="265"/>
      <c r="L65" s="265"/>
      <c r="M65" s="265"/>
      <c r="N65" s="265"/>
      <c r="O65" s="265"/>
      <c r="P65" s="265"/>
      <c r="Q65" s="265"/>
      <c r="R65" s="265"/>
      <c r="S65" s="265"/>
      <c r="T65" s="265"/>
      <c r="U65" s="265"/>
      <c r="V65" s="265"/>
      <c r="W65" s="265"/>
      <c r="X65" s="265"/>
      <c r="Y65" s="265"/>
      <c r="Z65" s="265"/>
    </row>
    <row r="66">
      <c r="A66" s="264" t="s">
        <v>694</v>
      </c>
      <c r="B66" s="264" t="s">
        <v>1341</v>
      </c>
      <c r="C66" s="264" t="s">
        <v>1342</v>
      </c>
      <c r="D66" s="264" t="s">
        <v>1339</v>
      </c>
      <c r="E66" s="264" t="s">
        <v>1343</v>
      </c>
      <c r="F66" s="264" t="s">
        <v>1344</v>
      </c>
      <c r="G66" s="265"/>
      <c r="H66" s="265"/>
      <c r="I66" s="265"/>
      <c r="J66" s="265"/>
      <c r="K66" s="265"/>
      <c r="L66" s="265"/>
      <c r="M66" s="265"/>
      <c r="N66" s="265"/>
      <c r="O66" s="265"/>
      <c r="P66" s="265"/>
      <c r="Q66" s="265"/>
      <c r="R66" s="265"/>
      <c r="S66" s="265"/>
      <c r="T66" s="265"/>
      <c r="U66" s="265"/>
      <c r="V66" s="265"/>
      <c r="W66" s="265"/>
      <c r="X66" s="265"/>
      <c r="Y66" s="265"/>
      <c r="Z66" s="265"/>
    </row>
    <row r="67">
      <c r="A67" s="264" t="s">
        <v>694</v>
      </c>
      <c r="B67" s="264" t="s">
        <v>1351</v>
      </c>
      <c r="C67" s="264" t="s">
        <v>1353</v>
      </c>
      <c r="D67" s="264" t="s">
        <v>411</v>
      </c>
      <c r="E67" s="264" t="s">
        <v>1355</v>
      </c>
      <c r="F67" s="264" t="s">
        <v>1007</v>
      </c>
      <c r="G67" s="265"/>
      <c r="H67" s="265"/>
      <c r="I67" s="265"/>
      <c r="J67" s="265"/>
      <c r="K67" s="265"/>
      <c r="L67" s="265"/>
      <c r="M67" s="265"/>
      <c r="N67" s="265"/>
      <c r="O67" s="265"/>
      <c r="P67" s="265"/>
      <c r="Q67" s="265"/>
      <c r="R67" s="265"/>
      <c r="S67" s="265"/>
      <c r="T67" s="265"/>
      <c r="U67" s="265"/>
      <c r="V67" s="265"/>
      <c r="W67" s="265"/>
      <c r="X67" s="265"/>
      <c r="Y67" s="265"/>
      <c r="Z67" s="265"/>
    </row>
    <row r="68">
      <c r="A68" s="264" t="s">
        <v>694</v>
      </c>
      <c r="B68" s="264" t="s">
        <v>1363</v>
      </c>
      <c r="C68" s="264" t="s">
        <v>1365</v>
      </c>
      <c r="D68" s="264" t="s">
        <v>1366</v>
      </c>
      <c r="E68" s="264" t="s">
        <v>1368</v>
      </c>
      <c r="F68" s="264" t="s">
        <v>1370</v>
      </c>
      <c r="G68" s="265"/>
      <c r="H68" s="265"/>
      <c r="I68" s="265"/>
      <c r="J68" s="265"/>
      <c r="K68" s="265"/>
      <c r="L68" s="265"/>
      <c r="M68" s="265"/>
      <c r="N68" s="265"/>
      <c r="O68" s="265"/>
      <c r="P68" s="265"/>
      <c r="Q68" s="265"/>
      <c r="R68" s="265"/>
      <c r="S68" s="265"/>
      <c r="T68" s="265"/>
      <c r="U68" s="265"/>
      <c r="V68" s="265"/>
      <c r="W68" s="265"/>
      <c r="X68" s="265"/>
      <c r="Y68" s="265"/>
      <c r="Z68" s="265"/>
    </row>
    <row r="69">
      <c r="A69" s="264" t="s">
        <v>694</v>
      </c>
      <c r="B69" s="264" t="s">
        <v>1376</v>
      </c>
      <c r="C69" s="264" t="s">
        <v>1378</v>
      </c>
      <c r="D69" s="264" t="s">
        <v>751</v>
      </c>
      <c r="E69" s="264" t="s">
        <v>1380</v>
      </c>
      <c r="F69" s="264" t="s">
        <v>1382</v>
      </c>
      <c r="G69" s="265"/>
      <c r="H69" s="265"/>
      <c r="I69" s="265"/>
      <c r="J69" s="265"/>
      <c r="K69" s="265"/>
      <c r="L69" s="265"/>
      <c r="M69" s="265"/>
      <c r="N69" s="265"/>
      <c r="O69" s="265"/>
      <c r="P69" s="265"/>
      <c r="Q69" s="265"/>
      <c r="R69" s="265"/>
      <c r="S69" s="265"/>
      <c r="T69" s="265"/>
      <c r="U69" s="265"/>
      <c r="V69" s="265"/>
      <c r="W69" s="265"/>
      <c r="X69" s="265"/>
      <c r="Y69" s="265"/>
      <c r="Z69" s="265"/>
    </row>
    <row r="70">
      <c r="A70" s="264" t="s">
        <v>694</v>
      </c>
      <c r="B70" s="264" t="s">
        <v>1388</v>
      </c>
      <c r="C70" s="264" t="s">
        <v>1390</v>
      </c>
      <c r="D70" s="264" t="s">
        <v>1391</v>
      </c>
      <c r="E70" s="264" t="s">
        <v>1393</v>
      </c>
      <c r="F70" s="264" t="s">
        <v>1395</v>
      </c>
      <c r="G70" s="265"/>
      <c r="H70" s="265"/>
      <c r="I70" s="265"/>
      <c r="J70" s="265"/>
      <c r="K70" s="265"/>
      <c r="L70" s="265"/>
      <c r="M70" s="265"/>
      <c r="N70" s="265"/>
      <c r="O70" s="265"/>
      <c r="P70" s="265"/>
      <c r="Q70" s="265"/>
      <c r="R70" s="265"/>
      <c r="S70" s="265"/>
      <c r="T70" s="265"/>
      <c r="U70" s="265"/>
      <c r="V70" s="265"/>
      <c r="W70" s="265"/>
      <c r="X70" s="265"/>
      <c r="Y70" s="265"/>
      <c r="Z70" s="265"/>
    </row>
    <row r="71">
      <c r="A71" s="264" t="s">
        <v>694</v>
      </c>
      <c r="B71" s="264" t="s">
        <v>1400</v>
      </c>
      <c r="C71" s="264" t="s">
        <v>1401</v>
      </c>
      <c r="D71" s="264" t="s">
        <v>1402</v>
      </c>
      <c r="E71" s="264" t="s">
        <v>1403</v>
      </c>
      <c r="F71" s="264" t="s">
        <v>1405</v>
      </c>
      <c r="G71" s="265"/>
      <c r="H71" s="265"/>
      <c r="I71" s="265"/>
      <c r="J71" s="265"/>
      <c r="K71" s="265"/>
      <c r="L71" s="265"/>
      <c r="M71" s="265"/>
      <c r="N71" s="265"/>
      <c r="O71" s="265"/>
      <c r="P71" s="265"/>
      <c r="Q71" s="265"/>
      <c r="R71" s="265"/>
      <c r="S71" s="265"/>
      <c r="T71" s="265"/>
      <c r="U71" s="265"/>
      <c r="V71" s="265"/>
      <c r="W71" s="265"/>
      <c r="X71" s="265"/>
      <c r="Y71" s="265"/>
      <c r="Z71" s="265"/>
    </row>
    <row r="72">
      <c r="A72" s="264" t="s">
        <v>694</v>
      </c>
      <c r="B72" s="264" t="s">
        <v>1413</v>
      </c>
      <c r="C72" s="264" t="s">
        <v>1415</v>
      </c>
      <c r="D72" s="264" t="s">
        <v>571</v>
      </c>
      <c r="E72" s="264" t="s">
        <v>1417</v>
      </c>
      <c r="F72" s="264" t="s">
        <v>547</v>
      </c>
      <c r="G72" s="265"/>
      <c r="H72" s="265"/>
      <c r="I72" s="265"/>
      <c r="J72" s="265"/>
      <c r="K72" s="265"/>
      <c r="L72" s="265"/>
      <c r="M72" s="265"/>
      <c r="N72" s="265"/>
      <c r="O72" s="265"/>
      <c r="P72" s="265"/>
      <c r="Q72" s="265"/>
      <c r="R72" s="265"/>
      <c r="S72" s="265"/>
      <c r="T72" s="265"/>
      <c r="U72" s="265"/>
      <c r="V72" s="265"/>
      <c r="W72" s="265"/>
      <c r="X72" s="265"/>
      <c r="Y72" s="265"/>
      <c r="Z72" s="265"/>
    </row>
    <row r="73">
      <c r="A73" s="264" t="s">
        <v>694</v>
      </c>
      <c r="B73" s="264" t="s">
        <v>1426</v>
      </c>
      <c r="C73" s="264" t="s">
        <v>1428</v>
      </c>
      <c r="D73" s="264" t="s">
        <v>1128</v>
      </c>
      <c r="E73" s="264" t="s">
        <v>1430</v>
      </c>
      <c r="F73" s="264" t="s">
        <v>804</v>
      </c>
      <c r="G73" s="265"/>
      <c r="H73" s="265"/>
      <c r="I73" s="265"/>
      <c r="J73" s="265"/>
      <c r="K73" s="265"/>
      <c r="L73" s="265"/>
      <c r="M73" s="265"/>
      <c r="N73" s="265"/>
      <c r="O73" s="265"/>
      <c r="P73" s="265"/>
      <c r="Q73" s="265"/>
      <c r="R73" s="265"/>
      <c r="S73" s="265"/>
      <c r="T73" s="265"/>
      <c r="U73" s="265"/>
      <c r="V73" s="265"/>
      <c r="W73" s="265"/>
      <c r="X73" s="265"/>
      <c r="Y73" s="265"/>
      <c r="Z73" s="265"/>
    </row>
    <row r="74">
      <c r="A74" s="264" t="s">
        <v>694</v>
      </c>
      <c r="B74" s="264" t="s">
        <v>270</v>
      </c>
      <c r="C74" s="264" t="s">
        <v>1439</v>
      </c>
      <c r="D74" s="264" t="s">
        <v>499</v>
      </c>
      <c r="E74" s="264" t="s">
        <v>1440</v>
      </c>
      <c r="F74" s="264" t="s">
        <v>1441</v>
      </c>
      <c r="G74" s="265"/>
      <c r="H74" s="265"/>
      <c r="I74" s="265"/>
      <c r="J74" s="265"/>
      <c r="K74" s="265"/>
      <c r="L74" s="265"/>
      <c r="M74" s="265"/>
      <c r="N74" s="265"/>
      <c r="O74" s="265"/>
      <c r="P74" s="265"/>
      <c r="Q74" s="265"/>
      <c r="R74" s="265"/>
      <c r="S74" s="265"/>
      <c r="T74" s="265"/>
      <c r="U74" s="265"/>
      <c r="V74" s="265"/>
      <c r="W74" s="265"/>
      <c r="X74" s="265"/>
      <c r="Y74" s="265"/>
      <c r="Z74" s="265"/>
    </row>
    <row r="75">
      <c r="A75" s="264" t="s">
        <v>694</v>
      </c>
      <c r="B75" s="264" t="s">
        <v>303</v>
      </c>
      <c r="C75" s="264" t="s">
        <v>1450</v>
      </c>
      <c r="D75" s="264" t="s">
        <v>1451</v>
      </c>
      <c r="E75" s="264" t="s">
        <v>1452</v>
      </c>
      <c r="F75" s="264" t="s">
        <v>799</v>
      </c>
      <c r="G75" s="265"/>
      <c r="H75" s="265"/>
      <c r="I75" s="265"/>
      <c r="J75" s="265"/>
      <c r="K75" s="265"/>
      <c r="L75" s="265"/>
      <c r="M75" s="265"/>
      <c r="N75" s="265"/>
      <c r="O75" s="265"/>
      <c r="P75" s="265"/>
      <c r="Q75" s="265"/>
      <c r="R75" s="265"/>
      <c r="S75" s="265"/>
      <c r="T75" s="265"/>
      <c r="U75" s="265"/>
      <c r="V75" s="265"/>
      <c r="W75" s="265"/>
      <c r="X75" s="265"/>
      <c r="Y75" s="265"/>
      <c r="Z75" s="265"/>
    </row>
    <row r="76">
      <c r="A76" s="264" t="s">
        <v>694</v>
      </c>
      <c r="B76" s="264" t="s">
        <v>326</v>
      </c>
      <c r="C76" s="264" t="s">
        <v>1459</v>
      </c>
      <c r="D76" s="264" t="s">
        <v>1461</v>
      </c>
      <c r="E76" s="264" t="s">
        <v>1462</v>
      </c>
      <c r="F76" s="264" t="s">
        <v>1464</v>
      </c>
      <c r="G76" s="265"/>
      <c r="H76" s="265"/>
      <c r="I76" s="265"/>
      <c r="J76" s="265"/>
      <c r="K76" s="265"/>
      <c r="L76" s="265"/>
      <c r="M76" s="265"/>
      <c r="N76" s="265"/>
      <c r="O76" s="265"/>
      <c r="P76" s="265"/>
      <c r="Q76" s="265"/>
      <c r="R76" s="265"/>
      <c r="S76" s="265"/>
      <c r="T76" s="265"/>
      <c r="U76" s="265"/>
      <c r="V76" s="265"/>
      <c r="W76" s="265"/>
      <c r="X76" s="265"/>
      <c r="Y76" s="265"/>
      <c r="Z76" s="265"/>
    </row>
    <row r="77">
      <c r="A77" s="264" t="s">
        <v>694</v>
      </c>
      <c r="B77" s="264" t="s">
        <v>342</v>
      </c>
      <c r="C77" s="264" t="s">
        <v>1472</v>
      </c>
      <c r="D77" s="264" t="s">
        <v>595</v>
      </c>
      <c r="E77" s="264" t="s">
        <v>1475</v>
      </c>
      <c r="F77" s="264" t="s">
        <v>1476</v>
      </c>
      <c r="G77" s="265"/>
      <c r="H77" s="265"/>
      <c r="I77" s="265"/>
      <c r="J77" s="265"/>
      <c r="K77" s="265"/>
      <c r="L77" s="265"/>
      <c r="M77" s="265"/>
      <c r="N77" s="265"/>
      <c r="O77" s="265"/>
      <c r="P77" s="265"/>
      <c r="Q77" s="265"/>
      <c r="R77" s="265"/>
      <c r="S77" s="265"/>
      <c r="T77" s="265"/>
      <c r="U77" s="265"/>
      <c r="V77" s="265"/>
      <c r="W77" s="265"/>
      <c r="X77" s="265"/>
      <c r="Y77" s="265"/>
      <c r="Z77" s="265"/>
    </row>
    <row r="78">
      <c r="A78" s="264" t="s">
        <v>694</v>
      </c>
      <c r="B78" s="264" t="s">
        <v>354</v>
      </c>
      <c r="C78" s="264" t="s">
        <v>1481</v>
      </c>
      <c r="D78" s="264" t="s">
        <v>451</v>
      </c>
      <c r="E78" s="264" t="s">
        <v>1482</v>
      </c>
      <c r="F78" s="264" t="s">
        <v>1483</v>
      </c>
      <c r="G78" s="265"/>
      <c r="H78" s="265"/>
      <c r="I78" s="265"/>
      <c r="J78" s="265"/>
      <c r="K78" s="265"/>
      <c r="L78" s="265"/>
      <c r="M78" s="265"/>
      <c r="N78" s="265"/>
      <c r="O78" s="265"/>
      <c r="P78" s="265"/>
      <c r="Q78" s="265"/>
      <c r="R78" s="265"/>
      <c r="S78" s="265"/>
      <c r="T78" s="265"/>
      <c r="U78" s="265"/>
      <c r="V78" s="265"/>
      <c r="W78" s="265"/>
      <c r="X78" s="265"/>
      <c r="Y78" s="265"/>
      <c r="Z78" s="265"/>
    </row>
    <row r="79">
      <c r="A79" s="264" t="s">
        <v>694</v>
      </c>
      <c r="B79" s="264" t="s">
        <v>366</v>
      </c>
      <c r="C79" s="264" t="s">
        <v>1488</v>
      </c>
      <c r="D79" s="264" t="s">
        <v>587</v>
      </c>
      <c r="E79" s="264" t="s">
        <v>1491</v>
      </c>
      <c r="F79" s="264" t="s">
        <v>1492</v>
      </c>
      <c r="G79" s="265"/>
      <c r="H79" s="265"/>
      <c r="I79" s="265"/>
      <c r="J79" s="265"/>
      <c r="K79" s="265"/>
      <c r="L79" s="265"/>
      <c r="M79" s="265"/>
      <c r="N79" s="265"/>
      <c r="O79" s="265"/>
      <c r="P79" s="265"/>
      <c r="Q79" s="265"/>
      <c r="R79" s="265"/>
      <c r="S79" s="265"/>
      <c r="T79" s="265"/>
      <c r="U79" s="265"/>
      <c r="V79" s="265"/>
      <c r="W79" s="265"/>
      <c r="X79" s="265"/>
      <c r="Y79" s="265"/>
      <c r="Z79" s="265"/>
    </row>
    <row r="80">
      <c r="A80" s="264" t="s">
        <v>694</v>
      </c>
      <c r="B80" s="264" t="s">
        <v>378</v>
      </c>
      <c r="C80" s="264" t="s">
        <v>1499</v>
      </c>
      <c r="D80" s="264" t="s">
        <v>1028</v>
      </c>
      <c r="E80" s="264" t="s">
        <v>1500</v>
      </c>
      <c r="F80" s="264" t="s">
        <v>548</v>
      </c>
      <c r="G80" s="265"/>
      <c r="H80" s="265"/>
      <c r="I80" s="265"/>
      <c r="J80" s="265"/>
      <c r="K80" s="265"/>
      <c r="L80" s="265"/>
      <c r="M80" s="265"/>
      <c r="N80" s="265"/>
      <c r="O80" s="265"/>
      <c r="P80" s="265"/>
      <c r="Q80" s="265"/>
      <c r="R80" s="265"/>
      <c r="S80" s="265"/>
      <c r="T80" s="265"/>
      <c r="U80" s="265"/>
      <c r="V80" s="265"/>
      <c r="W80" s="265"/>
      <c r="X80" s="265"/>
      <c r="Y80" s="265"/>
      <c r="Z80" s="265"/>
    </row>
    <row r="81">
      <c r="A81" s="264" t="s">
        <v>694</v>
      </c>
      <c r="B81" s="264" t="s">
        <v>390</v>
      </c>
      <c r="C81" s="264" t="s">
        <v>1509</v>
      </c>
      <c r="D81" s="264" t="s">
        <v>1449</v>
      </c>
      <c r="E81" s="264" t="s">
        <v>1510</v>
      </c>
      <c r="F81" s="264" t="s">
        <v>826</v>
      </c>
      <c r="G81" s="265"/>
      <c r="H81" s="265"/>
      <c r="I81" s="265"/>
      <c r="J81" s="265"/>
      <c r="K81" s="265"/>
      <c r="L81" s="265"/>
      <c r="M81" s="265"/>
      <c r="N81" s="265"/>
      <c r="O81" s="265"/>
      <c r="P81" s="265"/>
      <c r="Q81" s="265"/>
      <c r="R81" s="265"/>
      <c r="S81" s="265"/>
      <c r="T81" s="265"/>
      <c r="U81" s="265"/>
      <c r="V81" s="265"/>
      <c r="W81" s="265"/>
      <c r="X81" s="265"/>
      <c r="Y81" s="265"/>
      <c r="Z81" s="265"/>
    </row>
    <row r="82">
      <c r="A82" s="264" t="s">
        <v>694</v>
      </c>
      <c r="B82" s="264" t="s">
        <v>272</v>
      </c>
      <c r="C82" s="264" t="s">
        <v>1516</v>
      </c>
      <c r="D82" s="264" t="s">
        <v>1517</v>
      </c>
      <c r="E82" s="264" t="s">
        <v>1519</v>
      </c>
      <c r="F82" s="264" t="s">
        <v>1520</v>
      </c>
      <c r="G82" s="265"/>
      <c r="H82" s="265"/>
      <c r="I82" s="265"/>
      <c r="J82" s="265"/>
      <c r="K82" s="265"/>
      <c r="L82" s="265"/>
      <c r="M82" s="265"/>
      <c r="N82" s="265"/>
      <c r="O82" s="265"/>
      <c r="P82" s="265"/>
      <c r="Q82" s="265"/>
      <c r="R82" s="265"/>
      <c r="S82" s="265"/>
      <c r="T82" s="265"/>
      <c r="U82" s="265"/>
      <c r="V82" s="265"/>
      <c r="W82" s="265"/>
      <c r="X82" s="265"/>
      <c r="Y82" s="265"/>
      <c r="Z82" s="265"/>
    </row>
    <row r="83">
      <c r="A83" s="264" t="s">
        <v>694</v>
      </c>
      <c r="B83" s="264" t="s">
        <v>305</v>
      </c>
      <c r="C83" s="264" t="s">
        <v>1525</v>
      </c>
      <c r="D83" s="264" t="s">
        <v>1526</v>
      </c>
      <c r="E83" s="264" t="s">
        <v>1527</v>
      </c>
      <c r="F83" s="264" t="s">
        <v>1528</v>
      </c>
      <c r="G83" s="265"/>
      <c r="H83" s="265"/>
      <c r="I83" s="265"/>
      <c r="J83" s="265"/>
      <c r="K83" s="265"/>
      <c r="L83" s="265"/>
      <c r="M83" s="265"/>
      <c r="N83" s="265"/>
      <c r="O83" s="265"/>
      <c r="P83" s="265"/>
      <c r="Q83" s="265"/>
      <c r="R83" s="265"/>
      <c r="S83" s="265"/>
      <c r="T83" s="265"/>
      <c r="U83" s="265"/>
      <c r="V83" s="265"/>
      <c r="W83" s="265"/>
      <c r="X83" s="265"/>
      <c r="Y83" s="265"/>
      <c r="Z83" s="265"/>
    </row>
    <row r="84">
      <c r="A84" s="264" t="s">
        <v>694</v>
      </c>
      <c r="B84" s="264" t="s">
        <v>327</v>
      </c>
      <c r="C84" s="264" t="s">
        <v>1534</v>
      </c>
      <c r="D84" s="264" t="s">
        <v>1535</v>
      </c>
      <c r="E84" s="264" t="s">
        <v>1536</v>
      </c>
      <c r="F84" s="264" t="s">
        <v>1537</v>
      </c>
      <c r="G84" s="265"/>
      <c r="H84" s="265"/>
      <c r="I84" s="265"/>
      <c r="J84" s="265"/>
      <c r="K84" s="265"/>
      <c r="L84" s="265"/>
      <c r="M84" s="265"/>
      <c r="N84" s="265"/>
      <c r="O84" s="265"/>
      <c r="P84" s="265"/>
      <c r="Q84" s="265"/>
      <c r="R84" s="265"/>
      <c r="S84" s="265"/>
      <c r="T84" s="265"/>
      <c r="U84" s="265"/>
      <c r="V84" s="265"/>
      <c r="W84" s="265"/>
      <c r="X84" s="265"/>
      <c r="Y84" s="265"/>
      <c r="Z84" s="265"/>
    </row>
    <row r="85">
      <c r="A85" s="264" t="s">
        <v>694</v>
      </c>
      <c r="B85" s="264" t="s">
        <v>343</v>
      </c>
      <c r="C85" s="264" t="s">
        <v>1543</v>
      </c>
      <c r="D85" s="264" t="s">
        <v>1544</v>
      </c>
      <c r="E85" s="264" t="s">
        <v>1545</v>
      </c>
      <c r="F85" s="264" t="s">
        <v>1546</v>
      </c>
      <c r="G85" s="265"/>
      <c r="H85" s="265"/>
      <c r="I85" s="265"/>
      <c r="J85" s="265"/>
      <c r="K85" s="265"/>
      <c r="L85" s="265"/>
      <c r="M85" s="265"/>
      <c r="N85" s="265"/>
      <c r="O85" s="265"/>
      <c r="P85" s="265"/>
      <c r="Q85" s="265"/>
      <c r="R85" s="265"/>
      <c r="S85" s="265"/>
      <c r="T85" s="265"/>
      <c r="U85" s="265"/>
      <c r="V85" s="265"/>
      <c r="W85" s="265"/>
      <c r="X85" s="265"/>
      <c r="Y85" s="265"/>
      <c r="Z85" s="265"/>
    </row>
    <row r="86">
      <c r="A86" s="264" t="s">
        <v>694</v>
      </c>
      <c r="B86" s="264" t="s">
        <v>355</v>
      </c>
      <c r="C86" s="264" t="s">
        <v>1555</v>
      </c>
      <c r="D86" s="264" t="s">
        <v>651</v>
      </c>
      <c r="E86" s="264" t="s">
        <v>1557</v>
      </c>
      <c r="F86" s="264" t="s">
        <v>1558</v>
      </c>
      <c r="G86" s="265"/>
      <c r="H86" s="265"/>
      <c r="I86" s="265"/>
      <c r="J86" s="265"/>
      <c r="K86" s="265"/>
      <c r="L86" s="265"/>
      <c r="M86" s="265"/>
      <c r="N86" s="265"/>
      <c r="O86" s="265"/>
      <c r="P86" s="265"/>
      <c r="Q86" s="265"/>
      <c r="R86" s="265"/>
      <c r="S86" s="265"/>
      <c r="T86" s="265"/>
      <c r="U86" s="265"/>
      <c r="V86" s="265"/>
      <c r="W86" s="265"/>
      <c r="X86" s="265"/>
      <c r="Y86" s="265"/>
      <c r="Z86" s="265"/>
    </row>
    <row r="87">
      <c r="A87" s="264" t="s">
        <v>694</v>
      </c>
      <c r="B87" s="264" t="s">
        <v>367</v>
      </c>
      <c r="C87" s="264" t="s">
        <v>1564</v>
      </c>
      <c r="D87" s="264" t="s">
        <v>1566</v>
      </c>
      <c r="E87" s="264" t="s">
        <v>1567</v>
      </c>
      <c r="F87" s="264" t="s">
        <v>765</v>
      </c>
      <c r="G87" s="265"/>
      <c r="H87" s="265"/>
      <c r="I87" s="265"/>
      <c r="J87" s="265"/>
      <c r="K87" s="265"/>
      <c r="L87" s="265"/>
      <c r="M87" s="265"/>
      <c r="N87" s="265"/>
      <c r="O87" s="265"/>
      <c r="P87" s="265"/>
      <c r="Q87" s="265"/>
      <c r="R87" s="265"/>
      <c r="S87" s="265"/>
      <c r="T87" s="265"/>
      <c r="U87" s="265"/>
      <c r="V87" s="265"/>
      <c r="W87" s="265"/>
      <c r="X87" s="265"/>
      <c r="Y87" s="265"/>
      <c r="Z87" s="265"/>
    </row>
    <row r="88">
      <c r="A88" s="264" t="s">
        <v>694</v>
      </c>
      <c r="B88" s="264" t="s">
        <v>379</v>
      </c>
      <c r="C88" s="264" t="s">
        <v>1572</v>
      </c>
      <c r="D88" s="264" t="s">
        <v>1574</v>
      </c>
      <c r="E88" s="264" t="s">
        <v>1576</v>
      </c>
      <c r="F88" s="264" t="s">
        <v>1577</v>
      </c>
      <c r="G88" s="265"/>
      <c r="H88" s="265"/>
      <c r="I88" s="265"/>
      <c r="J88" s="265"/>
      <c r="K88" s="265"/>
      <c r="L88" s="265"/>
      <c r="M88" s="265"/>
      <c r="N88" s="265"/>
      <c r="O88" s="265"/>
      <c r="P88" s="265"/>
      <c r="Q88" s="265"/>
      <c r="R88" s="265"/>
      <c r="S88" s="265"/>
      <c r="T88" s="265"/>
      <c r="U88" s="265"/>
      <c r="V88" s="265"/>
      <c r="W88" s="265"/>
      <c r="X88" s="265"/>
      <c r="Y88" s="265"/>
      <c r="Z88" s="265"/>
    </row>
    <row r="89">
      <c r="A89" s="264" t="s">
        <v>694</v>
      </c>
      <c r="B89" s="264" t="s">
        <v>391</v>
      </c>
      <c r="C89" s="264" t="s">
        <v>1582</v>
      </c>
      <c r="D89" s="264" t="s">
        <v>979</v>
      </c>
      <c r="E89" s="264" t="s">
        <v>1585</v>
      </c>
      <c r="F89" s="264" t="s">
        <v>723</v>
      </c>
      <c r="G89" s="265"/>
      <c r="H89" s="265"/>
      <c r="I89" s="265"/>
      <c r="J89" s="265"/>
      <c r="K89" s="265"/>
      <c r="L89" s="265"/>
      <c r="M89" s="265"/>
      <c r="N89" s="265"/>
      <c r="O89" s="265"/>
      <c r="P89" s="265"/>
      <c r="Q89" s="265"/>
      <c r="R89" s="265"/>
      <c r="S89" s="265"/>
      <c r="T89" s="265"/>
      <c r="U89" s="265"/>
      <c r="V89" s="265"/>
      <c r="W89" s="265"/>
      <c r="X89" s="265"/>
      <c r="Y89" s="265"/>
      <c r="Z89" s="265"/>
    </row>
    <row r="90">
      <c r="A90" s="264" t="s">
        <v>694</v>
      </c>
      <c r="B90" s="264" t="s">
        <v>275</v>
      </c>
      <c r="C90" s="264" t="s">
        <v>1592</v>
      </c>
      <c r="D90" s="264" t="s">
        <v>1277</v>
      </c>
      <c r="E90" s="264" t="s">
        <v>1594</v>
      </c>
      <c r="F90" s="264" t="s">
        <v>1568</v>
      </c>
      <c r="G90" s="265"/>
      <c r="H90" s="265"/>
      <c r="I90" s="265"/>
      <c r="J90" s="265"/>
      <c r="K90" s="265"/>
      <c r="L90" s="265"/>
      <c r="M90" s="265"/>
      <c r="N90" s="265"/>
      <c r="O90" s="265"/>
      <c r="P90" s="265"/>
      <c r="Q90" s="265"/>
      <c r="R90" s="265"/>
      <c r="S90" s="265"/>
      <c r="T90" s="265"/>
      <c r="U90" s="265"/>
      <c r="V90" s="265"/>
      <c r="W90" s="265"/>
      <c r="X90" s="265"/>
      <c r="Y90" s="265"/>
      <c r="Z90" s="265"/>
    </row>
    <row r="91">
      <c r="A91" s="264" t="s">
        <v>694</v>
      </c>
      <c r="B91" s="264" t="s">
        <v>308</v>
      </c>
      <c r="C91" s="264" t="s">
        <v>1602</v>
      </c>
      <c r="D91" s="264" t="s">
        <v>1603</v>
      </c>
      <c r="E91" s="264" t="s">
        <v>1605</v>
      </c>
      <c r="F91" s="264" t="s">
        <v>1606</v>
      </c>
      <c r="G91" s="265"/>
      <c r="H91" s="265"/>
      <c r="I91" s="265"/>
      <c r="J91" s="265"/>
      <c r="K91" s="265"/>
      <c r="L91" s="265"/>
      <c r="M91" s="265"/>
      <c r="N91" s="265"/>
      <c r="O91" s="265"/>
      <c r="P91" s="265"/>
      <c r="Q91" s="265"/>
      <c r="R91" s="265"/>
      <c r="S91" s="265"/>
      <c r="T91" s="265"/>
      <c r="U91" s="265"/>
      <c r="V91" s="265"/>
      <c r="W91" s="265"/>
      <c r="X91" s="265"/>
      <c r="Y91" s="265"/>
      <c r="Z91" s="265"/>
    </row>
    <row r="92">
      <c r="A92" s="264" t="s">
        <v>694</v>
      </c>
      <c r="B92" s="264" t="s">
        <v>329</v>
      </c>
      <c r="C92" s="264" t="s">
        <v>1609</v>
      </c>
      <c r="D92" s="264" t="s">
        <v>1611</v>
      </c>
      <c r="E92" s="264" t="s">
        <v>1612</v>
      </c>
      <c r="F92" s="264" t="s">
        <v>1614</v>
      </c>
      <c r="G92" s="265"/>
      <c r="H92" s="265"/>
      <c r="I92" s="265"/>
      <c r="J92" s="265"/>
      <c r="K92" s="265"/>
      <c r="L92" s="265"/>
      <c r="M92" s="265"/>
      <c r="N92" s="265"/>
      <c r="O92" s="265"/>
      <c r="P92" s="265"/>
      <c r="Q92" s="265"/>
      <c r="R92" s="265"/>
      <c r="S92" s="265"/>
      <c r="T92" s="265"/>
      <c r="U92" s="265"/>
      <c r="V92" s="265"/>
      <c r="W92" s="265"/>
      <c r="X92" s="265"/>
      <c r="Y92" s="265"/>
      <c r="Z92" s="265"/>
    </row>
    <row r="93">
      <c r="A93" s="264" t="s">
        <v>694</v>
      </c>
      <c r="B93" s="264" t="s">
        <v>344</v>
      </c>
      <c r="C93" s="264" t="s">
        <v>1620</v>
      </c>
      <c r="D93" s="264" t="s">
        <v>1622</v>
      </c>
      <c r="E93" s="264" t="s">
        <v>1623</v>
      </c>
      <c r="F93" s="264" t="s">
        <v>1182</v>
      </c>
      <c r="G93" s="265"/>
      <c r="H93" s="265"/>
      <c r="I93" s="265"/>
      <c r="J93" s="265"/>
      <c r="K93" s="265"/>
      <c r="L93" s="265"/>
      <c r="M93" s="265"/>
      <c r="N93" s="265"/>
      <c r="O93" s="265"/>
      <c r="P93" s="265"/>
      <c r="Q93" s="265"/>
      <c r="R93" s="265"/>
      <c r="S93" s="265"/>
      <c r="T93" s="265"/>
      <c r="U93" s="265"/>
      <c r="V93" s="265"/>
      <c r="W93" s="265"/>
      <c r="X93" s="265"/>
      <c r="Y93" s="265"/>
      <c r="Z93" s="265"/>
    </row>
    <row r="94">
      <c r="A94" s="264" t="s">
        <v>694</v>
      </c>
      <c r="B94" s="264" t="s">
        <v>356</v>
      </c>
      <c r="C94" s="264" t="s">
        <v>1634</v>
      </c>
      <c r="D94" s="264" t="s">
        <v>1336</v>
      </c>
      <c r="E94" s="264" t="s">
        <v>1635</v>
      </c>
      <c r="F94" s="264" t="s">
        <v>1636</v>
      </c>
      <c r="G94" s="265"/>
      <c r="H94" s="265"/>
      <c r="I94" s="265"/>
      <c r="J94" s="265"/>
      <c r="K94" s="265"/>
      <c r="L94" s="265"/>
      <c r="M94" s="265"/>
      <c r="N94" s="265"/>
      <c r="O94" s="265"/>
      <c r="P94" s="265"/>
      <c r="Q94" s="265"/>
      <c r="R94" s="265"/>
      <c r="S94" s="265"/>
      <c r="T94" s="265"/>
      <c r="U94" s="265"/>
      <c r="V94" s="265"/>
      <c r="W94" s="265"/>
      <c r="X94" s="265"/>
      <c r="Y94" s="265"/>
      <c r="Z94" s="265"/>
    </row>
    <row r="95">
      <c r="A95" s="264" t="s">
        <v>694</v>
      </c>
      <c r="B95" s="264" t="s">
        <v>368</v>
      </c>
      <c r="C95" s="264" t="s">
        <v>1643</v>
      </c>
      <c r="D95" s="264" t="s">
        <v>1617</v>
      </c>
      <c r="E95" s="264" t="s">
        <v>1645</v>
      </c>
      <c r="F95" s="264" t="s">
        <v>448</v>
      </c>
      <c r="G95" s="265"/>
      <c r="H95" s="265"/>
      <c r="I95" s="265"/>
      <c r="J95" s="265"/>
      <c r="K95" s="265"/>
      <c r="L95" s="265"/>
      <c r="M95" s="265"/>
      <c r="N95" s="265"/>
      <c r="O95" s="265"/>
      <c r="P95" s="265"/>
      <c r="Q95" s="265"/>
      <c r="R95" s="265"/>
      <c r="S95" s="265"/>
      <c r="T95" s="265"/>
      <c r="U95" s="265"/>
      <c r="V95" s="265"/>
      <c r="W95" s="265"/>
      <c r="X95" s="265"/>
      <c r="Y95" s="265"/>
      <c r="Z95" s="265"/>
    </row>
    <row r="96">
      <c r="A96" s="264" t="s">
        <v>694</v>
      </c>
      <c r="B96" s="264" t="s">
        <v>380</v>
      </c>
      <c r="C96" s="264" t="s">
        <v>1651</v>
      </c>
      <c r="D96" s="264" t="s">
        <v>1652</v>
      </c>
      <c r="E96" s="264" t="s">
        <v>1654</v>
      </c>
      <c r="F96" s="264" t="s">
        <v>1656</v>
      </c>
      <c r="G96" s="265"/>
      <c r="H96" s="265"/>
      <c r="I96" s="265"/>
      <c r="J96" s="265"/>
      <c r="K96" s="265"/>
      <c r="L96" s="265"/>
      <c r="M96" s="265"/>
      <c r="N96" s="265"/>
      <c r="O96" s="265"/>
      <c r="P96" s="265"/>
      <c r="Q96" s="265"/>
      <c r="R96" s="265"/>
      <c r="S96" s="265"/>
      <c r="T96" s="265"/>
      <c r="U96" s="265"/>
      <c r="V96" s="265"/>
      <c r="W96" s="265"/>
      <c r="X96" s="265"/>
      <c r="Y96" s="265"/>
      <c r="Z96" s="265"/>
    </row>
    <row r="97">
      <c r="A97" s="264" t="s">
        <v>694</v>
      </c>
      <c r="B97" s="264" t="s">
        <v>392</v>
      </c>
      <c r="C97" s="264" t="s">
        <v>1664</v>
      </c>
      <c r="D97" s="264" t="s">
        <v>1666</v>
      </c>
      <c r="E97" s="264" t="s">
        <v>1667</v>
      </c>
      <c r="F97" s="264" t="s">
        <v>1668</v>
      </c>
      <c r="G97" s="265"/>
      <c r="H97" s="265"/>
      <c r="I97" s="265"/>
      <c r="J97" s="265"/>
      <c r="K97" s="265"/>
      <c r="L97" s="265"/>
      <c r="M97" s="265"/>
      <c r="N97" s="265"/>
      <c r="O97" s="265"/>
      <c r="P97" s="265"/>
      <c r="Q97" s="265"/>
      <c r="R97" s="265"/>
      <c r="S97" s="265"/>
      <c r="T97" s="265"/>
      <c r="U97" s="265"/>
    </row>
    <row r="98">
      <c r="A98" s="264" t="s">
        <v>680</v>
      </c>
      <c r="B98" s="264" t="s">
        <v>684</v>
      </c>
      <c r="C98" s="264" t="s">
        <v>686</v>
      </c>
      <c r="D98" s="264" t="s">
        <v>687</v>
      </c>
      <c r="E98" s="264" t="s">
        <v>688</v>
      </c>
      <c r="F98" s="264" t="s">
        <v>689</v>
      </c>
      <c r="G98" s="264" t="s">
        <v>1677</v>
      </c>
      <c r="H98" s="264" t="s">
        <v>1678</v>
      </c>
      <c r="I98" s="265"/>
      <c r="J98" s="265"/>
      <c r="K98" s="265"/>
      <c r="L98" s="265"/>
      <c r="M98" s="265"/>
      <c r="N98" s="265"/>
      <c r="O98" s="265"/>
      <c r="P98" s="265"/>
      <c r="Q98" s="265"/>
      <c r="R98" s="265"/>
      <c r="S98" s="265"/>
      <c r="T98" s="265"/>
      <c r="U98" s="265"/>
      <c r="V98" s="265"/>
      <c r="W98" s="265"/>
      <c r="X98" s="265"/>
    </row>
    <row r="99">
      <c r="A99" s="264" t="s">
        <v>1683</v>
      </c>
      <c r="B99" s="264" t="s">
        <v>696</v>
      </c>
      <c r="C99" s="264" t="s">
        <v>1685</v>
      </c>
      <c r="D99" s="264" t="s">
        <v>443</v>
      </c>
      <c r="E99" s="264" t="s">
        <v>1687</v>
      </c>
      <c r="F99" s="264" t="s">
        <v>1541</v>
      </c>
      <c r="G99" s="265"/>
      <c r="H99" s="265"/>
      <c r="I99" s="265"/>
      <c r="J99" s="265"/>
      <c r="K99" s="265"/>
      <c r="L99" s="265"/>
      <c r="M99" s="265"/>
      <c r="N99" s="265"/>
      <c r="O99" s="265"/>
      <c r="P99" s="265"/>
      <c r="Q99" s="265"/>
      <c r="R99" s="265"/>
      <c r="S99" s="265"/>
      <c r="T99" s="265"/>
      <c r="U99" s="265"/>
      <c r="V99" s="265"/>
      <c r="W99" s="265"/>
      <c r="X99" s="265"/>
    </row>
    <row r="100">
      <c r="A100" s="264" t="s">
        <v>1683</v>
      </c>
      <c r="B100" s="264" t="s">
        <v>706</v>
      </c>
      <c r="C100" s="264" t="s">
        <v>1692</v>
      </c>
      <c r="D100" s="264" t="s">
        <v>1693</v>
      </c>
      <c r="E100" s="264" t="s">
        <v>1694</v>
      </c>
      <c r="F100" s="264" t="s">
        <v>1023</v>
      </c>
      <c r="G100" s="265"/>
      <c r="H100" s="265"/>
      <c r="I100" s="265"/>
      <c r="J100" s="265"/>
      <c r="K100" s="265"/>
      <c r="L100" s="265"/>
      <c r="M100" s="265"/>
      <c r="N100" s="265"/>
      <c r="O100" s="265"/>
      <c r="P100" s="265"/>
      <c r="Q100" s="265"/>
      <c r="R100" s="265"/>
      <c r="S100" s="265"/>
      <c r="T100" s="265"/>
      <c r="U100" s="265"/>
      <c r="V100" s="265"/>
      <c r="W100" s="265"/>
      <c r="X100" s="265"/>
    </row>
    <row r="101">
      <c r="A101" s="264" t="s">
        <v>1683</v>
      </c>
      <c r="B101" s="264" t="s">
        <v>717</v>
      </c>
      <c r="C101" s="264" t="s">
        <v>1703</v>
      </c>
      <c r="D101" s="264" t="s">
        <v>1704</v>
      </c>
      <c r="E101" s="264" t="s">
        <v>1706</v>
      </c>
      <c r="F101" s="264" t="s">
        <v>1708</v>
      </c>
      <c r="G101" s="265"/>
      <c r="H101" s="265"/>
      <c r="I101" s="265"/>
      <c r="J101" s="265"/>
      <c r="K101" s="265"/>
      <c r="L101" s="265"/>
      <c r="M101" s="265"/>
      <c r="N101" s="265"/>
      <c r="O101" s="265"/>
      <c r="P101" s="265"/>
      <c r="Q101" s="265"/>
      <c r="R101" s="265"/>
      <c r="S101" s="265"/>
      <c r="T101" s="265"/>
      <c r="U101" s="265"/>
      <c r="V101" s="265"/>
      <c r="W101" s="265"/>
      <c r="X101" s="265"/>
    </row>
    <row r="102">
      <c r="A102" s="264" t="s">
        <v>1683</v>
      </c>
      <c r="B102" s="264" t="s">
        <v>728</v>
      </c>
      <c r="C102" s="264" t="s">
        <v>1715</v>
      </c>
      <c r="D102" s="264" t="s">
        <v>1716</v>
      </c>
      <c r="E102" s="264" t="s">
        <v>1718</v>
      </c>
      <c r="F102" s="264" t="s">
        <v>1720</v>
      </c>
      <c r="G102" s="265"/>
      <c r="H102" s="265"/>
      <c r="I102" s="265"/>
      <c r="J102" s="265"/>
      <c r="K102" s="265"/>
      <c r="L102" s="265"/>
      <c r="M102" s="265"/>
      <c r="N102" s="265"/>
      <c r="O102" s="265"/>
      <c r="P102" s="265"/>
      <c r="Q102" s="265"/>
      <c r="R102" s="265"/>
      <c r="S102" s="265"/>
      <c r="T102" s="265"/>
      <c r="U102" s="265"/>
      <c r="V102" s="265"/>
      <c r="W102" s="265"/>
      <c r="X102" s="265"/>
    </row>
    <row r="103">
      <c r="A103" s="264" t="s">
        <v>1683</v>
      </c>
      <c r="B103" s="264" t="s">
        <v>736</v>
      </c>
      <c r="C103" s="264" t="s">
        <v>1727</v>
      </c>
      <c r="D103" s="264" t="s">
        <v>1728</v>
      </c>
      <c r="E103" s="264" t="s">
        <v>1730</v>
      </c>
      <c r="F103" s="264" t="s">
        <v>1732</v>
      </c>
      <c r="G103" s="265"/>
      <c r="H103" s="265"/>
      <c r="I103" s="265"/>
      <c r="J103" s="265"/>
      <c r="K103" s="265"/>
      <c r="L103" s="265"/>
      <c r="M103" s="265"/>
      <c r="N103" s="265"/>
      <c r="O103" s="265"/>
      <c r="P103" s="265"/>
      <c r="Q103" s="265"/>
      <c r="R103" s="265"/>
      <c r="S103" s="265"/>
      <c r="T103" s="265"/>
      <c r="U103" s="265"/>
      <c r="V103" s="265"/>
      <c r="W103" s="265"/>
      <c r="X103" s="265"/>
    </row>
    <row r="104">
      <c r="A104" s="264" t="s">
        <v>1683</v>
      </c>
      <c r="B104" s="264" t="s">
        <v>745</v>
      </c>
      <c r="C104" s="264" t="s">
        <v>1737</v>
      </c>
      <c r="D104" s="264" t="s">
        <v>1738</v>
      </c>
      <c r="E104" s="264" t="s">
        <v>1739</v>
      </c>
      <c r="F104" s="264" t="s">
        <v>1740</v>
      </c>
      <c r="G104" s="265"/>
      <c r="H104" s="265"/>
      <c r="I104" s="265"/>
      <c r="J104" s="265"/>
      <c r="K104" s="265"/>
      <c r="L104" s="265"/>
      <c r="M104" s="265"/>
      <c r="N104" s="265"/>
      <c r="O104" s="265"/>
      <c r="P104" s="265"/>
      <c r="Q104" s="265"/>
      <c r="R104" s="265"/>
      <c r="S104" s="265"/>
      <c r="T104" s="265"/>
      <c r="U104" s="265"/>
      <c r="V104" s="265"/>
      <c r="W104" s="265"/>
      <c r="X104" s="265"/>
    </row>
    <row r="105">
      <c r="A105" s="264" t="s">
        <v>1683</v>
      </c>
      <c r="B105" s="264" t="s">
        <v>754</v>
      </c>
      <c r="C105" s="264" t="s">
        <v>1745</v>
      </c>
      <c r="D105" s="264" t="s">
        <v>1746</v>
      </c>
      <c r="E105" s="264" t="s">
        <v>1748</v>
      </c>
      <c r="F105" s="264" t="s">
        <v>1749</v>
      </c>
      <c r="G105" s="265"/>
      <c r="H105" s="265"/>
      <c r="I105" s="265"/>
      <c r="J105" s="265"/>
      <c r="K105" s="265"/>
      <c r="L105" s="265"/>
      <c r="M105" s="265"/>
      <c r="N105" s="265"/>
      <c r="O105" s="265"/>
      <c r="P105" s="265"/>
      <c r="Q105" s="265"/>
      <c r="R105" s="265"/>
      <c r="S105" s="265"/>
      <c r="T105" s="265"/>
      <c r="U105" s="265"/>
      <c r="V105" s="265"/>
      <c r="W105" s="265"/>
      <c r="X105" s="265"/>
    </row>
    <row r="106">
      <c r="A106" s="264" t="s">
        <v>1683</v>
      </c>
      <c r="B106" s="264" t="s">
        <v>767</v>
      </c>
      <c r="C106" s="264" t="s">
        <v>1755</v>
      </c>
      <c r="D106" s="264" t="s">
        <v>1757</v>
      </c>
      <c r="E106" s="264" t="s">
        <v>1758</v>
      </c>
      <c r="F106" s="264" t="s">
        <v>1759</v>
      </c>
      <c r="G106" s="265"/>
      <c r="H106" s="265"/>
      <c r="I106" s="265"/>
      <c r="J106" s="265"/>
      <c r="K106" s="265"/>
      <c r="L106" s="265"/>
      <c r="M106" s="265"/>
      <c r="N106" s="265"/>
      <c r="O106" s="265"/>
      <c r="P106" s="265"/>
      <c r="Q106" s="265"/>
      <c r="R106" s="265"/>
      <c r="S106" s="265"/>
      <c r="T106" s="265"/>
      <c r="U106" s="265"/>
      <c r="V106" s="265"/>
      <c r="W106" s="265"/>
      <c r="X106" s="265"/>
    </row>
    <row r="107">
      <c r="A107" s="264" t="s">
        <v>1683</v>
      </c>
      <c r="B107" s="264" t="s">
        <v>773</v>
      </c>
      <c r="C107" s="264" t="s">
        <v>1765</v>
      </c>
      <c r="D107" s="264" t="s">
        <v>1540</v>
      </c>
      <c r="E107" s="264" t="s">
        <v>1767</v>
      </c>
      <c r="F107" s="264" t="s">
        <v>1663</v>
      </c>
      <c r="G107" s="265"/>
      <c r="H107" s="265"/>
      <c r="I107" s="265"/>
      <c r="J107" s="265"/>
      <c r="K107" s="265"/>
      <c r="L107" s="265"/>
      <c r="M107" s="265"/>
      <c r="N107" s="265"/>
      <c r="O107" s="265"/>
      <c r="P107" s="265"/>
      <c r="Q107" s="265"/>
      <c r="R107" s="265"/>
      <c r="S107" s="265"/>
      <c r="T107" s="265"/>
      <c r="U107" s="265"/>
      <c r="V107" s="265"/>
      <c r="W107" s="265"/>
      <c r="X107" s="265"/>
    </row>
    <row r="108">
      <c r="A108" s="264" t="s">
        <v>1683</v>
      </c>
      <c r="B108" s="264" t="s">
        <v>784</v>
      </c>
      <c r="C108" s="264" t="s">
        <v>1773</v>
      </c>
      <c r="D108" s="264" t="s">
        <v>1022</v>
      </c>
      <c r="E108" s="264" t="s">
        <v>1774</v>
      </c>
      <c r="F108" s="264" t="s">
        <v>1725</v>
      </c>
      <c r="G108" s="265"/>
      <c r="H108" s="265"/>
      <c r="I108" s="265"/>
      <c r="J108" s="265"/>
      <c r="K108" s="265"/>
      <c r="L108" s="265"/>
      <c r="M108" s="265"/>
      <c r="N108" s="265"/>
      <c r="O108" s="265"/>
      <c r="P108" s="265"/>
      <c r="Q108" s="265"/>
      <c r="R108" s="265"/>
      <c r="S108" s="265"/>
      <c r="T108" s="265"/>
      <c r="U108" s="265"/>
      <c r="V108" s="265"/>
      <c r="W108" s="265"/>
      <c r="X108" s="265"/>
    </row>
    <row r="109">
      <c r="A109" s="264" t="s">
        <v>1683</v>
      </c>
      <c r="B109" s="264" t="s">
        <v>794</v>
      </c>
      <c r="C109" s="264" t="s">
        <v>1779</v>
      </c>
      <c r="D109" s="264" t="s">
        <v>467</v>
      </c>
      <c r="E109" s="264" t="s">
        <v>1780</v>
      </c>
      <c r="F109" s="264" t="s">
        <v>1781</v>
      </c>
      <c r="G109" s="265"/>
      <c r="H109" s="265"/>
      <c r="I109" s="265"/>
      <c r="J109" s="265"/>
      <c r="K109" s="265"/>
      <c r="L109" s="265"/>
      <c r="M109" s="265"/>
      <c r="N109" s="265"/>
      <c r="O109" s="265"/>
      <c r="P109" s="265"/>
      <c r="Q109" s="265"/>
      <c r="R109" s="265"/>
      <c r="S109" s="265"/>
      <c r="T109" s="265"/>
      <c r="U109" s="265"/>
      <c r="V109" s="265"/>
      <c r="W109" s="265"/>
      <c r="X109" s="265"/>
    </row>
    <row r="110">
      <c r="A110" s="264" t="s">
        <v>1683</v>
      </c>
      <c r="B110" s="264" t="s">
        <v>805</v>
      </c>
      <c r="C110" s="264" t="s">
        <v>1786</v>
      </c>
      <c r="D110" s="264" t="s">
        <v>631</v>
      </c>
      <c r="E110" s="264" t="s">
        <v>1787</v>
      </c>
      <c r="F110" s="264" t="s">
        <v>1788</v>
      </c>
      <c r="G110" s="265"/>
      <c r="H110" s="265"/>
      <c r="I110" s="265"/>
      <c r="J110" s="265"/>
      <c r="K110" s="265"/>
      <c r="L110" s="265"/>
      <c r="M110" s="265"/>
      <c r="N110" s="265"/>
      <c r="O110" s="265"/>
      <c r="P110" s="265"/>
      <c r="Q110" s="265"/>
      <c r="R110" s="265"/>
      <c r="S110" s="265"/>
      <c r="T110" s="265"/>
      <c r="U110" s="265"/>
      <c r="V110" s="265"/>
      <c r="W110" s="265"/>
      <c r="X110" s="265"/>
    </row>
    <row r="111">
      <c r="A111" s="264" t="s">
        <v>1683</v>
      </c>
      <c r="B111" s="264" t="s">
        <v>811</v>
      </c>
      <c r="C111" s="264" t="s">
        <v>1793</v>
      </c>
      <c r="D111" s="264" t="s">
        <v>1795</v>
      </c>
      <c r="E111" s="264" t="s">
        <v>1796</v>
      </c>
      <c r="F111" s="264" t="s">
        <v>1798</v>
      </c>
      <c r="G111" s="265"/>
      <c r="H111" s="265"/>
      <c r="I111" s="265"/>
      <c r="J111" s="265"/>
      <c r="K111" s="265"/>
      <c r="L111" s="265"/>
      <c r="M111" s="265"/>
      <c r="N111" s="265"/>
      <c r="O111" s="265"/>
      <c r="P111" s="265"/>
      <c r="Q111" s="265"/>
      <c r="R111" s="265"/>
      <c r="S111" s="265"/>
      <c r="T111" s="265"/>
      <c r="U111" s="265"/>
      <c r="V111" s="265"/>
      <c r="W111" s="265"/>
      <c r="X111" s="265"/>
    </row>
    <row r="112">
      <c r="A112" s="264" t="s">
        <v>1683</v>
      </c>
      <c r="B112" s="264" t="s">
        <v>820</v>
      </c>
      <c r="C112" s="264" t="s">
        <v>1799</v>
      </c>
      <c r="D112" s="264" t="s">
        <v>1801</v>
      </c>
      <c r="E112" s="264" t="s">
        <v>1802</v>
      </c>
      <c r="F112" s="264" t="s">
        <v>1803</v>
      </c>
      <c r="G112" s="265"/>
      <c r="H112" s="265"/>
      <c r="I112" s="265"/>
      <c r="J112" s="265"/>
      <c r="K112" s="265"/>
      <c r="L112" s="265"/>
      <c r="M112" s="265"/>
      <c r="N112" s="265"/>
      <c r="O112" s="265"/>
      <c r="P112" s="265"/>
      <c r="Q112" s="265"/>
      <c r="R112" s="265"/>
      <c r="S112" s="265"/>
      <c r="T112" s="265"/>
      <c r="U112" s="265"/>
      <c r="V112" s="265"/>
      <c r="W112" s="265"/>
      <c r="X112" s="265"/>
    </row>
    <row r="113">
      <c r="A113" s="264" t="s">
        <v>1683</v>
      </c>
      <c r="B113" s="264" t="s">
        <v>829</v>
      </c>
      <c r="C113" s="264" t="s">
        <v>1808</v>
      </c>
      <c r="D113" s="264" t="s">
        <v>1810</v>
      </c>
      <c r="E113" s="264" t="s">
        <v>1811</v>
      </c>
      <c r="F113" s="264" t="s">
        <v>1812</v>
      </c>
      <c r="G113" s="265"/>
      <c r="H113" s="265"/>
      <c r="I113" s="265"/>
      <c r="J113" s="265"/>
      <c r="K113" s="265"/>
      <c r="L113" s="265"/>
      <c r="M113" s="265"/>
      <c r="N113" s="265"/>
      <c r="O113" s="265"/>
      <c r="P113" s="265"/>
      <c r="Q113" s="265"/>
      <c r="R113" s="265"/>
      <c r="S113" s="265"/>
      <c r="T113" s="265"/>
      <c r="U113" s="265"/>
      <c r="V113" s="265"/>
      <c r="W113" s="265"/>
      <c r="X113" s="265"/>
    </row>
    <row r="114">
      <c r="A114" s="264" t="s">
        <v>1683</v>
      </c>
      <c r="B114" s="264" t="s">
        <v>840</v>
      </c>
      <c r="C114" s="264" t="s">
        <v>1819</v>
      </c>
      <c r="D114" s="264" t="s">
        <v>1820</v>
      </c>
      <c r="E114" s="264" t="s">
        <v>1821</v>
      </c>
      <c r="F114" s="264" t="s">
        <v>1822</v>
      </c>
      <c r="G114" s="265"/>
      <c r="H114" s="265"/>
      <c r="I114" s="265"/>
      <c r="J114" s="265"/>
      <c r="K114" s="265"/>
      <c r="L114" s="265"/>
      <c r="M114" s="265"/>
      <c r="N114" s="265"/>
      <c r="O114" s="265"/>
      <c r="P114" s="265"/>
      <c r="Q114" s="265"/>
      <c r="R114" s="265"/>
      <c r="S114" s="265"/>
      <c r="T114" s="265"/>
      <c r="U114" s="265"/>
      <c r="V114" s="265"/>
      <c r="W114" s="265"/>
      <c r="X114" s="265"/>
    </row>
    <row r="115">
      <c r="A115" s="264" t="s">
        <v>1683</v>
      </c>
      <c r="B115" s="264" t="s">
        <v>849</v>
      </c>
      <c r="C115" s="264" t="s">
        <v>1825</v>
      </c>
      <c r="D115" s="264" t="s">
        <v>1662</v>
      </c>
      <c r="E115" s="264" t="s">
        <v>1828</v>
      </c>
      <c r="F115" s="264" t="s">
        <v>1829</v>
      </c>
      <c r="G115" s="265"/>
      <c r="H115" s="265"/>
      <c r="I115" s="265"/>
      <c r="J115" s="265"/>
      <c r="K115" s="265"/>
      <c r="L115" s="265"/>
      <c r="M115" s="265"/>
      <c r="N115" s="265"/>
      <c r="O115" s="265"/>
      <c r="P115" s="265"/>
      <c r="Q115" s="265"/>
      <c r="R115" s="265"/>
      <c r="S115" s="265"/>
      <c r="T115" s="265"/>
      <c r="U115" s="265"/>
      <c r="V115" s="265"/>
      <c r="W115" s="265"/>
      <c r="X115" s="265"/>
    </row>
    <row r="116">
      <c r="A116" s="264" t="s">
        <v>1683</v>
      </c>
      <c r="B116" s="264" t="s">
        <v>860</v>
      </c>
      <c r="C116" s="264" t="s">
        <v>1832</v>
      </c>
      <c r="D116" s="264" t="s">
        <v>1724</v>
      </c>
      <c r="E116" s="264" t="s">
        <v>1834</v>
      </c>
      <c r="F116" s="264" t="s">
        <v>420</v>
      </c>
      <c r="G116" s="265"/>
      <c r="H116" s="265"/>
      <c r="I116" s="265"/>
      <c r="J116" s="265"/>
      <c r="K116" s="265"/>
      <c r="L116" s="265"/>
      <c r="M116" s="265"/>
      <c r="N116" s="265"/>
      <c r="O116" s="265"/>
      <c r="P116" s="265"/>
      <c r="Q116" s="265"/>
      <c r="R116" s="265"/>
      <c r="S116" s="265"/>
      <c r="T116" s="265"/>
      <c r="U116" s="265"/>
      <c r="V116" s="265"/>
      <c r="W116" s="265"/>
      <c r="X116" s="265"/>
    </row>
    <row r="117">
      <c r="A117" s="264" t="s">
        <v>1683</v>
      </c>
      <c r="B117" s="264" t="s">
        <v>866</v>
      </c>
      <c r="C117" s="264" t="s">
        <v>1838</v>
      </c>
      <c r="D117" s="264" t="s">
        <v>1839</v>
      </c>
      <c r="E117" s="264" t="s">
        <v>1841</v>
      </c>
      <c r="F117" s="264" t="s">
        <v>1842</v>
      </c>
      <c r="G117" s="265"/>
      <c r="H117" s="265"/>
      <c r="I117" s="265"/>
      <c r="J117" s="265"/>
      <c r="K117" s="265"/>
      <c r="L117" s="265"/>
      <c r="M117" s="265"/>
      <c r="N117" s="265"/>
      <c r="O117" s="265"/>
      <c r="P117" s="265"/>
      <c r="Q117" s="265"/>
      <c r="R117" s="265"/>
      <c r="S117" s="265"/>
      <c r="T117" s="265"/>
      <c r="U117" s="265"/>
      <c r="V117" s="265"/>
      <c r="W117" s="265"/>
      <c r="X117" s="265"/>
    </row>
    <row r="118">
      <c r="A118" s="264" t="s">
        <v>1683</v>
      </c>
      <c r="B118" s="264" t="s">
        <v>874</v>
      </c>
      <c r="C118" s="264" t="s">
        <v>1848</v>
      </c>
      <c r="D118" s="264" t="s">
        <v>1849</v>
      </c>
      <c r="E118" s="264" t="s">
        <v>1850</v>
      </c>
      <c r="F118" s="264" t="s">
        <v>1851</v>
      </c>
      <c r="G118" s="265"/>
      <c r="H118" s="265"/>
      <c r="I118" s="265"/>
      <c r="J118" s="265"/>
      <c r="K118" s="265"/>
      <c r="L118" s="265"/>
      <c r="M118" s="265"/>
      <c r="N118" s="265"/>
      <c r="O118" s="265"/>
      <c r="P118" s="265"/>
      <c r="Q118" s="265"/>
      <c r="R118" s="265"/>
      <c r="S118" s="265"/>
      <c r="T118" s="265"/>
      <c r="U118" s="265"/>
      <c r="V118" s="265"/>
      <c r="W118" s="265"/>
      <c r="X118" s="265"/>
    </row>
    <row r="119">
      <c r="A119" s="264" t="s">
        <v>1683</v>
      </c>
      <c r="B119" s="264" t="s">
        <v>882</v>
      </c>
      <c r="C119" s="264" t="s">
        <v>1857</v>
      </c>
      <c r="D119" s="264" t="s">
        <v>1859</v>
      </c>
      <c r="E119" s="264" t="s">
        <v>1860</v>
      </c>
      <c r="F119" s="264" t="s">
        <v>1861</v>
      </c>
      <c r="G119" s="265"/>
      <c r="H119" s="265"/>
      <c r="I119" s="265"/>
      <c r="J119" s="265"/>
      <c r="K119" s="265"/>
      <c r="L119" s="265"/>
      <c r="M119" s="265"/>
      <c r="N119" s="265"/>
      <c r="O119" s="265"/>
      <c r="P119" s="265"/>
      <c r="Q119" s="265"/>
      <c r="R119" s="265"/>
      <c r="S119" s="265"/>
      <c r="T119" s="265"/>
      <c r="U119" s="265"/>
      <c r="V119" s="265"/>
      <c r="W119" s="265"/>
      <c r="X119" s="265"/>
    </row>
    <row r="120">
      <c r="A120" s="264" t="s">
        <v>1683</v>
      </c>
      <c r="B120" s="264" t="s">
        <v>894</v>
      </c>
      <c r="C120" s="264" t="s">
        <v>1866</v>
      </c>
      <c r="D120" s="264" t="s">
        <v>1868</v>
      </c>
      <c r="E120" s="264" t="s">
        <v>1870</v>
      </c>
      <c r="F120" s="264" t="s">
        <v>1871</v>
      </c>
      <c r="G120" s="265"/>
      <c r="H120" s="265"/>
      <c r="I120" s="265"/>
      <c r="J120" s="265"/>
      <c r="K120" s="265"/>
      <c r="L120" s="265"/>
      <c r="M120" s="265"/>
      <c r="N120" s="265"/>
      <c r="O120" s="265"/>
      <c r="P120" s="265"/>
      <c r="Q120" s="265"/>
      <c r="R120" s="265"/>
      <c r="S120" s="265"/>
      <c r="T120" s="265"/>
      <c r="U120" s="265"/>
      <c r="V120" s="265"/>
      <c r="W120" s="265"/>
      <c r="X120" s="265"/>
    </row>
    <row r="121">
      <c r="A121" s="264" t="s">
        <v>1683</v>
      </c>
      <c r="B121" s="264" t="s">
        <v>903</v>
      </c>
      <c r="C121" s="264" t="s">
        <v>1874</v>
      </c>
      <c r="D121" s="264" t="s">
        <v>1875</v>
      </c>
      <c r="E121" s="264" t="s">
        <v>1876</v>
      </c>
      <c r="F121" s="264" t="s">
        <v>1877</v>
      </c>
      <c r="G121" s="265"/>
      <c r="H121" s="265"/>
      <c r="I121" s="265"/>
      <c r="J121" s="265"/>
      <c r="K121" s="265"/>
      <c r="L121" s="265"/>
      <c r="M121" s="265"/>
      <c r="N121" s="265"/>
      <c r="O121" s="265"/>
      <c r="P121" s="265"/>
      <c r="Q121" s="265"/>
      <c r="R121" s="265"/>
      <c r="S121" s="265"/>
      <c r="T121" s="265"/>
      <c r="U121" s="265"/>
      <c r="V121" s="265"/>
      <c r="W121" s="265"/>
      <c r="X121" s="265"/>
    </row>
    <row r="122">
      <c r="A122" s="264" t="s">
        <v>1683</v>
      </c>
      <c r="B122" s="264" t="s">
        <v>913</v>
      </c>
      <c r="C122" s="264" t="s">
        <v>1882</v>
      </c>
      <c r="D122" s="264" t="s">
        <v>1883</v>
      </c>
      <c r="E122" s="264" t="s">
        <v>1884</v>
      </c>
      <c r="F122" s="264" t="s">
        <v>1885</v>
      </c>
      <c r="G122" s="265"/>
      <c r="H122" s="265"/>
      <c r="I122" s="265"/>
      <c r="J122" s="265"/>
      <c r="K122" s="265"/>
      <c r="L122" s="265"/>
      <c r="M122" s="265"/>
      <c r="N122" s="265"/>
      <c r="O122" s="265"/>
      <c r="P122" s="265"/>
      <c r="Q122" s="265"/>
      <c r="R122" s="265"/>
      <c r="S122" s="265"/>
      <c r="T122" s="265"/>
      <c r="U122" s="265"/>
      <c r="V122" s="265"/>
      <c r="W122" s="265"/>
      <c r="X122" s="265"/>
    </row>
    <row r="123">
      <c r="A123" s="264" t="s">
        <v>1683</v>
      </c>
      <c r="B123" s="264" t="s">
        <v>922</v>
      </c>
      <c r="C123" s="264" t="s">
        <v>1888</v>
      </c>
      <c r="D123" s="264" t="s">
        <v>1889</v>
      </c>
      <c r="E123" s="264" t="s">
        <v>1890</v>
      </c>
      <c r="F123" s="264" t="s">
        <v>444</v>
      </c>
      <c r="G123" s="265"/>
      <c r="H123" s="265"/>
      <c r="I123" s="265"/>
      <c r="J123" s="265"/>
      <c r="K123" s="265"/>
      <c r="L123" s="265"/>
      <c r="M123" s="265"/>
      <c r="N123" s="265"/>
      <c r="O123" s="265"/>
      <c r="P123" s="265"/>
      <c r="Q123" s="265"/>
      <c r="R123" s="265"/>
      <c r="S123" s="265"/>
      <c r="T123" s="265"/>
      <c r="U123" s="265"/>
      <c r="V123" s="265"/>
      <c r="W123" s="265"/>
      <c r="X123" s="265"/>
    </row>
    <row r="124">
      <c r="A124" s="264" t="s">
        <v>1683</v>
      </c>
      <c r="B124" s="264" t="s">
        <v>929</v>
      </c>
      <c r="C124" s="264" t="s">
        <v>1895</v>
      </c>
      <c r="D124" s="264" t="s">
        <v>419</v>
      </c>
      <c r="E124" s="264" t="s">
        <v>1896</v>
      </c>
      <c r="F124" s="264" t="s">
        <v>1898</v>
      </c>
      <c r="G124" s="265"/>
      <c r="H124" s="265"/>
      <c r="I124" s="265"/>
      <c r="J124" s="265"/>
      <c r="K124" s="265"/>
      <c r="L124" s="265"/>
      <c r="M124" s="265"/>
      <c r="N124" s="265"/>
      <c r="O124" s="265"/>
      <c r="P124" s="265"/>
      <c r="Q124" s="265"/>
      <c r="R124" s="265"/>
      <c r="S124" s="265"/>
      <c r="T124" s="265"/>
      <c r="U124" s="265"/>
      <c r="V124" s="265"/>
      <c r="W124" s="265"/>
      <c r="X124" s="265"/>
    </row>
    <row r="125">
      <c r="A125" s="264" t="s">
        <v>1683</v>
      </c>
      <c r="B125" s="264" t="s">
        <v>938</v>
      </c>
      <c r="C125" s="264" t="s">
        <v>1902</v>
      </c>
      <c r="D125" s="264" t="s">
        <v>1904</v>
      </c>
      <c r="E125" s="264" t="s">
        <v>1905</v>
      </c>
      <c r="F125" s="264" t="s">
        <v>1907</v>
      </c>
      <c r="G125" s="265"/>
      <c r="H125" s="265"/>
      <c r="I125" s="265"/>
      <c r="J125" s="265"/>
      <c r="K125" s="265"/>
      <c r="L125" s="265"/>
      <c r="M125" s="265"/>
      <c r="N125" s="265"/>
      <c r="O125" s="265"/>
      <c r="P125" s="265"/>
      <c r="Q125" s="265"/>
      <c r="R125" s="265"/>
      <c r="S125" s="265"/>
      <c r="T125" s="265"/>
      <c r="U125" s="265"/>
      <c r="V125" s="265"/>
      <c r="W125" s="265"/>
      <c r="X125" s="265"/>
    </row>
    <row r="126">
      <c r="A126" s="264" t="s">
        <v>1683</v>
      </c>
      <c r="B126" s="264" t="s">
        <v>950</v>
      </c>
      <c r="C126" s="264" t="s">
        <v>1912</v>
      </c>
      <c r="D126" s="264" t="s">
        <v>1913</v>
      </c>
      <c r="E126" s="264" t="s">
        <v>1915</v>
      </c>
      <c r="F126" s="264" t="s">
        <v>1917</v>
      </c>
      <c r="G126" s="265"/>
      <c r="H126" s="265"/>
      <c r="I126" s="265"/>
      <c r="J126" s="265"/>
      <c r="K126" s="265"/>
      <c r="L126" s="265"/>
      <c r="M126" s="265"/>
      <c r="N126" s="265"/>
      <c r="O126" s="265"/>
      <c r="P126" s="265"/>
      <c r="Q126" s="265"/>
      <c r="R126" s="265"/>
      <c r="S126" s="265"/>
      <c r="T126" s="265"/>
      <c r="U126" s="265"/>
      <c r="V126" s="265"/>
      <c r="W126" s="265"/>
      <c r="X126" s="265"/>
    </row>
    <row r="127">
      <c r="A127" s="264" t="s">
        <v>1683</v>
      </c>
      <c r="B127" s="264" t="s">
        <v>959</v>
      </c>
      <c r="C127" s="264" t="s">
        <v>1922</v>
      </c>
      <c r="D127" s="264" t="s">
        <v>1119</v>
      </c>
      <c r="E127" s="264" t="s">
        <v>1923</v>
      </c>
      <c r="F127" s="264" t="s">
        <v>1924</v>
      </c>
      <c r="G127" s="265"/>
      <c r="H127" s="265"/>
      <c r="I127" s="265"/>
      <c r="J127" s="265"/>
      <c r="K127" s="265"/>
      <c r="L127" s="265"/>
      <c r="M127" s="265"/>
      <c r="N127" s="265"/>
      <c r="O127" s="265"/>
      <c r="P127" s="265"/>
      <c r="Q127" s="265"/>
      <c r="R127" s="265"/>
      <c r="S127" s="265"/>
      <c r="T127" s="265"/>
      <c r="U127" s="265"/>
      <c r="V127" s="265"/>
      <c r="W127" s="265"/>
      <c r="X127" s="265"/>
    </row>
    <row r="128">
      <c r="A128" s="264" t="s">
        <v>1683</v>
      </c>
      <c r="B128" s="264" t="s">
        <v>970</v>
      </c>
      <c r="C128" s="264" t="s">
        <v>1929</v>
      </c>
      <c r="D128" s="264" t="s">
        <v>1930</v>
      </c>
      <c r="E128" s="264" t="s">
        <v>1931</v>
      </c>
      <c r="F128" s="264" t="s">
        <v>1932</v>
      </c>
      <c r="G128" s="265"/>
      <c r="H128" s="265"/>
      <c r="I128" s="265"/>
      <c r="J128" s="265"/>
      <c r="K128" s="265"/>
      <c r="L128" s="265"/>
      <c r="M128" s="265"/>
      <c r="N128" s="265"/>
      <c r="O128" s="265"/>
      <c r="P128" s="265"/>
      <c r="Q128" s="265"/>
      <c r="R128" s="265"/>
      <c r="S128" s="265"/>
      <c r="T128" s="265"/>
      <c r="U128" s="265"/>
      <c r="V128" s="265"/>
      <c r="W128" s="265"/>
      <c r="X128" s="265"/>
    </row>
    <row r="129">
      <c r="A129" s="264" t="s">
        <v>1683</v>
      </c>
      <c r="B129" s="264" t="s">
        <v>980</v>
      </c>
      <c r="C129" s="264" t="s">
        <v>1937</v>
      </c>
      <c r="D129" s="264" t="s">
        <v>1938</v>
      </c>
      <c r="E129" s="264" t="s">
        <v>1939</v>
      </c>
      <c r="F129" s="264" t="s">
        <v>1940</v>
      </c>
      <c r="G129" s="265"/>
      <c r="H129" s="265"/>
      <c r="I129" s="265"/>
      <c r="J129" s="265"/>
      <c r="K129" s="265"/>
      <c r="L129" s="265"/>
      <c r="M129" s="265"/>
      <c r="N129" s="265"/>
      <c r="O129" s="265"/>
      <c r="P129" s="265"/>
      <c r="Q129" s="265"/>
      <c r="R129" s="265"/>
      <c r="S129" s="265"/>
      <c r="T129" s="265"/>
      <c r="U129" s="265"/>
      <c r="V129" s="265"/>
      <c r="W129" s="265"/>
      <c r="X129" s="265"/>
    </row>
    <row r="130">
      <c r="A130" s="264" t="s">
        <v>1683</v>
      </c>
      <c r="B130" s="264" t="s">
        <v>986</v>
      </c>
      <c r="C130" s="264" t="s">
        <v>1941</v>
      </c>
      <c r="D130" s="264" t="s">
        <v>1942</v>
      </c>
      <c r="E130" s="264" t="s">
        <v>1943</v>
      </c>
      <c r="F130" s="264" t="s">
        <v>1944</v>
      </c>
      <c r="G130" s="265"/>
      <c r="H130" s="265"/>
      <c r="I130" s="265"/>
      <c r="J130" s="265"/>
      <c r="K130" s="265"/>
      <c r="L130" s="265"/>
      <c r="M130" s="265"/>
      <c r="N130" s="265"/>
      <c r="O130" s="265"/>
      <c r="P130" s="265"/>
      <c r="Q130" s="265"/>
      <c r="R130" s="265"/>
      <c r="S130" s="265"/>
      <c r="T130" s="265"/>
      <c r="U130" s="265"/>
      <c r="V130" s="265"/>
      <c r="W130" s="265"/>
      <c r="X130" s="265"/>
    </row>
    <row r="131">
      <c r="A131" s="264" t="s">
        <v>1683</v>
      </c>
      <c r="B131" s="264" t="s">
        <v>996</v>
      </c>
      <c r="C131" s="264" t="s">
        <v>1953</v>
      </c>
      <c r="D131" s="264" t="s">
        <v>1954</v>
      </c>
      <c r="E131" s="264" t="s">
        <v>1955</v>
      </c>
      <c r="F131" s="264" t="s">
        <v>1956</v>
      </c>
      <c r="G131" s="265"/>
      <c r="H131" s="265"/>
      <c r="I131" s="265"/>
      <c r="J131" s="265"/>
      <c r="K131" s="265"/>
      <c r="L131" s="265"/>
      <c r="M131" s="265"/>
      <c r="N131" s="265"/>
      <c r="O131" s="265"/>
      <c r="P131" s="265"/>
      <c r="Q131" s="265"/>
      <c r="R131" s="265"/>
      <c r="S131" s="265"/>
      <c r="T131" s="265"/>
      <c r="U131" s="265"/>
      <c r="V131" s="265"/>
      <c r="W131" s="265"/>
      <c r="X131" s="265"/>
    </row>
    <row r="132">
      <c r="A132" s="264" t="s">
        <v>1683</v>
      </c>
      <c r="B132" s="264" t="s">
        <v>1006</v>
      </c>
      <c r="C132" s="264" t="s">
        <v>1961</v>
      </c>
      <c r="D132" s="264" t="s">
        <v>1962</v>
      </c>
      <c r="E132" s="264" t="s">
        <v>1963</v>
      </c>
      <c r="F132" s="264" t="s">
        <v>1964</v>
      </c>
      <c r="G132" s="265"/>
      <c r="H132" s="265"/>
      <c r="I132" s="265"/>
      <c r="J132" s="265"/>
      <c r="K132" s="265"/>
      <c r="L132" s="265"/>
      <c r="M132" s="265"/>
      <c r="N132" s="265"/>
      <c r="O132" s="265"/>
      <c r="P132" s="265"/>
      <c r="Q132" s="265"/>
      <c r="R132" s="265"/>
      <c r="S132" s="265"/>
      <c r="T132" s="265"/>
      <c r="U132" s="265"/>
      <c r="V132" s="265"/>
      <c r="W132" s="265"/>
      <c r="X132" s="265"/>
    </row>
    <row r="133">
      <c r="A133" s="264" t="s">
        <v>1683</v>
      </c>
      <c r="B133" s="264" t="s">
        <v>1016</v>
      </c>
      <c r="C133" s="264" t="s">
        <v>1970</v>
      </c>
      <c r="D133" s="264" t="s">
        <v>1752</v>
      </c>
      <c r="E133" s="264" t="s">
        <v>1972</v>
      </c>
      <c r="F133" s="264" t="s">
        <v>1973</v>
      </c>
      <c r="G133" s="265"/>
      <c r="H133" s="265"/>
      <c r="I133" s="265"/>
      <c r="J133" s="265"/>
      <c r="K133" s="265"/>
      <c r="L133" s="265"/>
      <c r="M133" s="265"/>
      <c r="N133" s="265"/>
      <c r="O133" s="265"/>
      <c r="P133" s="265"/>
      <c r="Q133" s="265"/>
      <c r="R133" s="265"/>
      <c r="S133" s="265"/>
      <c r="T133" s="265"/>
      <c r="U133" s="265"/>
      <c r="V133" s="265"/>
      <c r="W133" s="265"/>
      <c r="X133" s="265"/>
    </row>
    <row r="134">
      <c r="A134" s="264" t="s">
        <v>1683</v>
      </c>
      <c r="B134" s="264" t="s">
        <v>1026</v>
      </c>
      <c r="C134" s="264" t="s">
        <v>1977</v>
      </c>
      <c r="D134" s="264" t="s">
        <v>1978</v>
      </c>
      <c r="E134" s="264" t="s">
        <v>1979</v>
      </c>
      <c r="F134" s="264" t="s">
        <v>1980</v>
      </c>
      <c r="G134" s="265"/>
      <c r="H134" s="265"/>
      <c r="I134" s="265"/>
      <c r="J134" s="265"/>
      <c r="K134" s="265"/>
      <c r="L134" s="265"/>
      <c r="M134" s="265"/>
      <c r="N134" s="265"/>
      <c r="O134" s="265"/>
      <c r="P134" s="265"/>
      <c r="Q134" s="265"/>
      <c r="R134" s="265"/>
      <c r="S134" s="265"/>
      <c r="T134" s="265"/>
      <c r="U134" s="265"/>
      <c r="V134" s="265"/>
      <c r="W134" s="265"/>
      <c r="X134" s="265"/>
    </row>
    <row r="135">
      <c r="A135" s="264" t="s">
        <v>1683</v>
      </c>
      <c r="B135" s="264" t="s">
        <v>1035</v>
      </c>
      <c r="C135" s="264" t="s">
        <v>1983</v>
      </c>
      <c r="D135" s="264" t="s">
        <v>1294</v>
      </c>
      <c r="E135" s="264" t="s">
        <v>1985</v>
      </c>
      <c r="F135" s="264" t="s">
        <v>1986</v>
      </c>
      <c r="G135" s="265"/>
      <c r="H135" s="265"/>
      <c r="I135" s="265"/>
      <c r="J135" s="265"/>
      <c r="K135" s="265"/>
      <c r="L135" s="265"/>
      <c r="M135" s="265"/>
      <c r="N135" s="265"/>
      <c r="O135" s="265"/>
      <c r="P135" s="265"/>
      <c r="Q135" s="265"/>
      <c r="R135" s="265"/>
      <c r="S135" s="265"/>
      <c r="T135" s="265"/>
      <c r="U135" s="265"/>
      <c r="V135" s="265"/>
      <c r="W135" s="265"/>
      <c r="X135" s="265"/>
    </row>
    <row r="136">
      <c r="A136" s="264" t="s">
        <v>1683</v>
      </c>
      <c r="B136" s="264" t="s">
        <v>1045</v>
      </c>
      <c r="C136" s="264" t="s">
        <v>1990</v>
      </c>
      <c r="D136" s="264" t="s">
        <v>1991</v>
      </c>
      <c r="E136" s="264" t="s">
        <v>1992</v>
      </c>
      <c r="F136" s="264" t="s">
        <v>1993</v>
      </c>
      <c r="G136" s="265"/>
      <c r="H136" s="265"/>
      <c r="I136" s="265"/>
      <c r="J136" s="265"/>
      <c r="K136" s="265"/>
      <c r="L136" s="265"/>
      <c r="M136" s="265"/>
      <c r="N136" s="265"/>
      <c r="O136" s="265"/>
      <c r="P136" s="265"/>
      <c r="Q136" s="265"/>
      <c r="R136" s="265"/>
      <c r="S136" s="265"/>
      <c r="T136" s="265"/>
      <c r="U136" s="265"/>
      <c r="V136" s="265"/>
      <c r="W136" s="265"/>
      <c r="X136" s="265"/>
    </row>
    <row r="137">
      <c r="A137" s="264" t="s">
        <v>1683</v>
      </c>
      <c r="B137" s="264" t="s">
        <v>1050</v>
      </c>
      <c r="C137" s="264" t="s">
        <v>1995</v>
      </c>
      <c r="D137" s="264" t="s">
        <v>1996</v>
      </c>
      <c r="E137" s="264" t="s">
        <v>1997</v>
      </c>
      <c r="F137" s="264" t="s">
        <v>1934</v>
      </c>
      <c r="G137" s="265"/>
      <c r="H137" s="265"/>
      <c r="I137" s="265"/>
      <c r="J137" s="265"/>
      <c r="K137" s="265"/>
      <c r="L137" s="265"/>
      <c r="M137" s="265"/>
      <c r="N137" s="265"/>
      <c r="O137" s="265"/>
      <c r="P137" s="265"/>
      <c r="Q137" s="265"/>
      <c r="R137" s="265"/>
      <c r="S137" s="265"/>
      <c r="T137" s="265"/>
      <c r="U137" s="265"/>
      <c r="V137" s="265"/>
      <c r="W137" s="265"/>
      <c r="X137" s="265"/>
    </row>
    <row r="138">
      <c r="A138" s="264" t="s">
        <v>1683</v>
      </c>
      <c r="B138" s="264" t="s">
        <v>1062</v>
      </c>
      <c r="C138" s="264" t="s">
        <v>2002</v>
      </c>
      <c r="D138" s="264" t="s">
        <v>2003</v>
      </c>
      <c r="E138" s="264" t="s">
        <v>2004</v>
      </c>
      <c r="F138" s="264" t="s">
        <v>2005</v>
      </c>
      <c r="G138" s="265"/>
      <c r="H138" s="265"/>
      <c r="I138" s="265"/>
      <c r="J138" s="265"/>
      <c r="K138" s="265"/>
      <c r="L138" s="265"/>
      <c r="M138" s="265"/>
      <c r="N138" s="265"/>
      <c r="O138" s="265"/>
      <c r="P138" s="265"/>
      <c r="Q138" s="265"/>
      <c r="R138" s="265"/>
      <c r="S138" s="265"/>
      <c r="T138" s="265"/>
      <c r="U138" s="265"/>
      <c r="V138" s="265"/>
      <c r="W138" s="265"/>
      <c r="X138" s="265"/>
    </row>
    <row r="139">
      <c r="A139" s="264" t="s">
        <v>1683</v>
      </c>
      <c r="B139" s="264" t="s">
        <v>1071</v>
      </c>
      <c r="C139" s="264" t="s">
        <v>2008</v>
      </c>
      <c r="D139" s="264" t="s">
        <v>2010</v>
      </c>
      <c r="E139" s="264" t="s">
        <v>2011</v>
      </c>
      <c r="F139" s="264" t="s">
        <v>1562</v>
      </c>
      <c r="G139" s="265"/>
      <c r="H139" s="265"/>
      <c r="I139" s="265"/>
      <c r="J139" s="265"/>
      <c r="K139" s="265"/>
      <c r="L139" s="265"/>
      <c r="M139" s="265"/>
      <c r="N139" s="265"/>
      <c r="O139" s="265"/>
      <c r="P139" s="265"/>
      <c r="Q139" s="265"/>
      <c r="R139" s="265"/>
      <c r="S139" s="265"/>
      <c r="T139" s="265"/>
      <c r="U139" s="265"/>
      <c r="V139" s="265"/>
      <c r="W139" s="265"/>
      <c r="X139" s="265"/>
    </row>
    <row r="140">
      <c r="A140" s="264" t="s">
        <v>1683</v>
      </c>
      <c r="B140" s="264" t="s">
        <v>1084</v>
      </c>
      <c r="C140" s="264" t="s">
        <v>2014</v>
      </c>
      <c r="D140" s="264" t="s">
        <v>2015</v>
      </c>
      <c r="E140" s="264" t="s">
        <v>2016</v>
      </c>
      <c r="F140" s="264" t="s">
        <v>1951</v>
      </c>
      <c r="G140" s="265"/>
      <c r="H140" s="265"/>
      <c r="I140" s="265"/>
      <c r="J140" s="265"/>
      <c r="K140" s="265"/>
      <c r="L140" s="265"/>
      <c r="M140" s="265"/>
      <c r="N140" s="265"/>
      <c r="O140" s="265"/>
      <c r="P140" s="265"/>
      <c r="Q140" s="265"/>
      <c r="R140" s="265"/>
      <c r="S140" s="265"/>
      <c r="T140" s="265"/>
      <c r="U140" s="265"/>
      <c r="V140" s="265"/>
      <c r="W140" s="265"/>
      <c r="X140" s="265"/>
    </row>
    <row r="141">
      <c r="A141" s="264" t="s">
        <v>1683</v>
      </c>
      <c r="B141" s="264" t="s">
        <v>1097</v>
      </c>
      <c r="C141" s="264" t="s">
        <v>2020</v>
      </c>
      <c r="D141" s="264" t="s">
        <v>2021</v>
      </c>
      <c r="E141" s="264" t="s">
        <v>2022</v>
      </c>
      <c r="F141" s="264" t="s">
        <v>2023</v>
      </c>
      <c r="G141" s="265"/>
      <c r="H141" s="265"/>
      <c r="I141" s="265"/>
      <c r="J141" s="265"/>
      <c r="K141" s="265"/>
      <c r="L141" s="265"/>
      <c r="M141" s="265"/>
      <c r="N141" s="265"/>
      <c r="O141" s="265"/>
      <c r="P141" s="265"/>
      <c r="Q141" s="265"/>
      <c r="R141" s="265"/>
      <c r="S141" s="265"/>
      <c r="T141" s="265"/>
      <c r="U141" s="265"/>
      <c r="V141" s="265"/>
      <c r="W141" s="265"/>
      <c r="X141" s="265"/>
    </row>
    <row r="142">
      <c r="A142" s="264" t="s">
        <v>1683</v>
      </c>
      <c r="B142" s="264" t="s">
        <v>1108</v>
      </c>
      <c r="C142" s="264" t="s">
        <v>2030</v>
      </c>
      <c r="D142" s="264" t="s">
        <v>801</v>
      </c>
      <c r="E142" s="264" t="s">
        <v>2031</v>
      </c>
      <c r="F142" s="264" t="s">
        <v>2032</v>
      </c>
      <c r="G142" s="265"/>
      <c r="H142" s="265"/>
      <c r="I142" s="265"/>
      <c r="J142" s="265"/>
      <c r="K142" s="265"/>
      <c r="L142" s="265"/>
      <c r="M142" s="265"/>
      <c r="N142" s="265"/>
      <c r="O142" s="265"/>
      <c r="P142" s="265"/>
      <c r="Q142" s="265"/>
      <c r="R142" s="265"/>
      <c r="S142" s="265"/>
      <c r="T142" s="265"/>
      <c r="U142" s="265"/>
      <c r="V142" s="265"/>
      <c r="W142" s="265"/>
      <c r="X142" s="265"/>
    </row>
    <row r="143">
      <c r="A143" s="264" t="s">
        <v>1683</v>
      </c>
      <c r="B143" s="264" t="s">
        <v>1122</v>
      </c>
      <c r="C143" s="264" t="s">
        <v>2037</v>
      </c>
      <c r="D143" s="264" t="s">
        <v>2038</v>
      </c>
      <c r="E143" s="264" t="s">
        <v>2039</v>
      </c>
      <c r="F143" s="264" t="s">
        <v>2041</v>
      </c>
      <c r="G143" s="265"/>
      <c r="H143" s="265"/>
      <c r="I143" s="265"/>
      <c r="J143" s="265"/>
      <c r="K143" s="265"/>
      <c r="L143" s="265"/>
      <c r="M143" s="265"/>
      <c r="N143" s="265"/>
      <c r="O143" s="265"/>
      <c r="P143" s="265"/>
      <c r="Q143" s="265"/>
      <c r="R143" s="265"/>
      <c r="S143" s="265"/>
      <c r="T143" s="265"/>
      <c r="U143" s="265"/>
      <c r="V143" s="265"/>
      <c r="W143" s="265"/>
      <c r="X143" s="265"/>
    </row>
    <row r="144">
      <c r="A144" s="264" t="s">
        <v>1683</v>
      </c>
      <c r="B144" s="264" t="s">
        <v>1134</v>
      </c>
      <c r="C144" s="264" t="s">
        <v>2045</v>
      </c>
      <c r="D144" s="264" t="s">
        <v>2046</v>
      </c>
      <c r="E144" s="264" t="s">
        <v>2047</v>
      </c>
      <c r="F144" s="264" t="s">
        <v>2049</v>
      </c>
      <c r="G144" s="265"/>
      <c r="H144" s="265"/>
      <c r="I144" s="265"/>
      <c r="J144" s="265"/>
      <c r="K144" s="265"/>
      <c r="L144" s="265"/>
      <c r="M144" s="265"/>
      <c r="N144" s="265"/>
      <c r="O144" s="265"/>
      <c r="P144" s="265"/>
      <c r="Q144" s="265"/>
      <c r="R144" s="265"/>
      <c r="S144" s="265"/>
      <c r="T144" s="265"/>
      <c r="U144" s="265"/>
      <c r="V144" s="265"/>
      <c r="W144" s="265"/>
      <c r="X144" s="265"/>
    </row>
    <row r="145">
      <c r="A145" s="264" t="s">
        <v>1683</v>
      </c>
      <c r="B145" s="264" t="s">
        <v>1146</v>
      </c>
      <c r="C145" s="264" t="s">
        <v>2055</v>
      </c>
      <c r="D145" s="264" t="s">
        <v>2056</v>
      </c>
      <c r="E145" s="264" t="s">
        <v>2059</v>
      </c>
      <c r="F145" s="264" t="s">
        <v>433</v>
      </c>
      <c r="G145" s="265"/>
      <c r="H145" s="265"/>
      <c r="I145" s="265"/>
      <c r="J145" s="265"/>
      <c r="K145" s="265"/>
      <c r="L145" s="265"/>
      <c r="M145" s="265"/>
      <c r="N145" s="265"/>
      <c r="O145" s="265"/>
      <c r="P145" s="265"/>
      <c r="Q145" s="265"/>
      <c r="R145" s="265"/>
      <c r="S145" s="265"/>
      <c r="T145" s="265"/>
      <c r="U145" s="265"/>
      <c r="V145" s="265"/>
      <c r="W145" s="265"/>
      <c r="X145" s="265"/>
    </row>
    <row r="146">
      <c r="A146" s="264" t="s">
        <v>1683</v>
      </c>
      <c r="B146" s="264" t="s">
        <v>1159</v>
      </c>
      <c r="C146" s="264" t="s">
        <v>2070</v>
      </c>
      <c r="D146" s="264" t="s">
        <v>2071</v>
      </c>
      <c r="E146" s="264" t="s">
        <v>2073</v>
      </c>
      <c r="F146" s="264" t="s">
        <v>2075</v>
      </c>
      <c r="G146" s="265"/>
      <c r="H146" s="265"/>
      <c r="I146" s="265"/>
      <c r="J146" s="265"/>
      <c r="K146" s="265"/>
      <c r="L146" s="265"/>
      <c r="M146" s="265"/>
      <c r="N146" s="265"/>
      <c r="O146" s="265"/>
      <c r="P146" s="265"/>
      <c r="Q146" s="265"/>
      <c r="R146" s="265"/>
      <c r="S146" s="265"/>
      <c r="T146" s="265"/>
      <c r="U146" s="265"/>
      <c r="V146" s="265"/>
      <c r="W146" s="265"/>
      <c r="X146" s="265"/>
    </row>
    <row r="147">
      <c r="A147" s="264" t="s">
        <v>1683</v>
      </c>
      <c r="B147" s="264" t="s">
        <v>1172</v>
      </c>
      <c r="C147" s="264" t="s">
        <v>2083</v>
      </c>
      <c r="D147" s="264" t="s">
        <v>2084</v>
      </c>
      <c r="E147" s="264" t="s">
        <v>2085</v>
      </c>
      <c r="F147" s="264" t="s">
        <v>1914</v>
      </c>
      <c r="G147" s="265"/>
      <c r="H147" s="265"/>
      <c r="I147" s="265"/>
      <c r="J147" s="265"/>
      <c r="K147" s="265"/>
      <c r="L147" s="265"/>
      <c r="M147" s="265"/>
      <c r="N147" s="265"/>
      <c r="O147" s="265"/>
      <c r="P147" s="265"/>
      <c r="Q147" s="265"/>
      <c r="R147" s="265"/>
      <c r="S147" s="265"/>
      <c r="T147" s="265"/>
      <c r="U147" s="265"/>
      <c r="V147" s="265"/>
      <c r="W147" s="265"/>
      <c r="X147" s="265"/>
    </row>
    <row r="148">
      <c r="A148" s="264" t="s">
        <v>1683</v>
      </c>
      <c r="B148" s="264" t="s">
        <v>1185</v>
      </c>
      <c r="C148" s="264" t="s">
        <v>2088</v>
      </c>
      <c r="D148" s="264" t="s">
        <v>485</v>
      </c>
      <c r="E148" s="264" t="s">
        <v>2090</v>
      </c>
      <c r="F148" s="264" t="s">
        <v>2092</v>
      </c>
      <c r="G148" s="265"/>
      <c r="H148" s="265"/>
      <c r="I148" s="265"/>
      <c r="J148" s="265"/>
      <c r="K148" s="265"/>
      <c r="L148" s="265"/>
      <c r="M148" s="265"/>
      <c r="N148" s="265"/>
      <c r="O148" s="265"/>
      <c r="P148" s="265"/>
      <c r="Q148" s="265"/>
      <c r="R148" s="265"/>
      <c r="S148" s="265"/>
      <c r="T148" s="265"/>
      <c r="U148" s="265"/>
      <c r="V148" s="265"/>
      <c r="W148" s="265"/>
      <c r="X148" s="265"/>
    </row>
    <row r="149">
      <c r="A149" s="264" t="s">
        <v>1683</v>
      </c>
      <c r="B149" s="264" t="s">
        <v>1195</v>
      </c>
      <c r="C149" s="264" t="s">
        <v>2098</v>
      </c>
      <c r="D149" s="264" t="s">
        <v>2099</v>
      </c>
      <c r="E149" s="264" t="s">
        <v>2100</v>
      </c>
      <c r="F149" s="264" t="s">
        <v>2101</v>
      </c>
      <c r="G149" s="265"/>
      <c r="H149" s="265"/>
      <c r="I149" s="265"/>
      <c r="J149" s="265"/>
      <c r="K149" s="265"/>
      <c r="L149" s="265"/>
      <c r="M149" s="265"/>
      <c r="N149" s="265"/>
      <c r="O149" s="265"/>
      <c r="P149" s="265"/>
      <c r="Q149" s="265"/>
      <c r="R149" s="265"/>
      <c r="S149" s="265"/>
      <c r="T149" s="265"/>
      <c r="U149" s="265"/>
      <c r="V149" s="265"/>
      <c r="W149" s="265"/>
      <c r="X149" s="265"/>
    </row>
    <row r="150">
      <c r="A150" s="264" t="s">
        <v>1683</v>
      </c>
      <c r="B150" s="264" t="s">
        <v>1199</v>
      </c>
      <c r="C150" s="264" t="s">
        <v>2106</v>
      </c>
      <c r="D150" s="264" t="s">
        <v>2107</v>
      </c>
      <c r="E150" s="264" t="s">
        <v>2108</v>
      </c>
      <c r="F150" s="264" t="s">
        <v>2109</v>
      </c>
      <c r="G150" s="265"/>
      <c r="H150" s="265"/>
      <c r="I150" s="265"/>
      <c r="J150" s="265"/>
      <c r="K150" s="265"/>
      <c r="L150" s="265"/>
      <c r="M150" s="265"/>
      <c r="N150" s="265"/>
      <c r="O150" s="265"/>
      <c r="P150" s="265"/>
      <c r="Q150" s="265"/>
      <c r="R150" s="265"/>
      <c r="S150" s="265"/>
      <c r="T150" s="265"/>
      <c r="U150" s="265"/>
      <c r="V150" s="265"/>
      <c r="W150" s="265"/>
      <c r="X150" s="265"/>
    </row>
    <row r="151">
      <c r="A151" s="264" t="s">
        <v>1683</v>
      </c>
      <c r="B151" s="264" t="s">
        <v>1212</v>
      </c>
      <c r="C151" s="264" t="s">
        <v>2114</v>
      </c>
      <c r="D151" s="264" t="s">
        <v>2115</v>
      </c>
      <c r="E151" s="264" t="s">
        <v>2117</v>
      </c>
      <c r="F151" s="264" t="s">
        <v>2119</v>
      </c>
      <c r="G151" s="265"/>
      <c r="H151" s="265"/>
      <c r="I151" s="265"/>
      <c r="J151" s="265"/>
      <c r="K151" s="265"/>
      <c r="L151" s="265"/>
      <c r="M151" s="265"/>
      <c r="N151" s="265"/>
      <c r="O151" s="265"/>
      <c r="P151" s="265"/>
      <c r="Q151" s="265"/>
      <c r="R151" s="265"/>
      <c r="S151" s="265"/>
      <c r="T151" s="265"/>
      <c r="U151" s="265"/>
      <c r="V151" s="265"/>
      <c r="W151" s="265"/>
      <c r="X151" s="265"/>
    </row>
    <row r="152">
      <c r="A152" s="264" t="s">
        <v>1683</v>
      </c>
      <c r="B152" s="264" t="s">
        <v>1223</v>
      </c>
      <c r="C152" s="264" t="s">
        <v>2125</v>
      </c>
      <c r="D152" s="264" t="s">
        <v>2127</v>
      </c>
      <c r="E152" s="264" t="s">
        <v>2128</v>
      </c>
      <c r="F152" s="264" t="s">
        <v>2129</v>
      </c>
      <c r="G152" s="265"/>
      <c r="H152" s="265"/>
      <c r="I152" s="265"/>
      <c r="J152" s="265"/>
      <c r="K152" s="265"/>
      <c r="L152" s="265"/>
      <c r="M152" s="265"/>
      <c r="N152" s="265"/>
      <c r="O152" s="265"/>
      <c r="P152" s="265"/>
      <c r="Q152" s="265"/>
      <c r="R152" s="265"/>
      <c r="S152" s="265"/>
      <c r="T152" s="265"/>
      <c r="U152" s="265"/>
      <c r="V152" s="265"/>
      <c r="W152" s="265"/>
      <c r="X152" s="265"/>
    </row>
    <row r="153">
      <c r="A153" s="264" t="s">
        <v>1683</v>
      </c>
      <c r="B153" s="264" t="s">
        <v>1234</v>
      </c>
      <c r="C153" s="264" t="s">
        <v>2138</v>
      </c>
      <c r="D153" s="264" t="s">
        <v>2139</v>
      </c>
      <c r="E153" s="264" t="s">
        <v>2140</v>
      </c>
      <c r="F153" s="264" t="s">
        <v>2141</v>
      </c>
      <c r="G153" s="265"/>
      <c r="H153" s="265"/>
      <c r="I153" s="265"/>
      <c r="J153" s="265"/>
      <c r="K153" s="265"/>
      <c r="L153" s="265"/>
      <c r="M153" s="265"/>
      <c r="N153" s="265"/>
      <c r="O153" s="265"/>
      <c r="P153" s="265"/>
      <c r="Q153" s="265"/>
      <c r="R153" s="265"/>
      <c r="S153" s="265"/>
      <c r="T153" s="265"/>
      <c r="U153" s="265"/>
      <c r="V153" s="265"/>
      <c r="W153" s="265"/>
      <c r="X153" s="265"/>
    </row>
    <row r="154">
      <c r="A154" s="264" t="s">
        <v>1683</v>
      </c>
      <c r="B154" s="264" t="s">
        <v>1247</v>
      </c>
      <c r="C154" s="264" t="s">
        <v>2144</v>
      </c>
      <c r="D154" s="264" t="s">
        <v>2145</v>
      </c>
      <c r="E154" s="264" t="s">
        <v>2146</v>
      </c>
      <c r="F154" s="264" t="s">
        <v>2147</v>
      </c>
      <c r="G154" s="265"/>
      <c r="H154" s="265"/>
      <c r="I154" s="265"/>
      <c r="J154" s="265"/>
      <c r="K154" s="265"/>
      <c r="L154" s="265"/>
      <c r="M154" s="265"/>
      <c r="N154" s="265"/>
      <c r="O154" s="265"/>
      <c r="P154" s="265"/>
      <c r="Q154" s="265"/>
      <c r="R154" s="265"/>
      <c r="S154" s="265"/>
      <c r="T154" s="265"/>
      <c r="U154" s="265"/>
      <c r="V154" s="265"/>
      <c r="W154" s="265"/>
      <c r="X154" s="265"/>
    </row>
    <row r="155">
      <c r="A155" s="264" t="s">
        <v>1683</v>
      </c>
      <c r="B155" s="264" t="s">
        <v>1254</v>
      </c>
      <c r="C155" s="264" t="s">
        <v>2156</v>
      </c>
      <c r="D155" s="264" t="s">
        <v>2157</v>
      </c>
      <c r="E155" s="264" t="s">
        <v>2158</v>
      </c>
      <c r="F155" s="264" t="s">
        <v>2159</v>
      </c>
      <c r="G155" s="265"/>
      <c r="H155" s="265"/>
      <c r="I155" s="265"/>
      <c r="J155" s="265"/>
      <c r="K155" s="265"/>
      <c r="L155" s="265"/>
      <c r="M155" s="265"/>
      <c r="N155" s="265"/>
      <c r="O155" s="265"/>
      <c r="P155" s="265"/>
      <c r="Q155" s="265"/>
      <c r="R155" s="265"/>
      <c r="S155" s="265"/>
      <c r="T155" s="265"/>
      <c r="U155" s="265"/>
      <c r="V155" s="265"/>
      <c r="W155" s="265"/>
      <c r="X155" s="265"/>
    </row>
    <row r="156">
      <c r="A156" s="264" t="s">
        <v>1683</v>
      </c>
      <c r="B156" s="264" t="s">
        <v>1266</v>
      </c>
      <c r="C156" s="264" t="s">
        <v>2164</v>
      </c>
      <c r="D156" s="264" t="s">
        <v>2166</v>
      </c>
      <c r="E156" s="264" t="s">
        <v>2168</v>
      </c>
      <c r="F156" s="264" t="s">
        <v>1583</v>
      </c>
      <c r="G156" s="265"/>
      <c r="H156" s="265"/>
      <c r="I156" s="265"/>
      <c r="J156" s="265"/>
      <c r="K156" s="265"/>
      <c r="L156" s="265"/>
      <c r="M156" s="265"/>
      <c r="N156" s="265"/>
      <c r="O156" s="265"/>
      <c r="P156" s="265"/>
      <c r="Q156" s="265"/>
      <c r="R156" s="265"/>
      <c r="S156" s="265"/>
      <c r="T156" s="265"/>
      <c r="U156" s="265"/>
      <c r="V156" s="265"/>
      <c r="W156" s="265"/>
      <c r="X156" s="265"/>
    </row>
    <row r="157">
      <c r="A157" s="264" t="s">
        <v>1683</v>
      </c>
      <c r="B157" s="264" t="s">
        <v>1276</v>
      </c>
      <c r="C157" s="264" t="s">
        <v>2173</v>
      </c>
      <c r="D157" s="264" t="s">
        <v>2174</v>
      </c>
      <c r="E157" s="264" t="s">
        <v>2175</v>
      </c>
      <c r="F157" s="264" t="s">
        <v>468</v>
      </c>
      <c r="G157" s="265"/>
      <c r="H157" s="265"/>
      <c r="I157" s="265"/>
      <c r="J157" s="265"/>
      <c r="K157" s="265"/>
      <c r="L157" s="265"/>
      <c r="M157" s="265"/>
      <c r="N157" s="265"/>
      <c r="O157" s="265"/>
      <c r="P157" s="265"/>
      <c r="Q157" s="265"/>
      <c r="R157" s="265"/>
      <c r="S157" s="265"/>
      <c r="T157" s="265"/>
      <c r="U157" s="265"/>
      <c r="V157" s="265"/>
      <c r="W157" s="265"/>
      <c r="X157" s="265"/>
    </row>
    <row r="158">
      <c r="A158" s="264" t="s">
        <v>1683</v>
      </c>
      <c r="B158" s="264" t="s">
        <v>1288</v>
      </c>
      <c r="C158" s="264" t="s">
        <v>2178</v>
      </c>
      <c r="D158" s="264" t="s">
        <v>2179</v>
      </c>
      <c r="E158" s="264" t="s">
        <v>2180</v>
      </c>
      <c r="F158" s="264" t="s">
        <v>632</v>
      </c>
      <c r="G158" s="265"/>
      <c r="H158" s="265"/>
      <c r="I158" s="265"/>
      <c r="J158" s="265"/>
      <c r="K158" s="265"/>
      <c r="L158" s="265"/>
      <c r="M158" s="265"/>
      <c r="N158" s="265"/>
      <c r="O158" s="265"/>
      <c r="P158" s="265"/>
      <c r="Q158" s="265"/>
      <c r="R158" s="265"/>
      <c r="S158" s="265"/>
      <c r="T158" s="265"/>
      <c r="U158" s="265"/>
      <c r="V158" s="265"/>
      <c r="W158" s="265"/>
      <c r="X158" s="265"/>
    </row>
    <row r="159">
      <c r="A159" s="264" t="s">
        <v>1683</v>
      </c>
      <c r="B159" s="264" t="s">
        <v>1299</v>
      </c>
      <c r="C159" s="264" t="s">
        <v>2185</v>
      </c>
      <c r="D159" s="264" t="s">
        <v>2186</v>
      </c>
      <c r="E159" s="264" t="s">
        <v>2187</v>
      </c>
      <c r="F159" s="264" t="s">
        <v>2188</v>
      </c>
      <c r="G159" s="265"/>
      <c r="H159" s="265"/>
      <c r="I159" s="265"/>
      <c r="J159" s="265"/>
      <c r="K159" s="265"/>
      <c r="L159" s="265"/>
      <c r="M159" s="265"/>
      <c r="N159" s="265"/>
      <c r="O159" s="265"/>
      <c r="P159" s="265"/>
      <c r="Q159" s="265"/>
      <c r="R159" s="265"/>
      <c r="S159" s="265"/>
      <c r="T159" s="265"/>
      <c r="U159" s="265"/>
      <c r="V159" s="265"/>
      <c r="W159" s="265"/>
      <c r="X159" s="265"/>
    </row>
    <row r="160">
      <c r="A160" s="264" t="s">
        <v>1683</v>
      </c>
      <c r="B160" s="264" t="s">
        <v>1309</v>
      </c>
      <c r="C160" s="264" t="s">
        <v>2195</v>
      </c>
      <c r="D160" s="264" t="s">
        <v>2197</v>
      </c>
      <c r="E160" s="264" t="s">
        <v>2198</v>
      </c>
      <c r="F160" s="264" t="s">
        <v>2200</v>
      </c>
      <c r="G160" s="265"/>
      <c r="H160" s="265"/>
      <c r="I160" s="265"/>
      <c r="J160" s="265"/>
      <c r="K160" s="265"/>
      <c r="L160" s="265"/>
      <c r="M160" s="265"/>
      <c r="N160" s="265"/>
      <c r="O160" s="265"/>
      <c r="P160" s="265"/>
      <c r="Q160" s="265"/>
      <c r="R160" s="265"/>
      <c r="S160" s="265"/>
      <c r="T160" s="265"/>
      <c r="U160" s="265"/>
      <c r="V160" s="265"/>
      <c r="W160" s="265"/>
      <c r="X160" s="265"/>
    </row>
    <row r="161">
      <c r="A161" s="264" t="s">
        <v>1683</v>
      </c>
      <c r="B161" s="264" t="s">
        <v>1321</v>
      </c>
      <c r="C161" s="264" t="s">
        <v>2206</v>
      </c>
      <c r="D161" s="264" t="s">
        <v>2207</v>
      </c>
      <c r="E161" s="264" t="s">
        <v>2208</v>
      </c>
      <c r="F161" s="264" t="s">
        <v>2209</v>
      </c>
      <c r="G161" s="265"/>
      <c r="H161" s="265"/>
      <c r="I161" s="265"/>
      <c r="J161" s="265"/>
      <c r="K161" s="265"/>
      <c r="L161" s="265"/>
      <c r="M161" s="265"/>
      <c r="N161" s="265"/>
      <c r="O161" s="265"/>
      <c r="P161" s="265"/>
      <c r="Q161" s="265"/>
      <c r="R161" s="265"/>
      <c r="S161" s="265"/>
      <c r="T161" s="265"/>
      <c r="U161" s="265"/>
      <c r="V161" s="265"/>
      <c r="W161" s="265"/>
      <c r="X161" s="265"/>
    </row>
    <row r="162">
      <c r="A162" s="264" t="s">
        <v>1683</v>
      </c>
      <c r="B162" s="264" t="s">
        <v>1330</v>
      </c>
      <c r="C162" s="264" t="s">
        <v>2214</v>
      </c>
      <c r="D162" s="264" t="s">
        <v>2215</v>
      </c>
      <c r="E162" s="264" t="s">
        <v>2216</v>
      </c>
      <c r="F162" s="264" t="s">
        <v>2217</v>
      </c>
      <c r="G162" s="265"/>
      <c r="H162" s="265"/>
      <c r="I162" s="265"/>
      <c r="J162" s="265"/>
      <c r="K162" s="265"/>
      <c r="L162" s="265"/>
      <c r="M162" s="265"/>
      <c r="N162" s="265"/>
      <c r="O162" s="265"/>
      <c r="P162" s="265"/>
      <c r="Q162" s="265"/>
      <c r="R162" s="265"/>
      <c r="S162" s="265"/>
      <c r="T162" s="265"/>
      <c r="U162" s="265"/>
      <c r="V162" s="265"/>
      <c r="W162" s="265"/>
      <c r="X162" s="265"/>
    </row>
    <row r="163">
      <c r="A163" s="264" t="s">
        <v>1683</v>
      </c>
      <c r="B163" s="264" t="s">
        <v>1341</v>
      </c>
      <c r="C163" s="264" t="s">
        <v>2220</v>
      </c>
      <c r="D163" s="264" t="s">
        <v>2222</v>
      </c>
      <c r="E163" s="264" t="s">
        <v>2223</v>
      </c>
      <c r="F163" s="264" t="s">
        <v>2225</v>
      </c>
      <c r="G163" s="265"/>
      <c r="H163" s="265"/>
      <c r="I163" s="265"/>
      <c r="J163" s="265"/>
      <c r="K163" s="265"/>
      <c r="L163" s="265"/>
      <c r="M163" s="265"/>
      <c r="N163" s="265"/>
      <c r="O163" s="265"/>
      <c r="P163" s="265"/>
      <c r="Q163" s="265"/>
      <c r="R163" s="265"/>
      <c r="S163" s="265"/>
      <c r="T163" s="265"/>
      <c r="U163" s="265"/>
      <c r="V163" s="265"/>
      <c r="W163" s="265"/>
      <c r="X163" s="265"/>
    </row>
    <row r="164">
      <c r="A164" s="264" t="s">
        <v>1683</v>
      </c>
      <c r="B164" s="264" t="s">
        <v>1351</v>
      </c>
      <c r="C164" s="264" t="s">
        <v>2232</v>
      </c>
      <c r="D164" s="264" t="s">
        <v>1581</v>
      </c>
      <c r="E164" s="264" t="s">
        <v>2233</v>
      </c>
      <c r="F164" s="264" t="s">
        <v>2234</v>
      </c>
      <c r="G164" s="265"/>
      <c r="H164" s="265"/>
      <c r="I164" s="265"/>
      <c r="J164" s="265"/>
      <c r="K164" s="265"/>
      <c r="L164" s="265"/>
      <c r="M164" s="265"/>
      <c r="N164" s="265"/>
      <c r="O164" s="265"/>
      <c r="P164" s="265"/>
      <c r="Q164" s="265"/>
      <c r="R164" s="265"/>
      <c r="S164" s="265"/>
      <c r="T164" s="265"/>
      <c r="U164" s="265"/>
      <c r="V164" s="265"/>
      <c r="W164" s="265"/>
      <c r="X164" s="265"/>
    </row>
    <row r="165">
      <c r="A165" s="264" t="s">
        <v>1683</v>
      </c>
      <c r="B165" s="264" t="s">
        <v>1363</v>
      </c>
      <c r="C165" s="264" t="s">
        <v>2238</v>
      </c>
      <c r="D165" s="264" t="s">
        <v>2239</v>
      </c>
      <c r="E165" s="264" t="s">
        <v>2240</v>
      </c>
      <c r="F165" s="264" t="s">
        <v>2241</v>
      </c>
      <c r="G165" s="265"/>
      <c r="H165" s="265"/>
      <c r="I165" s="265"/>
      <c r="J165" s="265"/>
      <c r="K165" s="265"/>
      <c r="L165" s="265"/>
      <c r="M165" s="265"/>
      <c r="N165" s="265"/>
      <c r="O165" s="265"/>
      <c r="P165" s="265"/>
      <c r="Q165" s="265"/>
      <c r="R165" s="265"/>
      <c r="S165" s="265"/>
      <c r="T165" s="265"/>
      <c r="U165" s="265"/>
      <c r="V165" s="265"/>
      <c r="W165" s="265"/>
      <c r="X165" s="265"/>
    </row>
    <row r="166">
      <c r="A166" s="264" t="s">
        <v>1683</v>
      </c>
      <c r="B166" s="264" t="s">
        <v>1376</v>
      </c>
      <c r="C166" s="264" t="s">
        <v>2250</v>
      </c>
      <c r="D166" s="264" t="s">
        <v>2251</v>
      </c>
      <c r="E166" s="264" t="s">
        <v>2252</v>
      </c>
      <c r="F166" s="264" t="s">
        <v>2253</v>
      </c>
      <c r="G166" s="265"/>
      <c r="H166" s="265"/>
      <c r="I166" s="265"/>
      <c r="J166" s="265"/>
      <c r="K166" s="265"/>
      <c r="L166" s="265"/>
      <c r="M166" s="265"/>
      <c r="N166" s="265"/>
      <c r="O166" s="265"/>
      <c r="P166" s="265"/>
      <c r="Q166" s="265"/>
      <c r="R166" s="265"/>
      <c r="S166" s="265"/>
      <c r="T166" s="265"/>
      <c r="U166" s="265"/>
      <c r="V166" s="265"/>
      <c r="W166" s="265"/>
      <c r="X166" s="265"/>
    </row>
    <row r="167">
      <c r="A167" s="264" t="s">
        <v>1683</v>
      </c>
      <c r="B167" s="264" t="s">
        <v>1388</v>
      </c>
      <c r="C167" s="264" t="s">
        <v>2259</v>
      </c>
      <c r="D167" s="264" t="s">
        <v>2260</v>
      </c>
      <c r="E167" s="264" t="s">
        <v>2261</v>
      </c>
      <c r="F167" s="264" t="s">
        <v>2262</v>
      </c>
      <c r="G167" s="265"/>
      <c r="H167" s="265"/>
      <c r="I167" s="265"/>
      <c r="J167" s="265"/>
      <c r="K167" s="265"/>
      <c r="L167" s="265"/>
      <c r="M167" s="265"/>
      <c r="N167" s="265"/>
      <c r="O167" s="265"/>
      <c r="P167" s="265"/>
      <c r="Q167" s="265"/>
      <c r="R167" s="265"/>
      <c r="S167" s="265"/>
      <c r="T167" s="265"/>
      <c r="U167" s="265"/>
      <c r="V167" s="265"/>
      <c r="W167" s="265"/>
      <c r="X167" s="265"/>
    </row>
    <row r="168">
      <c r="A168" s="264" t="s">
        <v>1683</v>
      </c>
      <c r="B168" s="264" t="s">
        <v>1400</v>
      </c>
      <c r="C168" s="264" t="s">
        <v>2269</v>
      </c>
      <c r="D168" s="264" t="s">
        <v>2270</v>
      </c>
      <c r="E168" s="264" t="s">
        <v>2271</v>
      </c>
      <c r="F168" s="264" t="s">
        <v>2272</v>
      </c>
      <c r="G168" s="265"/>
      <c r="H168" s="265"/>
      <c r="I168" s="265"/>
      <c r="J168" s="265"/>
      <c r="K168" s="265"/>
      <c r="L168" s="265"/>
      <c r="M168" s="265"/>
      <c r="N168" s="265"/>
      <c r="O168" s="265"/>
      <c r="P168" s="265"/>
      <c r="Q168" s="265"/>
      <c r="R168" s="265"/>
      <c r="S168" s="265"/>
      <c r="T168" s="265"/>
      <c r="U168" s="265"/>
      <c r="V168" s="265"/>
      <c r="W168" s="265"/>
      <c r="X168" s="265"/>
    </row>
    <row r="169">
      <c r="A169" s="264" t="s">
        <v>1683</v>
      </c>
      <c r="B169" s="264" t="s">
        <v>1413</v>
      </c>
      <c r="C169" s="264" t="s">
        <v>2281</v>
      </c>
      <c r="D169" s="264" t="s">
        <v>2282</v>
      </c>
      <c r="E169" s="264" t="s">
        <v>2283</v>
      </c>
      <c r="F169" s="264" t="s">
        <v>2284</v>
      </c>
      <c r="G169" s="265"/>
      <c r="H169" s="265"/>
      <c r="I169" s="265"/>
      <c r="J169" s="265"/>
      <c r="K169" s="265"/>
      <c r="L169" s="265"/>
      <c r="M169" s="265"/>
      <c r="N169" s="265"/>
      <c r="O169" s="265"/>
      <c r="P169" s="265"/>
      <c r="Q169" s="265"/>
      <c r="R169" s="265"/>
      <c r="S169" s="265"/>
      <c r="T169" s="265"/>
      <c r="U169" s="265"/>
      <c r="V169" s="265"/>
      <c r="W169" s="265"/>
      <c r="X169" s="265"/>
    </row>
    <row r="170">
      <c r="A170" s="264" t="s">
        <v>1683</v>
      </c>
      <c r="B170" s="264" t="s">
        <v>1426</v>
      </c>
      <c r="C170" s="264" t="s">
        <v>2289</v>
      </c>
      <c r="D170" s="264" t="s">
        <v>2290</v>
      </c>
      <c r="E170" s="264" t="s">
        <v>2292</v>
      </c>
      <c r="F170" s="264" t="s">
        <v>2294</v>
      </c>
      <c r="G170" s="265"/>
      <c r="H170" s="265"/>
      <c r="I170" s="265"/>
      <c r="J170" s="265"/>
      <c r="K170" s="265"/>
      <c r="L170" s="265"/>
      <c r="M170" s="265"/>
      <c r="N170" s="265"/>
      <c r="O170" s="265"/>
      <c r="P170" s="265"/>
      <c r="Q170" s="265"/>
      <c r="R170" s="265"/>
      <c r="S170" s="265"/>
      <c r="T170" s="265"/>
      <c r="U170" s="265"/>
      <c r="V170" s="265"/>
      <c r="W170" s="265"/>
      <c r="X170" s="265"/>
    </row>
    <row r="171">
      <c r="A171" s="264" t="s">
        <v>1683</v>
      </c>
      <c r="B171" s="264" t="s">
        <v>270</v>
      </c>
      <c r="C171" s="264" t="s">
        <v>2303</v>
      </c>
      <c r="D171" s="264" t="s">
        <v>1911</v>
      </c>
      <c r="E171" s="264" t="s">
        <v>2304</v>
      </c>
      <c r="F171" s="264" t="s">
        <v>2306</v>
      </c>
      <c r="G171" s="265"/>
      <c r="H171" s="265"/>
      <c r="I171" s="265"/>
      <c r="J171" s="265"/>
      <c r="K171" s="265"/>
      <c r="L171" s="265"/>
      <c r="M171" s="265"/>
      <c r="N171" s="265"/>
      <c r="O171" s="265"/>
      <c r="P171" s="265"/>
      <c r="Q171" s="265"/>
      <c r="R171" s="265"/>
      <c r="S171" s="265"/>
      <c r="T171" s="265"/>
      <c r="U171" s="265"/>
      <c r="V171" s="265"/>
      <c r="W171" s="265"/>
      <c r="X171" s="265"/>
    </row>
    <row r="172">
      <c r="A172" s="264" t="s">
        <v>1683</v>
      </c>
      <c r="B172" s="264" t="s">
        <v>303</v>
      </c>
      <c r="C172" s="264" t="s">
        <v>2312</v>
      </c>
      <c r="D172" s="264" t="s">
        <v>2313</v>
      </c>
      <c r="E172" s="264" t="s">
        <v>2315</v>
      </c>
      <c r="F172" s="264" t="s">
        <v>2316</v>
      </c>
      <c r="G172" s="265"/>
      <c r="H172" s="265"/>
      <c r="I172" s="265"/>
      <c r="J172" s="265"/>
      <c r="K172" s="265"/>
      <c r="L172" s="265"/>
      <c r="M172" s="265"/>
      <c r="N172" s="265"/>
      <c r="O172" s="265"/>
      <c r="P172" s="265"/>
      <c r="Q172" s="265"/>
      <c r="R172" s="265"/>
      <c r="S172" s="265"/>
      <c r="T172" s="265"/>
      <c r="U172" s="265"/>
      <c r="V172" s="265"/>
      <c r="W172" s="265"/>
      <c r="X172" s="265"/>
    </row>
    <row r="173">
      <c r="A173" s="264" t="s">
        <v>1683</v>
      </c>
      <c r="B173" s="264" t="s">
        <v>326</v>
      </c>
      <c r="C173" s="264" t="s">
        <v>2322</v>
      </c>
      <c r="D173" s="264" t="s">
        <v>2323</v>
      </c>
      <c r="E173" s="264" t="s">
        <v>2324</v>
      </c>
      <c r="F173" s="264" t="s">
        <v>2263</v>
      </c>
      <c r="G173" s="265"/>
      <c r="H173" s="265"/>
      <c r="I173" s="265"/>
      <c r="J173" s="265"/>
      <c r="K173" s="265"/>
      <c r="L173" s="265"/>
      <c r="M173" s="265"/>
      <c r="N173" s="265"/>
      <c r="O173" s="265"/>
      <c r="P173" s="265"/>
      <c r="Q173" s="265"/>
      <c r="R173" s="265"/>
      <c r="S173" s="265"/>
      <c r="T173" s="265"/>
      <c r="U173" s="265"/>
      <c r="V173" s="265"/>
      <c r="W173" s="265"/>
      <c r="X173" s="265"/>
    </row>
    <row r="174">
      <c r="A174" s="264" t="s">
        <v>1683</v>
      </c>
      <c r="B174" s="264" t="s">
        <v>342</v>
      </c>
      <c r="C174" s="264" t="s">
        <v>2328</v>
      </c>
      <c r="D174" s="264" t="s">
        <v>2330</v>
      </c>
      <c r="E174" s="264" t="s">
        <v>2331</v>
      </c>
      <c r="F174" s="264" t="s">
        <v>2332</v>
      </c>
      <c r="G174" s="265"/>
      <c r="H174" s="265"/>
      <c r="I174" s="265"/>
      <c r="J174" s="265"/>
      <c r="K174" s="265"/>
      <c r="L174" s="265"/>
      <c r="M174" s="265"/>
      <c r="N174" s="265"/>
      <c r="O174" s="265"/>
      <c r="P174" s="265"/>
      <c r="Q174" s="265"/>
      <c r="R174" s="265"/>
      <c r="S174" s="265"/>
      <c r="T174" s="265"/>
      <c r="U174" s="265"/>
      <c r="V174" s="265"/>
      <c r="W174" s="265"/>
      <c r="X174" s="265"/>
    </row>
    <row r="175">
      <c r="A175" s="264" t="s">
        <v>1683</v>
      </c>
      <c r="B175" s="264" t="s">
        <v>354</v>
      </c>
      <c r="C175" s="264" t="s">
        <v>2341</v>
      </c>
      <c r="D175" s="264" t="s">
        <v>2342</v>
      </c>
      <c r="E175" s="264" t="s">
        <v>2343</v>
      </c>
      <c r="F175" s="264" t="s">
        <v>1120</v>
      </c>
      <c r="G175" s="265"/>
      <c r="H175" s="265"/>
      <c r="I175" s="265"/>
      <c r="J175" s="265"/>
      <c r="K175" s="265"/>
      <c r="L175" s="265"/>
      <c r="M175" s="265"/>
      <c r="N175" s="265"/>
      <c r="O175" s="265"/>
      <c r="P175" s="265"/>
      <c r="Q175" s="265"/>
      <c r="R175" s="265"/>
      <c r="S175" s="265"/>
      <c r="T175" s="265"/>
      <c r="U175" s="265"/>
      <c r="V175" s="265"/>
      <c r="W175" s="265"/>
      <c r="X175" s="265"/>
    </row>
    <row r="176">
      <c r="A176" s="264" t="s">
        <v>1683</v>
      </c>
      <c r="B176" s="264" t="s">
        <v>366</v>
      </c>
      <c r="C176" s="264" t="s">
        <v>2350</v>
      </c>
      <c r="D176" s="264" t="s">
        <v>2352</v>
      </c>
      <c r="E176" s="264" t="s">
        <v>2354</v>
      </c>
      <c r="F176" s="264" t="s">
        <v>2355</v>
      </c>
      <c r="G176" s="265"/>
      <c r="H176" s="265"/>
      <c r="I176" s="265"/>
      <c r="J176" s="265"/>
      <c r="K176" s="265"/>
      <c r="L176" s="265"/>
      <c r="M176" s="265"/>
      <c r="N176" s="265"/>
      <c r="O176" s="265"/>
      <c r="P176" s="265"/>
      <c r="Q176" s="265"/>
      <c r="R176" s="265"/>
      <c r="S176" s="265"/>
      <c r="T176" s="265"/>
      <c r="U176" s="265"/>
      <c r="V176" s="265"/>
      <c r="W176" s="265"/>
      <c r="X176" s="265"/>
    </row>
    <row r="177">
      <c r="A177" s="264" t="s">
        <v>1683</v>
      </c>
      <c r="B177" s="264" t="s">
        <v>378</v>
      </c>
      <c r="C177" s="264" t="s">
        <v>2362</v>
      </c>
      <c r="D177" s="264" t="s">
        <v>2363</v>
      </c>
      <c r="E177" s="264" t="s">
        <v>2364</v>
      </c>
      <c r="F177" s="264" t="s">
        <v>2366</v>
      </c>
      <c r="G177" s="265"/>
      <c r="H177" s="265"/>
      <c r="I177" s="265"/>
      <c r="J177" s="265"/>
      <c r="K177" s="265"/>
      <c r="L177" s="265"/>
      <c r="M177" s="265"/>
      <c r="N177" s="265"/>
      <c r="O177" s="265"/>
      <c r="P177" s="265"/>
      <c r="Q177" s="265"/>
      <c r="R177" s="265"/>
      <c r="S177" s="265"/>
      <c r="T177" s="265"/>
      <c r="U177" s="265"/>
      <c r="V177" s="265"/>
      <c r="W177" s="265"/>
      <c r="X177" s="265"/>
    </row>
    <row r="178">
      <c r="A178" s="264" t="s">
        <v>1683</v>
      </c>
      <c r="B178" s="264" t="s">
        <v>390</v>
      </c>
      <c r="C178" s="264" t="s">
        <v>2374</v>
      </c>
      <c r="D178" s="264" t="s">
        <v>2376</v>
      </c>
      <c r="E178" s="264" t="s">
        <v>2378</v>
      </c>
      <c r="F178" s="264" t="s">
        <v>2379</v>
      </c>
      <c r="G178" s="265"/>
      <c r="H178" s="265"/>
      <c r="I178" s="265"/>
      <c r="J178" s="265"/>
      <c r="K178" s="265"/>
      <c r="L178" s="265"/>
      <c r="M178" s="265"/>
      <c r="N178" s="265"/>
      <c r="O178" s="265"/>
      <c r="P178" s="265"/>
      <c r="Q178" s="265"/>
      <c r="R178" s="265"/>
      <c r="S178" s="265"/>
      <c r="T178" s="265"/>
      <c r="U178" s="265"/>
      <c r="V178" s="265"/>
      <c r="W178" s="265"/>
      <c r="X178" s="265"/>
    </row>
    <row r="179">
      <c r="A179" s="264" t="s">
        <v>1683</v>
      </c>
      <c r="B179" s="264" t="s">
        <v>272</v>
      </c>
      <c r="C179" s="264" t="s">
        <v>2388</v>
      </c>
      <c r="D179" s="264" t="s">
        <v>1561</v>
      </c>
      <c r="E179" s="264" t="s">
        <v>2390</v>
      </c>
      <c r="F179" s="264" t="s">
        <v>2392</v>
      </c>
      <c r="G179" s="265"/>
      <c r="H179" s="265"/>
      <c r="I179" s="265"/>
      <c r="J179" s="265"/>
      <c r="K179" s="265"/>
      <c r="L179" s="265"/>
      <c r="M179" s="265"/>
      <c r="N179" s="265"/>
      <c r="O179" s="265"/>
      <c r="P179" s="265"/>
      <c r="Q179" s="265"/>
      <c r="R179" s="265"/>
      <c r="S179" s="265"/>
      <c r="T179" s="265"/>
      <c r="U179" s="265"/>
      <c r="V179" s="265"/>
      <c r="W179" s="265"/>
      <c r="X179" s="265"/>
    </row>
    <row r="180">
      <c r="A180" s="264" t="s">
        <v>1683</v>
      </c>
      <c r="B180" s="264" t="s">
        <v>305</v>
      </c>
      <c r="C180" s="264" t="s">
        <v>2396</v>
      </c>
      <c r="D180" s="264" t="s">
        <v>1950</v>
      </c>
      <c r="E180" s="264" t="s">
        <v>2398</v>
      </c>
      <c r="F180" s="264" t="s">
        <v>2400</v>
      </c>
      <c r="G180" s="265"/>
      <c r="H180" s="265"/>
      <c r="I180" s="265"/>
      <c r="J180" s="265"/>
      <c r="K180" s="265"/>
      <c r="L180" s="265"/>
      <c r="M180" s="265"/>
      <c r="N180" s="265"/>
      <c r="O180" s="265"/>
      <c r="P180" s="265"/>
      <c r="Q180" s="265"/>
      <c r="R180" s="265"/>
      <c r="S180" s="265"/>
      <c r="T180" s="265"/>
      <c r="U180" s="265"/>
      <c r="V180" s="265"/>
      <c r="W180" s="265"/>
      <c r="X180" s="265"/>
    </row>
    <row r="181">
      <c r="A181" s="264" t="s">
        <v>1683</v>
      </c>
      <c r="B181" s="264" t="s">
        <v>327</v>
      </c>
      <c r="C181" s="264" t="s">
        <v>2406</v>
      </c>
      <c r="D181" s="264" t="s">
        <v>2407</v>
      </c>
      <c r="E181" s="264" t="s">
        <v>2408</v>
      </c>
      <c r="F181" s="264" t="s">
        <v>1753</v>
      </c>
      <c r="G181" s="265"/>
      <c r="H181" s="265"/>
      <c r="I181" s="265"/>
      <c r="J181" s="265"/>
      <c r="K181" s="265"/>
      <c r="L181" s="265"/>
      <c r="M181" s="265"/>
      <c r="N181" s="265"/>
      <c r="O181" s="265"/>
      <c r="P181" s="265"/>
      <c r="Q181" s="265"/>
      <c r="R181" s="265"/>
      <c r="S181" s="265"/>
      <c r="T181" s="265"/>
      <c r="U181" s="265"/>
      <c r="V181" s="265"/>
      <c r="W181" s="265"/>
      <c r="X181" s="265"/>
    </row>
    <row r="182">
      <c r="A182" s="264" t="s">
        <v>1683</v>
      </c>
      <c r="B182" s="264" t="s">
        <v>343</v>
      </c>
      <c r="C182" s="264" t="s">
        <v>2414</v>
      </c>
      <c r="D182" s="264" t="s">
        <v>2415</v>
      </c>
      <c r="E182" s="264" t="s">
        <v>2416</v>
      </c>
      <c r="F182" s="264" t="s">
        <v>2410</v>
      </c>
      <c r="G182" s="265"/>
      <c r="H182" s="265"/>
      <c r="I182" s="265"/>
      <c r="J182" s="265"/>
      <c r="K182" s="265"/>
      <c r="L182" s="265"/>
      <c r="M182" s="265"/>
      <c r="N182" s="265"/>
      <c r="O182" s="265"/>
      <c r="P182" s="265"/>
      <c r="Q182" s="265"/>
      <c r="R182" s="265"/>
      <c r="S182" s="265"/>
      <c r="T182" s="265"/>
      <c r="U182" s="265"/>
      <c r="V182" s="265"/>
      <c r="W182" s="265"/>
      <c r="X182" s="265"/>
    </row>
    <row r="183">
      <c r="A183" s="264" t="s">
        <v>1683</v>
      </c>
      <c r="B183" s="264" t="s">
        <v>355</v>
      </c>
      <c r="C183" s="264" t="s">
        <v>2425</v>
      </c>
      <c r="D183" s="264" t="s">
        <v>2427</v>
      </c>
      <c r="E183" s="264" t="s">
        <v>2429</v>
      </c>
      <c r="F183" s="264" t="s">
        <v>1295</v>
      </c>
      <c r="G183" s="265"/>
      <c r="H183" s="265"/>
      <c r="I183" s="265"/>
      <c r="J183" s="265"/>
      <c r="K183" s="265"/>
      <c r="L183" s="265"/>
      <c r="M183" s="265"/>
      <c r="N183" s="265"/>
      <c r="O183" s="265"/>
      <c r="P183" s="265"/>
      <c r="Q183" s="265"/>
      <c r="R183" s="265"/>
      <c r="S183" s="265"/>
      <c r="T183" s="265"/>
      <c r="U183" s="265"/>
      <c r="V183" s="265"/>
      <c r="W183" s="265"/>
      <c r="X183" s="265"/>
    </row>
    <row r="184">
      <c r="A184" s="264" t="s">
        <v>1683</v>
      </c>
      <c r="B184" s="264" t="s">
        <v>367</v>
      </c>
      <c r="C184" s="264" t="s">
        <v>2439</v>
      </c>
      <c r="D184" s="264" t="s">
        <v>2441</v>
      </c>
      <c r="E184" s="264" t="s">
        <v>2442</v>
      </c>
      <c r="F184" s="264" t="s">
        <v>2443</v>
      </c>
      <c r="G184" s="265"/>
      <c r="H184" s="265"/>
      <c r="I184" s="265"/>
      <c r="J184" s="265"/>
      <c r="K184" s="265"/>
      <c r="L184" s="265"/>
      <c r="M184" s="265"/>
      <c r="N184" s="265"/>
      <c r="O184" s="265"/>
      <c r="P184" s="265"/>
      <c r="Q184" s="265"/>
      <c r="R184" s="265"/>
      <c r="S184" s="265"/>
      <c r="T184" s="265"/>
      <c r="U184" s="265"/>
      <c r="V184" s="265"/>
      <c r="W184" s="265"/>
      <c r="X184" s="265"/>
    </row>
    <row r="185">
      <c r="A185" s="264" t="s">
        <v>1683</v>
      </c>
      <c r="B185" s="264" t="s">
        <v>379</v>
      </c>
      <c r="C185" s="264" t="s">
        <v>2450</v>
      </c>
      <c r="D185" s="264" t="s">
        <v>1935</v>
      </c>
      <c r="E185" s="264" t="s">
        <v>2452</v>
      </c>
      <c r="F185" s="264" t="s">
        <v>2454</v>
      </c>
      <c r="G185" s="265"/>
      <c r="H185" s="265"/>
      <c r="I185" s="265"/>
      <c r="J185" s="265"/>
      <c r="K185" s="265"/>
      <c r="L185" s="265"/>
      <c r="M185" s="265"/>
      <c r="N185" s="265"/>
      <c r="O185" s="265"/>
      <c r="P185" s="265"/>
      <c r="Q185" s="265"/>
      <c r="R185" s="265"/>
      <c r="S185" s="265"/>
      <c r="T185" s="265"/>
      <c r="U185" s="265"/>
      <c r="V185" s="265"/>
      <c r="W185" s="265"/>
      <c r="X185" s="265"/>
    </row>
    <row r="186">
      <c r="A186" s="264" t="s">
        <v>1683</v>
      </c>
      <c r="B186" s="264" t="s">
        <v>391</v>
      </c>
      <c r="C186" s="264" t="s">
        <v>2462</v>
      </c>
      <c r="D186" s="264" t="s">
        <v>2464</v>
      </c>
      <c r="E186" s="264" t="s">
        <v>2465</v>
      </c>
      <c r="F186" s="264" t="s">
        <v>2466</v>
      </c>
      <c r="G186" s="265"/>
      <c r="H186" s="265"/>
      <c r="I186" s="265"/>
      <c r="J186" s="265"/>
      <c r="K186" s="265"/>
      <c r="L186" s="265"/>
      <c r="M186" s="265"/>
      <c r="N186" s="265"/>
      <c r="O186" s="265"/>
      <c r="P186" s="265"/>
      <c r="Q186" s="265"/>
      <c r="R186" s="265"/>
      <c r="S186" s="265"/>
      <c r="T186" s="265"/>
      <c r="U186" s="265"/>
      <c r="V186" s="265"/>
      <c r="W186" s="265"/>
      <c r="X186" s="265"/>
    </row>
    <row r="187">
      <c r="A187" s="264" t="s">
        <v>1683</v>
      </c>
      <c r="B187" s="264" t="s">
        <v>275</v>
      </c>
      <c r="C187" s="264" t="s">
        <v>2474</v>
      </c>
      <c r="D187" s="264" t="s">
        <v>2476</v>
      </c>
      <c r="E187" s="264" t="s">
        <v>2477</v>
      </c>
      <c r="F187" s="264" t="s">
        <v>2478</v>
      </c>
      <c r="G187" s="265"/>
      <c r="H187" s="265"/>
      <c r="I187" s="265"/>
      <c r="J187" s="265"/>
      <c r="K187" s="265"/>
      <c r="L187" s="265"/>
      <c r="M187" s="265"/>
      <c r="N187" s="265"/>
      <c r="O187" s="265"/>
      <c r="P187" s="265"/>
      <c r="Q187" s="265"/>
      <c r="R187" s="265"/>
      <c r="S187" s="265"/>
      <c r="T187" s="265"/>
      <c r="U187" s="265"/>
      <c r="V187" s="265"/>
      <c r="W187" s="265"/>
      <c r="X187" s="265"/>
    </row>
    <row r="188">
      <c r="A188" s="264" t="s">
        <v>1683</v>
      </c>
      <c r="B188" s="264" t="s">
        <v>308</v>
      </c>
      <c r="C188" s="264" t="s">
        <v>2484</v>
      </c>
      <c r="D188" s="264" t="s">
        <v>2485</v>
      </c>
      <c r="E188" s="264" t="s">
        <v>2487</v>
      </c>
      <c r="F188" s="264" t="s">
        <v>2488</v>
      </c>
      <c r="G188" s="265"/>
      <c r="H188" s="265"/>
      <c r="I188" s="265"/>
      <c r="J188" s="265"/>
      <c r="K188" s="265"/>
      <c r="L188" s="265"/>
      <c r="M188" s="265"/>
      <c r="N188" s="265"/>
      <c r="O188" s="265"/>
      <c r="P188" s="265"/>
      <c r="Q188" s="265"/>
      <c r="R188" s="265"/>
      <c r="S188" s="265"/>
      <c r="T188" s="265"/>
      <c r="U188" s="265"/>
      <c r="V188" s="265"/>
      <c r="W188" s="265"/>
      <c r="X188" s="265"/>
    </row>
    <row r="189">
      <c r="A189" s="264" t="s">
        <v>1683</v>
      </c>
      <c r="B189" s="264" t="s">
        <v>329</v>
      </c>
      <c r="C189" s="264" t="s">
        <v>2491</v>
      </c>
      <c r="D189" s="264" t="s">
        <v>2493</v>
      </c>
      <c r="E189" s="264" t="s">
        <v>2494</v>
      </c>
      <c r="F189" s="264" t="s">
        <v>2496</v>
      </c>
      <c r="G189" s="265"/>
      <c r="H189" s="265"/>
      <c r="I189" s="265"/>
      <c r="J189" s="265"/>
      <c r="K189" s="265"/>
      <c r="L189" s="265"/>
      <c r="M189" s="265"/>
      <c r="N189" s="265"/>
      <c r="O189" s="265"/>
      <c r="P189" s="265"/>
      <c r="Q189" s="265"/>
      <c r="R189" s="265"/>
      <c r="S189" s="265"/>
      <c r="T189" s="265"/>
      <c r="U189" s="265"/>
      <c r="V189" s="265"/>
      <c r="W189" s="265"/>
      <c r="X189" s="265"/>
    </row>
    <row r="190">
      <c r="A190" s="264" t="s">
        <v>1683</v>
      </c>
      <c r="B190" s="264" t="s">
        <v>344</v>
      </c>
      <c r="C190" s="264" t="s">
        <v>2505</v>
      </c>
      <c r="D190" s="264" t="s">
        <v>2506</v>
      </c>
      <c r="E190" s="264" t="s">
        <v>2507</v>
      </c>
      <c r="F190" s="264" t="s">
        <v>2508</v>
      </c>
      <c r="G190" s="265"/>
      <c r="H190" s="265"/>
      <c r="I190" s="265"/>
      <c r="J190" s="265"/>
      <c r="K190" s="265"/>
      <c r="L190" s="265"/>
      <c r="M190" s="265"/>
      <c r="N190" s="265"/>
      <c r="O190" s="265"/>
      <c r="P190" s="265"/>
      <c r="Q190" s="265"/>
      <c r="R190" s="265"/>
      <c r="S190" s="265"/>
      <c r="T190" s="265"/>
      <c r="U190" s="265"/>
      <c r="V190" s="265"/>
      <c r="W190" s="265"/>
      <c r="X190" s="265"/>
    </row>
    <row r="191">
      <c r="A191" s="264" t="s">
        <v>1683</v>
      </c>
      <c r="B191" s="264" t="s">
        <v>356</v>
      </c>
      <c r="C191" s="264" t="s">
        <v>2513</v>
      </c>
      <c r="D191" s="264" t="s">
        <v>2516</v>
      </c>
      <c r="E191" s="264" t="s">
        <v>2517</v>
      </c>
      <c r="F191" s="264" t="s">
        <v>2519</v>
      </c>
      <c r="G191" s="265"/>
      <c r="H191" s="265"/>
      <c r="I191" s="265"/>
      <c r="J191" s="265"/>
      <c r="K191" s="265"/>
      <c r="L191" s="265"/>
      <c r="M191" s="265"/>
      <c r="N191" s="265"/>
      <c r="O191" s="265"/>
      <c r="P191" s="265"/>
      <c r="Q191" s="265"/>
      <c r="R191" s="265"/>
      <c r="S191" s="265"/>
      <c r="T191" s="265"/>
      <c r="U191" s="265"/>
      <c r="V191" s="265"/>
      <c r="W191" s="265"/>
      <c r="X191" s="265"/>
    </row>
    <row r="192">
      <c r="A192" s="264" t="s">
        <v>1683</v>
      </c>
      <c r="B192" s="264" t="s">
        <v>368</v>
      </c>
      <c r="C192" s="264" t="s">
        <v>2527</v>
      </c>
      <c r="D192" s="264" t="s">
        <v>2529</v>
      </c>
      <c r="E192" s="264" t="s">
        <v>2531</v>
      </c>
      <c r="F192" s="264" t="s">
        <v>2532</v>
      </c>
      <c r="G192" s="265"/>
      <c r="H192" s="265"/>
      <c r="I192" s="265"/>
      <c r="J192" s="265"/>
      <c r="K192" s="265"/>
      <c r="L192" s="265"/>
      <c r="M192" s="265"/>
      <c r="N192" s="265"/>
      <c r="O192" s="265"/>
      <c r="P192" s="265"/>
      <c r="Q192" s="265"/>
      <c r="R192" s="265"/>
      <c r="S192" s="265"/>
      <c r="T192" s="265"/>
      <c r="U192" s="265"/>
      <c r="V192" s="265"/>
      <c r="W192" s="265"/>
      <c r="X192" s="265"/>
    </row>
    <row r="193">
      <c r="A193" s="264" t="s">
        <v>1683</v>
      </c>
      <c r="B193" s="264" t="s">
        <v>380</v>
      </c>
      <c r="C193" s="264" t="s">
        <v>2537</v>
      </c>
      <c r="D193" s="264" t="s">
        <v>2539</v>
      </c>
      <c r="E193" s="264" t="s">
        <v>2540</v>
      </c>
      <c r="F193" s="264" t="s">
        <v>2541</v>
      </c>
      <c r="G193" s="265"/>
      <c r="H193" s="265"/>
      <c r="I193" s="265"/>
      <c r="J193" s="265"/>
      <c r="K193" s="265"/>
      <c r="L193" s="265"/>
      <c r="M193" s="265"/>
      <c r="N193" s="265"/>
      <c r="O193" s="265"/>
      <c r="P193" s="265"/>
      <c r="Q193" s="265"/>
      <c r="R193" s="265"/>
      <c r="S193" s="265"/>
      <c r="T193" s="265"/>
      <c r="U193" s="265"/>
      <c r="V193" s="265"/>
      <c r="W193" s="265"/>
      <c r="X193" s="265"/>
    </row>
    <row r="194">
      <c r="A194" s="264" t="s">
        <v>1683</v>
      </c>
      <c r="B194" s="264" t="s">
        <v>392</v>
      </c>
      <c r="C194" s="264" t="s">
        <v>2549</v>
      </c>
      <c r="D194" s="264" t="s">
        <v>2551</v>
      </c>
      <c r="E194" s="264" t="s">
        <v>2553</v>
      </c>
      <c r="F194" s="264" t="s">
        <v>2554</v>
      </c>
      <c r="G194" s="265"/>
      <c r="H194" s="265"/>
      <c r="I194" s="265"/>
      <c r="J194" s="265"/>
      <c r="K194" s="265"/>
      <c r="L194" s="265"/>
      <c r="M194" s="265"/>
      <c r="N194" s="265"/>
      <c r="O194" s="265"/>
      <c r="P194" s="265"/>
      <c r="Q194" s="265"/>
      <c r="R194" s="265"/>
      <c r="S194" s="265"/>
      <c r="T194" s="265"/>
      <c r="U194" s="265"/>
      <c r="V194" s="265"/>
      <c r="W194" s="26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4" t="s">
        <v>684</v>
      </c>
      <c r="B1" s="264" t="s">
        <v>686</v>
      </c>
      <c r="C1" s="264" t="s">
        <v>687</v>
      </c>
      <c r="D1" s="264" t="s">
        <v>688</v>
      </c>
      <c r="E1" s="264" t="s">
        <v>689</v>
      </c>
      <c r="F1" s="265"/>
      <c r="G1" s="265"/>
      <c r="H1" s="265"/>
      <c r="I1" s="265"/>
      <c r="J1" s="265"/>
      <c r="K1" s="265"/>
      <c r="L1" s="265"/>
      <c r="M1" s="265"/>
      <c r="N1" s="265"/>
      <c r="O1" s="265"/>
      <c r="P1" s="265"/>
      <c r="Q1" s="265"/>
      <c r="R1" s="265"/>
      <c r="S1" s="265"/>
      <c r="T1" s="265"/>
      <c r="U1" s="265"/>
      <c r="V1" s="265"/>
      <c r="W1" s="265"/>
      <c r="X1" s="265"/>
      <c r="Y1" s="265"/>
    </row>
    <row r="2">
      <c r="A2" s="264" t="s">
        <v>2673</v>
      </c>
      <c r="B2" s="264" t="s">
        <v>176</v>
      </c>
      <c r="C2" s="264" t="s">
        <v>2674</v>
      </c>
      <c r="D2" s="264" t="s">
        <v>177</v>
      </c>
      <c r="E2" s="264" t="s">
        <v>2675</v>
      </c>
      <c r="F2" s="265"/>
      <c r="G2" s="265"/>
      <c r="H2" s="265"/>
      <c r="I2" s="265"/>
      <c r="J2" s="265"/>
      <c r="K2" s="265"/>
      <c r="L2" s="265"/>
      <c r="M2" s="265"/>
      <c r="N2" s="265"/>
      <c r="O2" s="265"/>
      <c r="P2" s="265"/>
      <c r="Q2" s="265"/>
      <c r="R2" s="265"/>
      <c r="S2" s="265"/>
      <c r="T2" s="265"/>
      <c r="U2" s="265"/>
      <c r="V2" s="265"/>
      <c r="W2" s="265"/>
      <c r="X2" s="265"/>
      <c r="Y2" s="265"/>
    </row>
    <row r="3">
      <c r="A3" s="264" t="s">
        <v>2678</v>
      </c>
      <c r="B3" s="264" t="s">
        <v>2679</v>
      </c>
      <c r="C3" s="264" t="s">
        <v>2680</v>
      </c>
      <c r="D3" s="264" t="s">
        <v>2682</v>
      </c>
      <c r="E3" s="264" t="s">
        <v>2683</v>
      </c>
      <c r="F3" s="265"/>
      <c r="G3" s="265"/>
      <c r="H3" s="265"/>
      <c r="I3" s="265"/>
      <c r="J3" s="265"/>
      <c r="K3" s="265"/>
      <c r="L3" s="265"/>
      <c r="M3" s="265"/>
      <c r="N3" s="265"/>
      <c r="O3" s="265"/>
      <c r="P3" s="265"/>
      <c r="Q3" s="265"/>
      <c r="R3" s="265"/>
      <c r="S3" s="265"/>
      <c r="T3" s="265"/>
      <c r="U3" s="265"/>
      <c r="V3" s="265"/>
      <c r="W3" s="265"/>
      <c r="X3" s="265"/>
      <c r="Y3" s="265"/>
    </row>
    <row r="4">
      <c r="A4" s="264" t="s">
        <v>2686</v>
      </c>
      <c r="B4" s="264" t="s">
        <v>2687</v>
      </c>
      <c r="C4" s="264" t="s">
        <v>2688</v>
      </c>
      <c r="D4" s="264" t="s">
        <v>2689</v>
      </c>
      <c r="E4" s="264" t="s">
        <v>2691</v>
      </c>
      <c r="F4" s="265"/>
      <c r="G4" s="265"/>
      <c r="H4" s="265"/>
      <c r="I4" s="265"/>
      <c r="J4" s="265"/>
      <c r="K4" s="265"/>
      <c r="L4" s="265"/>
      <c r="M4" s="265"/>
      <c r="N4" s="265"/>
      <c r="O4" s="265"/>
      <c r="P4" s="265"/>
      <c r="Q4" s="265"/>
      <c r="R4" s="265"/>
      <c r="S4" s="265"/>
      <c r="T4" s="265"/>
      <c r="U4" s="265"/>
      <c r="V4" s="265"/>
      <c r="W4" s="265"/>
      <c r="X4" s="265"/>
      <c r="Y4" s="265"/>
    </row>
    <row r="5">
      <c r="A5" s="264" t="s">
        <v>2694</v>
      </c>
      <c r="B5" s="264" t="s">
        <v>2695</v>
      </c>
      <c r="C5" s="264" t="s">
        <v>2696</v>
      </c>
      <c r="D5" s="264" t="s">
        <v>2697</v>
      </c>
      <c r="E5" s="264" t="s">
        <v>2698</v>
      </c>
      <c r="F5" s="265"/>
      <c r="G5" s="265"/>
      <c r="H5" s="265"/>
      <c r="I5" s="265"/>
      <c r="J5" s="265"/>
      <c r="K5" s="265"/>
      <c r="L5" s="265"/>
      <c r="M5" s="265"/>
      <c r="N5" s="265"/>
      <c r="O5" s="265"/>
      <c r="P5" s="265"/>
      <c r="Q5" s="265"/>
      <c r="R5" s="265"/>
      <c r="S5" s="265"/>
      <c r="T5" s="265"/>
      <c r="U5" s="265"/>
      <c r="V5" s="265"/>
      <c r="W5" s="265"/>
      <c r="X5" s="265"/>
      <c r="Y5" s="265"/>
    </row>
    <row r="6">
      <c r="A6" s="264" t="s">
        <v>2702</v>
      </c>
      <c r="B6" s="264" t="s">
        <v>2703</v>
      </c>
      <c r="C6" s="264" t="s">
        <v>2704</v>
      </c>
      <c r="D6" s="264" t="s">
        <v>2705</v>
      </c>
      <c r="E6" s="264" t="s">
        <v>2707</v>
      </c>
      <c r="F6" s="265"/>
      <c r="G6" s="265"/>
      <c r="H6" s="265"/>
      <c r="I6" s="265"/>
      <c r="J6" s="265"/>
      <c r="K6" s="265"/>
      <c r="L6" s="265"/>
      <c r="M6" s="265"/>
      <c r="N6" s="265"/>
      <c r="O6" s="265"/>
      <c r="P6" s="265"/>
      <c r="Q6" s="265"/>
      <c r="R6" s="265"/>
      <c r="S6" s="265"/>
      <c r="T6" s="265"/>
      <c r="U6" s="265"/>
      <c r="V6" s="265"/>
      <c r="W6" s="265"/>
      <c r="X6" s="265"/>
      <c r="Y6" s="265"/>
    </row>
    <row r="7">
      <c r="A7" s="264" t="s">
        <v>2710</v>
      </c>
      <c r="B7" s="264" t="s">
        <v>2712</v>
      </c>
      <c r="C7" s="264" t="s">
        <v>2713</v>
      </c>
      <c r="D7" s="264" t="s">
        <v>2714</v>
      </c>
      <c r="E7" s="264" t="s">
        <v>2715</v>
      </c>
      <c r="F7" s="265"/>
      <c r="G7" s="265"/>
      <c r="H7" s="265"/>
      <c r="I7" s="265"/>
      <c r="J7" s="265"/>
      <c r="K7" s="265"/>
      <c r="L7" s="265"/>
      <c r="M7" s="265"/>
      <c r="N7" s="265"/>
      <c r="O7" s="265"/>
      <c r="P7" s="265"/>
      <c r="Q7" s="265"/>
      <c r="R7" s="265"/>
      <c r="S7" s="265"/>
      <c r="T7" s="265"/>
      <c r="U7" s="265"/>
      <c r="V7" s="265"/>
      <c r="W7" s="265"/>
      <c r="X7" s="265"/>
      <c r="Y7" s="265"/>
    </row>
    <row r="8">
      <c r="A8" s="264" t="s">
        <v>2718</v>
      </c>
      <c r="B8" s="264" t="s">
        <v>2720</v>
      </c>
      <c r="C8" s="264" t="s">
        <v>2721</v>
      </c>
      <c r="D8" s="264" t="s">
        <v>2722</v>
      </c>
      <c r="E8" s="264" t="s">
        <v>2723</v>
      </c>
      <c r="F8" s="265"/>
      <c r="G8" s="265"/>
      <c r="H8" s="265"/>
      <c r="I8" s="265"/>
      <c r="J8" s="265"/>
      <c r="K8" s="265"/>
      <c r="L8" s="265"/>
      <c r="M8" s="265"/>
      <c r="N8" s="265"/>
      <c r="O8" s="265"/>
      <c r="P8" s="265"/>
      <c r="Q8" s="265"/>
      <c r="R8" s="265"/>
      <c r="S8" s="265"/>
      <c r="T8" s="265"/>
      <c r="U8" s="265"/>
      <c r="V8" s="265"/>
      <c r="W8" s="265"/>
      <c r="X8" s="265"/>
      <c r="Y8" s="265"/>
    </row>
    <row r="9">
      <c r="A9" s="264" t="s">
        <v>2728</v>
      </c>
      <c r="B9" s="264" t="s">
        <v>2730</v>
      </c>
      <c r="C9" s="264" t="s">
        <v>2731</v>
      </c>
      <c r="D9" s="264" t="s">
        <v>2732</v>
      </c>
      <c r="E9" s="264" t="s">
        <v>2733</v>
      </c>
      <c r="F9" s="265"/>
      <c r="G9" s="265"/>
      <c r="H9" s="265"/>
      <c r="I9" s="265"/>
      <c r="J9" s="265"/>
      <c r="K9" s="265"/>
      <c r="L9" s="265"/>
      <c r="M9" s="265"/>
      <c r="N9" s="265"/>
      <c r="O9" s="265"/>
      <c r="P9" s="265"/>
      <c r="Q9" s="265"/>
      <c r="R9" s="265"/>
      <c r="S9" s="265"/>
      <c r="T9" s="265"/>
      <c r="U9" s="265"/>
      <c r="V9" s="265"/>
      <c r="W9" s="265"/>
      <c r="X9" s="265"/>
      <c r="Y9" s="265"/>
    </row>
    <row r="10">
      <c r="A10" s="264" t="s">
        <v>2736</v>
      </c>
      <c r="B10" s="264" t="s">
        <v>2738</v>
      </c>
      <c r="C10" s="264" t="s">
        <v>2739</v>
      </c>
      <c r="D10" s="264" t="s">
        <v>2740</v>
      </c>
      <c r="E10" s="264" t="s">
        <v>2741</v>
      </c>
      <c r="F10" s="265"/>
      <c r="G10" s="265"/>
      <c r="H10" s="265"/>
      <c r="I10" s="265"/>
      <c r="J10" s="265"/>
      <c r="K10" s="265"/>
      <c r="L10" s="265"/>
      <c r="M10" s="265"/>
      <c r="N10" s="265"/>
      <c r="O10" s="265"/>
      <c r="P10" s="265"/>
      <c r="Q10" s="265"/>
      <c r="R10" s="265"/>
      <c r="S10" s="265"/>
      <c r="T10" s="265"/>
      <c r="U10" s="265"/>
      <c r="V10" s="265"/>
      <c r="W10" s="265"/>
      <c r="X10" s="265"/>
      <c r="Y10" s="265"/>
    </row>
    <row r="11">
      <c r="A11" s="264" t="s">
        <v>2745</v>
      </c>
      <c r="B11" s="264" t="s">
        <v>2746</v>
      </c>
      <c r="C11" s="264" t="s">
        <v>2747</v>
      </c>
      <c r="D11" s="264" t="s">
        <v>2748</v>
      </c>
      <c r="E11" s="264" t="s">
        <v>2750</v>
      </c>
      <c r="F11" s="265"/>
      <c r="G11" s="265"/>
      <c r="H11" s="265"/>
      <c r="I11" s="265"/>
      <c r="J11" s="265"/>
      <c r="K11" s="265"/>
      <c r="L11" s="265"/>
      <c r="M11" s="265"/>
      <c r="N11" s="265"/>
      <c r="O11" s="265"/>
      <c r="P11" s="265"/>
      <c r="Q11" s="265"/>
      <c r="R11" s="265"/>
      <c r="S11" s="265"/>
      <c r="T11" s="265"/>
      <c r="U11" s="265"/>
      <c r="V11" s="265"/>
      <c r="W11" s="265"/>
      <c r="X11" s="265"/>
      <c r="Y11" s="265"/>
    </row>
    <row r="12">
      <c r="A12" s="264" t="s">
        <v>2753</v>
      </c>
      <c r="B12" s="264" t="s">
        <v>2755</v>
      </c>
      <c r="C12" s="264" t="s">
        <v>2756</v>
      </c>
      <c r="D12" s="264" t="s">
        <v>2757</v>
      </c>
      <c r="E12" s="264" t="s">
        <v>2758</v>
      </c>
      <c r="F12" s="265"/>
      <c r="G12" s="265"/>
      <c r="H12" s="265"/>
      <c r="I12" s="265"/>
      <c r="J12" s="265"/>
      <c r="K12" s="265"/>
      <c r="L12" s="265"/>
      <c r="M12" s="265"/>
      <c r="N12" s="265"/>
      <c r="O12" s="265"/>
      <c r="P12" s="265"/>
      <c r="Q12" s="265"/>
      <c r="R12" s="265"/>
      <c r="S12" s="265"/>
      <c r="T12" s="265"/>
      <c r="U12" s="265"/>
      <c r="V12" s="265"/>
      <c r="W12" s="265"/>
      <c r="X12" s="265"/>
      <c r="Y12" s="265"/>
    </row>
    <row r="13">
      <c r="A13" s="264" t="s">
        <v>2761</v>
      </c>
      <c r="B13" s="264" t="s">
        <v>2762</v>
      </c>
      <c r="C13" s="264" t="s">
        <v>2763</v>
      </c>
      <c r="D13" s="264" t="s">
        <v>2764</v>
      </c>
      <c r="E13" s="264" t="s">
        <v>2766</v>
      </c>
      <c r="F13" s="265"/>
      <c r="G13" s="265"/>
      <c r="H13" s="265"/>
      <c r="I13" s="265"/>
      <c r="J13" s="265"/>
      <c r="K13" s="265"/>
      <c r="L13" s="265"/>
      <c r="M13" s="265"/>
      <c r="N13" s="265"/>
      <c r="O13" s="265"/>
      <c r="P13" s="265"/>
      <c r="Q13" s="265"/>
      <c r="R13" s="265"/>
      <c r="S13" s="265"/>
      <c r="T13" s="265"/>
      <c r="U13" s="265"/>
      <c r="V13" s="265"/>
      <c r="W13" s="265"/>
      <c r="X13" s="265"/>
      <c r="Y13" s="265"/>
    </row>
    <row r="14">
      <c r="A14" s="264" t="s">
        <v>2769</v>
      </c>
      <c r="B14" s="264" t="s">
        <v>2771</v>
      </c>
      <c r="C14" s="264" t="s">
        <v>2772</v>
      </c>
      <c r="D14" s="264" t="s">
        <v>2773</v>
      </c>
      <c r="E14" s="264" t="s">
        <v>2774</v>
      </c>
      <c r="F14" s="265"/>
      <c r="G14" s="265"/>
      <c r="H14" s="265"/>
      <c r="I14" s="265"/>
      <c r="J14" s="265"/>
      <c r="K14" s="265"/>
      <c r="L14" s="265"/>
      <c r="M14" s="265"/>
      <c r="N14" s="265"/>
      <c r="O14" s="265"/>
      <c r="P14" s="265"/>
      <c r="Q14" s="265"/>
      <c r="R14" s="265"/>
      <c r="S14" s="265"/>
      <c r="T14" s="265"/>
      <c r="U14" s="265"/>
      <c r="V14" s="265"/>
      <c r="W14" s="265"/>
      <c r="X14" s="265"/>
      <c r="Y14" s="265"/>
    </row>
    <row r="15">
      <c r="A15" s="264" t="s">
        <v>2778</v>
      </c>
      <c r="B15" s="264" t="s">
        <v>2779</v>
      </c>
      <c r="C15" s="264" t="s">
        <v>2780</v>
      </c>
      <c r="D15" s="264" t="s">
        <v>2781</v>
      </c>
      <c r="E15" s="264" t="s">
        <v>2782</v>
      </c>
      <c r="F15" s="265"/>
      <c r="G15" s="265"/>
      <c r="H15" s="265"/>
      <c r="I15" s="265"/>
      <c r="J15" s="265"/>
      <c r="K15" s="265"/>
      <c r="L15" s="265"/>
      <c r="M15" s="265"/>
      <c r="N15" s="265"/>
      <c r="O15" s="265"/>
      <c r="P15" s="265"/>
      <c r="Q15" s="265"/>
      <c r="R15" s="265"/>
      <c r="S15" s="265"/>
      <c r="T15" s="265"/>
      <c r="U15" s="265"/>
      <c r="V15" s="265"/>
      <c r="W15" s="265"/>
      <c r="X15" s="265"/>
      <c r="Y15" s="265"/>
    </row>
    <row r="16">
      <c r="A16" s="264" t="s">
        <v>2786</v>
      </c>
      <c r="B16" s="264" t="s">
        <v>2787</v>
      </c>
      <c r="C16" s="264" t="s">
        <v>2788</v>
      </c>
      <c r="D16" s="264" t="s">
        <v>2789</v>
      </c>
      <c r="E16" s="264" t="s">
        <v>2790</v>
      </c>
      <c r="F16" s="265"/>
      <c r="G16" s="265"/>
      <c r="H16" s="265"/>
      <c r="I16" s="265"/>
      <c r="J16" s="265"/>
      <c r="K16" s="265"/>
      <c r="L16" s="265"/>
      <c r="M16" s="265"/>
      <c r="N16" s="265"/>
      <c r="O16" s="265"/>
      <c r="P16" s="265"/>
      <c r="Q16" s="265"/>
      <c r="R16" s="265"/>
      <c r="S16" s="265"/>
      <c r="T16" s="265"/>
      <c r="U16" s="265"/>
      <c r="V16" s="265"/>
      <c r="W16" s="265"/>
      <c r="X16" s="265"/>
      <c r="Y16" s="265"/>
    </row>
    <row r="17">
      <c r="A17" s="264" t="s">
        <v>2793</v>
      </c>
      <c r="B17" s="264" t="s">
        <v>2794</v>
      </c>
      <c r="C17" s="264" t="s">
        <v>2796</v>
      </c>
      <c r="D17" s="264" t="s">
        <v>2798</v>
      </c>
      <c r="E17" s="264" t="s">
        <v>2799</v>
      </c>
      <c r="F17" s="265"/>
      <c r="G17" s="265"/>
      <c r="H17" s="265"/>
      <c r="I17" s="265"/>
      <c r="J17" s="265"/>
      <c r="K17" s="265"/>
      <c r="L17" s="265"/>
      <c r="M17" s="265"/>
      <c r="N17" s="265"/>
      <c r="O17" s="265"/>
      <c r="P17" s="265"/>
      <c r="Q17" s="265"/>
      <c r="R17" s="265"/>
      <c r="S17" s="265"/>
      <c r="T17" s="265"/>
      <c r="U17" s="265"/>
      <c r="V17" s="265"/>
      <c r="W17" s="265"/>
      <c r="X17" s="265"/>
      <c r="Y17" s="265"/>
    </row>
    <row r="18">
      <c r="A18" s="264" t="s">
        <v>2803</v>
      </c>
      <c r="B18" s="264" t="s">
        <v>2804</v>
      </c>
      <c r="C18" s="264" t="s">
        <v>2805</v>
      </c>
      <c r="D18" s="264" t="s">
        <v>2806</v>
      </c>
      <c r="E18" s="264" t="s">
        <v>2808</v>
      </c>
      <c r="F18" s="265"/>
      <c r="G18" s="265"/>
      <c r="H18" s="265"/>
      <c r="I18" s="265"/>
      <c r="J18" s="265"/>
      <c r="K18" s="265"/>
      <c r="L18" s="265"/>
      <c r="M18" s="265"/>
      <c r="N18" s="265"/>
      <c r="O18" s="265"/>
      <c r="P18" s="265"/>
      <c r="Q18" s="265"/>
      <c r="R18" s="265"/>
      <c r="S18" s="265"/>
      <c r="T18" s="265"/>
      <c r="U18" s="265"/>
      <c r="V18" s="265"/>
      <c r="W18" s="265"/>
      <c r="X18" s="265"/>
      <c r="Y18" s="265"/>
    </row>
    <row r="19">
      <c r="A19" s="264" t="s">
        <v>2812</v>
      </c>
      <c r="B19" s="264" t="s">
        <v>2813</v>
      </c>
      <c r="C19" s="264" t="s">
        <v>2814</v>
      </c>
      <c r="D19" s="264" t="s">
        <v>2815</v>
      </c>
      <c r="E19" s="264" t="s">
        <v>2816</v>
      </c>
      <c r="F19" s="265"/>
      <c r="G19" s="265"/>
      <c r="H19" s="265"/>
      <c r="I19" s="265"/>
      <c r="J19" s="265"/>
      <c r="K19" s="265"/>
      <c r="L19" s="265"/>
      <c r="M19" s="265"/>
      <c r="N19" s="265"/>
      <c r="O19" s="265"/>
      <c r="P19" s="265"/>
      <c r="Q19" s="265"/>
      <c r="R19" s="265"/>
      <c r="S19" s="265"/>
      <c r="T19" s="265"/>
      <c r="U19" s="265"/>
      <c r="V19" s="265"/>
      <c r="W19" s="265"/>
      <c r="X19" s="265"/>
      <c r="Y19" s="265"/>
    </row>
    <row r="20">
      <c r="A20" s="264" t="s">
        <v>2819</v>
      </c>
      <c r="B20" s="264" t="s">
        <v>2820</v>
      </c>
      <c r="C20" s="264" t="s">
        <v>2822</v>
      </c>
      <c r="D20" s="264" t="s">
        <v>2823</v>
      </c>
      <c r="E20" s="264" t="s">
        <v>2824</v>
      </c>
      <c r="F20" s="265"/>
      <c r="G20" s="265"/>
      <c r="H20" s="265"/>
      <c r="I20" s="265"/>
      <c r="J20" s="265"/>
      <c r="K20" s="265"/>
      <c r="L20" s="265"/>
      <c r="M20" s="265"/>
      <c r="N20" s="265"/>
      <c r="O20" s="265"/>
      <c r="P20" s="265"/>
      <c r="Q20" s="265"/>
      <c r="R20" s="265"/>
      <c r="S20" s="265"/>
      <c r="T20" s="265"/>
      <c r="U20" s="265"/>
      <c r="V20" s="265"/>
      <c r="W20" s="265"/>
      <c r="X20" s="265"/>
      <c r="Y20" s="265"/>
    </row>
    <row r="21">
      <c r="A21" s="264" t="s">
        <v>2828</v>
      </c>
      <c r="B21" s="264" t="s">
        <v>2829</v>
      </c>
      <c r="C21" s="264" t="s">
        <v>2830</v>
      </c>
      <c r="D21" s="264" t="s">
        <v>2831</v>
      </c>
      <c r="E21" s="264" t="s">
        <v>2833</v>
      </c>
      <c r="F21" s="265"/>
      <c r="G21" s="265"/>
      <c r="H21" s="265"/>
      <c r="I21" s="265"/>
      <c r="J21" s="265"/>
      <c r="K21" s="265"/>
      <c r="L21" s="265"/>
      <c r="M21" s="265"/>
      <c r="N21" s="265"/>
      <c r="O21" s="265"/>
      <c r="P21" s="265"/>
      <c r="Q21" s="265"/>
      <c r="R21" s="265"/>
      <c r="S21" s="265"/>
      <c r="T21" s="265"/>
      <c r="U21" s="265"/>
      <c r="V21" s="265"/>
      <c r="W21" s="265"/>
      <c r="X21" s="265"/>
      <c r="Y21" s="265"/>
    </row>
    <row r="22">
      <c r="A22" s="264" t="s">
        <v>2836</v>
      </c>
      <c r="B22" s="264" t="s">
        <v>2837</v>
      </c>
      <c r="C22" s="264" t="s">
        <v>2838</v>
      </c>
      <c r="D22" s="264" t="s">
        <v>2839</v>
      </c>
      <c r="E22" s="264" t="s">
        <v>2840</v>
      </c>
      <c r="F22" s="265"/>
      <c r="G22" s="265"/>
      <c r="H22" s="265"/>
      <c r="I22" s="265"/>
      <c r="J22" s="265"/>
      <c r="K22" s="265"/>
      <c r="L22" s="265"/>
      <c r="M22" s="265"/>
      <c r="N22" s="265"/>
      <c r="O22" s="265"/>
      <c r="P22" s="265"/>
      <c r="Q22" s="265"/>
      <c r="R22" s="265"/>
      <c r="S22" s="265"/>
      <c r="T22" s="265"/>
      <c r="U22" s="265"/>
      <c r="V22" s="265"/>
      <c r="W22" s="265"/>
      <c r="X22" s="265"/>
      <c r="Y22" s="265"/>
    </row>
    <row r="23">
      <c r="A23" s="264" t="s">
        <v>2844</v>
      </c>
      <c r="B23" s="264" t="s">
        <v>2845</v>
      </c>
      <c r="C23" s="264" t="s">
        <v>2846</v>
      </c>
      <c r="D23" s="264" t="s">
        <v>2847</v>
      </c>
      <c r="E23" s="264" t="s">
        <v>2848</v>
      </c>
      <c r="F23" s="265"/>
      <c r="G23" s="265"/>
      <c r="H23" s="265"/>
      <c r="I23" s="265"/>
      <c r="J23" s="265"/>
      <c r="K23" s="265"/>
      <c r="L23" s="265"/>
      <c r="M23" s="265"/>
      <c r="N23" s="265"/>
      <c r="O23" s="265"/>
      <c r="P23" s="265"/>
      <c r="Q23" s="265"/>
      <c r="R23" s="265"/>
      <c r="S23" s="265"/>
      <c r="T23" s="265"/>
      <c r="U23" s="265"/>
      <c r="V23" s="265"/>
      <c r="W23" s="265"/>
      <c r="X23" s="265"/>
      <c r="Y23" s="265"/>
    </row>
    <row r="24">
      <c r="A24" s="264" t="s">
        <v>2851</v>
      </c>
      <c r="B24" s="264" t="s">
        <v>2852</v>
      </c>
      <c r="C24" s="264" t="s">
        <v>2853</v>
      </c>
      <c r="D24" s="264" t="s">
        <v>2854</v>
      </c>
      <c r="E24" s="264" t="s">
        <v>2855</v>
      </c>
      <c r="F24" s="265"/>
      <c r="G24" s="265"/>
      <c r="H24" s="265"/>
      <c r="I24" s="265"/>
      <c r="J24" s="265"/>
      <c r="K24" s="265"/>
      <c r="L24" s="265"/>
      <c r="M24" s="265"/>
      <c r="N24" s="265"/>
      <c r="O24" s="265"/>
      <c r="P24" s="265"/>
      <c r="Q24" s="265"/>
      <c r="R24" s="265"/>
      <c r="S24" s="265"/>
      <c r="T24" s="265"/>
      <c r="U24" s="265"/>
      <c r="V24" s="265"/>
      <c r="W24" s="265"/>
      <c r="X24" s="265"/>
      <c r="Y24" s="265"/>
    </row>
    <row r="25">
      <c r="A25" s="264" t="s">
        <v>2856</v>
      </c>
      <c r="B25" s="264" t="s">
        <v>2857</v>
      </c>
      <c r="C25" s="264" t="s">
        <v>2858</v>
      </c>
      <c r="D25" s="264" t="s">
        <v>2859</v>
      </c>
      <c r="E25" s="264" t="s">
        <v>2860</v>
      </c>
      <c r="F25" s="265"/>
      <c r="G25" s="265"/>
      <c r="H25" s="265"/>
      <c r="I25" s="265"/>
      <c r="J25" s="265"/>
      <c r="K25" s="265"/>
      <c r="L25" s="265"/>
      <c r="M25" s="265"/>
      <c r="N25" s="265"/>
      <c r="O25" s="265"/>
      <c r="P25" s="265"/>
      <c r="Q25" s="265"/>
      <c r="R25" s="265"/>
      <c r="S25" s="265"/>
      <c r="T25" s="265"/>
      <c r="U25" s="265"/>
      <c r="V25" s="265"/>
      <c r="W25" s="265"/>
      <c r="X25" s="265"/>
      <c r="Y25" s="265"/>
    </row>
    <row r="26">
      <c r="A26" s="264" t="s">
        <v>2862</v>
      </c>
      <c r="B26" s="264" t="s">
        <v>2863</v>
      </c>
      <c r="C26" s="264" t="s">
        <v>2864</v>
      </c>
      <c r="D26" s="264" t="s">
        <v>2865</v>
      </c>
      <c r="E26" s="264" t="s">
        <v>2866</v>
      </c>
      <c r="F26" s="265"/>
      <c r="G26" s="265"/>
      <c r="H26" s="265"/>
      <c r="I26" s="265"/>
      <c r="J26" s="265"/>
      <c r="K26" s="265"/>
      <c r="L26" s="265"/>
      <c r="M26" s="265"/>
      <c r="N26" s="265"/>
      <c r="O26" s="265"/>
      <c r="P26" s="265"/>
      <c r="Q26" s="265"/>
      <c r="R26" s="265"/>
      <c r="S26" s="265"/>
      <c r="T26" s="265"/>
      <c r="U26" s="265"/>
      <c r="V26" s="265"/>
      <c r="W26" s="265"/>
      <c r="X26" s="265"/>
      <c r="Y26" s="265"/>
    </row>
    <row r="27">
      <c r="A27" s="264" t="s">
        <v>2871</v>
      </c>
      <c r="B27" s="264" t="s">
        <v>2872</v>
      </c>
      <c r="C27" s="264" t="s">
        <v>2873</v>
      </c>
      <c r="D27" s="264" t="s">
        <v>2874</v>
      </c>
      <c r="E27" s="264" t="s">
        <v>2875</v>
      </c>
      <c r="F27" s="265"/>
      <c r="G27" s="265"/>
      <c r="H27" s="265"/>
      <c r="I27" s="265"/>
      <c r="J27" s="265"/>
      <c r="K27" s="265"/>
      <c r="L27" s="265"/>
      <c r="M27" s="265"/>
      <c r="N27" s="265"/>
      <c r="O27" s="265"/>
      <c r="P27" s="265"/>
      <c r="Q27" s="265"/>
      <c r="R27" s="265"/>
      <c r="S27" s="265"/>
      <c r="T27" s="265"/>
      <c r="U27" s="265"/>
      <c r="V27" s="265"/>
      <c r="W27" s="265"/>
      <c r="X27" s="265"/>
      <c r="Y27" s="265"/>
    </row>
    <row r="28">
      <c r="A28" s="264" t="s">
        <v>2879</v>
      </c>
      <c r="B28" s="264" t="s">
        <v>2880</v>
      </c>
      <c r="C28" s="264" t="s">
        <v>2881</v>
      </c>
      <c r="D28" s="264" t="s">
        <v>2883</v>
      </c>
      <c r="E28" s="264" t="s">
        <v>2884</v>
      </c>
      <c r="F28" s="265"/>
      <c r="G28" s="265"/>
      <c r="H28" s="265"/>
      <c r="I28" s="265"/>
      <c r="J28" s="265"/>
      <c r="K28" s="265"/>
      <c r="L28" s="265"/>
      <c r="M28" s="265"/>
      <c r="N28" s="265"/>
      <c r="O28" s="265"/>
      <c r="P28" s="265"/>
      <c r="Q28" s="265"/>
      <c r="R28" s="265"/>
      <c r="S28" s="265"/>
      <c r="T28" s="265"/>
      <c r="U28" s="265"/>
      <c r="V28" s="265"/>
      <c r="W28" s="265"/>
      <c r="X28" s="265"/>
      <c r="Y28" s="265"/>
    </row>
    <row r="29">
      <c r="A29" s="264" t="s">
        <v>2888</v>
      </c>
      <c r="B29" s="264" t="s">
        <v>2889</v>
      </c>
      <c r="C29" s="264" t="s">
        <v>2891</v>
      </c>
      <c r="D29" s="264" t="s">
        <v>2892</v>
      </c>
      <c r="E29" s="264" t="s">
        <v>2893</v>
      </c>
      <c r="F29" s="265"/>
      <c r="G29" s="265"/>
      <c r="H29" s="265"/>
      <c r="I29" s="265"/>
      <c r="J29" s="265"/>
      <c r="K29" s="265"/>
      <c r="L29" s="265"/>
      <c r="M29" s="265"/>
      <c r="N29" s="265"/>
      <c r="O29" s="265"/>
      <c r="P29" s="265"/>
      <c r="Q29" s="265"/>
      <c r="R29" s="265"/>
      <c r="S29" s="265"/>
      <c r="T29" s="265"/>
      <c r="U29" s="265"/>
      <c r="V29" s="265"/>
      <c r="W29" s="265"/>
      <c r="X29" s="265"/>
      <c r="Y29" s="265"/>
    </row>
    <row r="30">
      <c r="A30" s="264" t="s">
        <v>2897</v>
      </c>
      <c r="B30" s="264" t="s">
        <v>2898</v>
      </c>
      <c r="C30" s="264" t="s">
        <v>2899</v>
      </c>
      <c r="D30" s="264" t="s">
        <v>2900</v>
      </c>
      <c r="E30" s="264" t="s">
        <v>2901</v>
      </c>
      <c r="F30" s="265"/>
      <c r="G30" s="265"/>
      <c r="H30" s="265"/>
      <c r="I30" s="265"/>
      <c r="J30" s="265"/>
      <c r="K30" s="265"/>
      <c r="L30" s="265"/>
      <c r="M30" s="265"/>
      <c r="N30" s="265"/>
      <c r="O30" s="265"/>
      <c r="P30" s="265"/>
      <c r="Q30" s="265"/>
      <c r="R30" s="265"/>
      <c r="S30" s="265"/>
      <c r="T30" s="265"/>
      <c r="U30" s="265"/>
      <c r="V30" s="265"/>
      <c r="W30" s="265"/>
      <c r="X30" s="265"/>
      <c r="Y30" s="265"/>
    </row>
    <row r="31">
      <c r="A31" s="264" t="s">
        <v>2903</v>
      </c>
      <c r="B31" s="264" t="s">
        <v>2905</v>
      </c>
      <c r="C31" s="264" t="s">
        <v>2907</v>
      </c>
      <c r="D31" s="264" t="s">
        <v>2908</v>
      </c>
      <c r="E31" s="264" t="s">
        <v>2909</v>
      </c>
      <c r="F31" s="265"/>
      <c r="G31" s="265"/>
      <c r="H31" s="265"/>
      <c r="I31" s="265"/>
      <c r="J31" s="265"/>
      <c r="K31" s="265"/>
      <c r="L31" s="265"/>
      <c r="M31" s="265"/>
      <c r="N31" s="265"/>
      <c r="O31" s="265"/>
      <c r="P31" s="265"/>
      <c r="Q31" s="265"/>
      <c r="R31" s="265"/>
      <c r="S31" s="265"/>
      <c r="T31" s="265"/>
      <c r="U31" s="265"/>
      <c r="V31" s="265"/>
      <c r="W31" s="265"/>
      <c r="X31" s="265"/>
      <c r="Y31" s="265"/>
    </row>
    <row r="32">
      <c r="A32" s="264" t="s">
        <v>2912</v>
      </c>
      <c r="B32" s="264" t="s">
        <v>2914</v>
      </c>
      <c r="C32" s="264" t="s">
        <v>2916</v>
      </c>
      <c r="D32" s="264" t="s">
        <v>2917</v>
      </c>
      <c r="E32" s="264" t="s">
        <v>2918</v>
      </c>
      <c r="F32" s="265"/>
      <c r="G32" s="265"/>
      <c r="H32" s="265"/>
      <c r="I32" s="265"/>
      <c r="J32" s="265"/>
      <c r="K32" s="265"/>
      <c r="L32" s="265"/>
      <c r="M32" s="265"/>
      <c r="N32" s="265"/>
      <c r="O32" s="265"/>
      <c r="P32" s="265"/>
      <c r="Q32" s="265"/>
      <c r="R32" s="265"/>
      <c r="S32" s="265"/>
      <c r="T32" s="265"/>
      <c r="U32" s="265"/>
      <c r="V32" s="265"/>
      <c r="W32" s="265"/>
      <c r="X32" s="265"/>
      <c r="Y32" s="265"/>
    </row>
    <row r="33">
      <c r="A33" s="264" t="s">
        <v>2924</v>
      </c>
      <c r="B33" s="264" t="s">
        <v>2925</v>
      </c>
      <c r="C33" s="264" t="s">
        <v>2926</v>
      </c>
      <c r="D33" s="264" t="s">
        <v>2927</v>
      </c>
      <c r="E33" s="264" t="s">
        <v>2928</v>
      </c>
      <c r="F33" s="265"/>
      <c r="G33" s="265"/>
      <c r="H33" s="265"/>
      <c r="I33" s="265"/>
      <c r="J33" s="265"/>
      <c r="K33" s="265"/>
      <c r="L33" s="265"/>
      <c r="M33" s="265"/>
      <c r="N33" s="265"/>
      <c r="O33" s="265"/>
      <c r="P33" s="265"/>
      <c r="Q33" s="265"/>
      <c r="R33" s="265"/>
      <c r="S33" s="265"/>
      <c r="T33" s="265"/>
      <c r="U33" s="265"/>
      <c r="V33" s="265"/>
      <c r="W33" s="265"/>
      <c r="X33" s="265"/>
      <c r="Y33" s="265"/>
    </row>
    <row r="34">
      <c r="A34" s="264" t="s">
        <v>2932</v>
      </c>
      <c r="B34" s="264" t="s">
        <v>2933</v>
      </c>
      <c r="C34" s="264" t="s">
        <v>2934</v>
      </c>
      <c r="D34" s="264" t="s">
        <v>2935</v>
      </c>
      <c r="E34" s="264" t="s">
        <v>2936</v>
      </c>
      <c r="F34" s="265"/>
      <c r="G34" s="265"/>
      <c r="H34" s="265"/>
      <c r="I34" s="265"/>
      <c r="J34" s="265"/>
      <c r="K34" s="265"/>
      <c r="L34" s="265"/>
      <c r="M34" s="265"/>
      <c r="N34" s="265"/>
      <c r="O34" s="265"/>
      <c r="P34" s="265"/>
      <c r="Q34" s="265"/>
      <c r="R34" s="265"/>
      <c r="S34" s="265"/>
      <c r="T34" s="265"/>
      <c r="U34" s="265"/>
      <c r="V34" s="265"/>
      <c r="W34" s="265"/>
      <c r="X34" s="265"/>
      <c r="Y34" s="265"/>
    </row>
    <row r="35">
      <c r="A35" s="264" t="s">
        <v>2939</v>
      </c>
      <c r="B35" s="264" t="s">
        <v>2940</v>
      </c>
      <c r="C35" s="264" t="s">
        <v>2941</v>
      </c>
      <c r="D35" s="264" t="s">
        <v>2942</v>
      </c>
      <c r="E35" s="264" t="s">
        <v>2943</v>
      </c>
      <c r="F35" s="265"/>
      <c r="G35" s="265"/>
      <c r="H35" s="265"/>
      <c r="I35" s="265"/>
      <c r="J35" s="265"/>
      <c r="K35" s="265"/>
      <c r="L35" s="265"/>
      <c r="M35" s="265"/>
      <c r="N35" s="265"/>
      <c r="O35" s="265"/>
      <c r="P35" s="265"/>
      <c r="Q35" s="265"/>
      <c r="R35" s="265"/>
      <c r="S35" s="265"/>
      <c r="T35" s="265"/>
      <c r="U35" s="265"/>
      <c r="V35" s="265"/>
      <c r="W35" s="265"/>
      <c r="X35" s="265"/>
      <c r="Y35" s="265"/>
    </row>
    <row r="36">
      <c r="A36" s="264" t="s">
        <v>2948</v>
      </c>
      <c r="B36" s="264" t="s">
        <v>2949</v>
      </c>
      <c r="C36" s="264" t="s">
        <v>2950</v>
      </c>
      <c r="D36" s="264" t="s">
        <v>2951</v>
      </c>
      <c r="E36" s="264" t="s">
        <v>2953</v>
      </c>
      <c r="F36" s="265"/>
      <c r="G36" s="265"/>
      <c r="H36" s="265"/>
      <c r="I36" s="265"/>
      <c r="J36" s="265"/>
      <c r="K36" s="265"/>
      <c r="L36" s="265"/>
      <c r="M36" s="265"/>
      <c r="N36" s="265"/>
      <c r="O36" s="265"/>
      <c r="P36" s="265"/>
      <c r="Q36" s="265"/>
      <c r="R36" s="265"/>
      <c r="S36" s="265"/>
      <c r="T36" s="265"/>
      <c r="U36" s="265"/>
      <c r="V36" s="265"/>
      <c r="W36" s="265"/>
      <c r="X36" s="265"/>
      <c r="Y36" s="265"/>
    </row>
    <row r="37">
      <c r="A37" s="264" t="s">
        <v>2956</v>
      </c>
      <c r="B37" s="264" t="s">
        <v>2957</v>
      </c>
      <c r="C37" s="264" t="s">
        <v>2958</v>
      </c>
      <c r="D37" s="264" t="s">
        <v>2959</v>
      </c>
      <c r="E37" s="264" t="s">
        <v>2961</v>
      </c>
      <c r="F37" s="265"/>
      <c r="G37" s="265"/>
      <c r="H37" s="265"/>
      <c r="I37" s="265"/>
      <c r="J37" s="265"/>
      <c r="K37" s="265"/>
      <c r="L37" s="265"/>
      <c r="M37" s="265"/>
      <c r="N37" s="265"/>
      <c r="O37" s="265"/>
      <c r="P37" s="265"/>
      <c r="Q37" s="265"/>
      <c r="R37" s="265"/>
      <c r="S37" s="265"/>
      <c r="T37" s="265"/>
      <c r="U37" s="265"/>
      <c r="V37" s="265"/>
      <c r="W37" s="265"/>
      <c r="X37" s="265"/>
      <c r="Y37" s="265"/>
    </row>
    <row r="38">
      <c r="A38" s="264" t="s">
        <v>2965</v>
      </c>
      <c r="B38" s="264" t="s">
        <v>2966</v>
      </c>
      <c r="C38" s="264" t="s">
        <v>2967</v>
      </c>
      <c r="D38" s="264" t="s">
        <v>2968</v>
      </c>
      <c r="E38" s="264" t="s">
        <v>2970</v>
      </c>
      <c r="F38" s="265"/>
      <c r="G38" s="265"/>
      <c r="H38" s="265"/>
      <c r="I38" s="265"/>
      <c r="J38" s="265"/>
      <c r="K38" s="265"/>
      <c r="L38" s="265"/>
      <c r="M38" s="265"/>
      <c r="N38" s="265"/>
      <c r="O38" s="265"/>
      <c r="P38" s="265"/>
      <c r="Q38" s="265"/>
      <c r="R38" s="265"/>
      <c r="S38" s="265"/>
      <c r="T38" s="265"/>
      <c r="U38" s="265"/>
      <c r="V38" s="265"/>
      <c r="W38" s="265"/>
      <c r="X38" s="265"/>
      <c r="Y38" s="265"/>
    </row>
    <row r="39">
      <c r="A39" s="264" t="s">
        <v>2973</v>
      </c>
      <c r="B39" s="264" t="s">
        <v>2974</v>
      </c>
      <c r="C39" s="264" t="s">
        <v>2975</v>
      </c>
      <c r="D39" s="264" t="s">
        <v>2976</v>
      </c>
      <c r="E39" s="264" t="s">
        <v>2978</v>
      </c>
      <c r="F39" s="265"/>
      <c r="G39" s="265"/>
      <c r="H39" s="265"/>
      <c r="I39" s="265"/>
      <c r="J39" s="265"/>
      <c r="K39" s="265"/>
      <c r="L39" s="265"/>
      <c r="M39" s="265"/>
      <c r="N39" s="265"/>
      <c r="O39" s="265"/>
      <c r="P39" s="265"/>
      <c r="Q39" s="265"/>
      <c r="R39" s="265"/>
      <c r="S39" s="265"/>
      <c r="T39" s="265"/>
      <c r="U39" s="265"/>
      <c r="V39" s="265"/>
      <c r="W39" s="265"/>
      <c r="X39" s="265"/>
      <c r="Y39" s="265"/>
    </row>
    <row r="40">
      <c r="A40" s="264" t="s">
        <v>2982</v>
      </c>
      <c r="B40" s="264" t="s">
        <v>2983</v>
      </c>
      <c r="C40" s="264" t="s">
        <v>2984</v>
      </c>
      <c r="D40" s="264" t="s">
        <v>2985</v>
      </c>
      <c r="E40" s="264" t="s">
        <v>2987</v>
      </c>
      <c r="F40" s="265"/>
      <c r="G40" s="265"/>
      <c r="H40" s="265"/>
      <c r="I40" s="265"/>
      <c r="J40" s="265"/>
      <c r="K40" s="265"/>
      <c r="L40" s="265"/>
      <c r="M40" s="265"/>
      <c r="N40" s="265"/>
      <c r="O40" s="265"/>
      <c r="P40" s="265"/>
      <c r="Q40" s="265"/>
      <c r="R40" s="265"/>
      <c r="S40" s="265"/>
      <c r="T40" s="265"/>
      <c r="U40" s="265"/>
      <c r="V40" s="265"/>
      <c r="W40" s="265"/>
      <c r="X40" s="265"/>
      <c r="Y40" s="265"/>
    </row>
    <row r="41">
      <c r="A41" s="264" t="s">
        <v>2991</v>
      </c>
      <c r="B41" s="264" t="s">
        <v>2992</v>
      </c>
      <c r="C41" s="264" t="s">
        <v>2993</v>
      </c>
      <c r="D41" s="264" t="s">
        <v>2994</v>
      </c>
      <c r="E41" s="264" t="s">
        <v>2995</v>
      </c>
      <c r="F41" s="265"/>
      <c r="G41" s="265"/>
      <c r="H41" s="265"/>
      <c r="I41" s="265"/>
      <c r="J41" s="265"/>
      <c r="K41" s="265"/>
      <c r="L41" s="265"/>
      <c r="M41" s="265"/>
      <c r="N41" s="265"/>
      <c r="O41" s="265"/>
      <c r="P41" s="265"/>
      <c r="Q41" s="265"/>
      <c r="R41" s="265"/>
      <c r="S41" s="265"/>
      <c r="T41" s="265"/>
      <c r="U41" s="265"/>
      <c r="V41" s="265"/>
      <c r="W41" s="265"/>
      <c r="X41" s="265"/>
      <c r="Y41" s="265"/>
    </row>
    <row r="42">
      <c r="A42" s="264" t="s">
        <v>2999</v>
      </c>
      <c r="B42" s="264" t="s">
        <v>3000</v>
      </c>
      <c r="C42" s="264" t="s">
        <v>3001</v>
      </c>
      <c r="D42" s="264" t="s">
        <v>3002</v>
      </c>
      <c r="E42" s="264" t="s">
        <v>3004</v>
      </c>
      <c r="F42" s="265"/>
      <c r="G42" s="265"/>
      <c r="H42" s="265"/>
      <c r="I42" s="265"/>
      <c r="J42" s="265"/>
      <c r="K42" s="265"/>
      <c r="L42" s="265"/>
      <c r="M42" s="265"/>
      <c r="N42" s="265"/>
      <c r="O42" s="265"/>
      <c r="P42" s="265"/>
      <c r="Q42" s="265"/>
      <c r="R42" s="265"/>
      <c r="S42" s="265"/>
      <c r="T42" s="265"/>
      <c r="U42" s="265"/>
      <c r="V42" s="265"/>
      <c r="W42" s="265"/>
      <c r="X42" s="265"/>
      <c r="Y42" s="265"/>
    </row>
    <row r="43">
      <c r="A43" s="264" t="s">
        <v>3007</v>
      </c>
      <c r="B43" s="264" t="s">
        <v>3008</v>
      </c>
      <c r="C43" s="264" t="s">
        <v>3009</v>
      </c>
      <c r="D43" s="264" t="s">
        <v>3010</v>
      </c>
      <c r="E43" s="264" t="s">
        <v>3011</v>
      </c>
      <c r="F43" s="265"/>
      <c r="G43" s="265"/>
      <c r="H43" s="265"/>
      <c r="I43" s="265"/>
      <c r="J43" s="265"/>
      <c r="K43" s="265"/>
      <c r="L43" s="265"/>
      <c r="M43" s="265"/>
      <c r="N43" s="265"/>
      <c r="O43" s="265"/>
      <c r="P43" s="265"/>
      <c r="Q43" s="265"/>
      <c r="R43" s="265"/>
      <c r="S43" s="265"/>
      <c r="T43" s="265"/>
      <c r="U43" s="265"/>
      <c r="V43" s="265"/>
      <c r="W43" s="265"/>
      <c r="X43" s="265"/>
      <c r="Y43" s="265"/>
    </row>
    <row r="44">
      <c r="A44" s="264" t="s">
        <v>3015</v>
      </c>
      <c r="B44" s="264" t="s">
        <v>3016</v>
      </c>
      <c r="C44" s="264" t="s">
        <v>3017</v>
      </c>
      <c r="D44" s="264" t="s">
        <v>3018</v>
      </c>
      <c r="E44" s="264" t="s">
        <v>3020</v>
      </c>
      <c r="F44" s="265"/>
      <c r="G44" s="265"/>
      <c r="H44" s="265"/>
      <c r="I44" s="265"/>
      <c r="J44" s="265"/>
      <c r="K44" s="265"/>
      <c r="L44" s="265"/>
      <c r="M44" s="265"/>
      <c r="N44" s="265"/>
      <c r="O44" s="265"/>
      <c r="P44" s="265"/>
      <c r="Q44" s="265"/>
      <c r="R44" s="265"/>
      <c r="S44" s="265"/>
      <c r="T44" s="265"/>
      <c r="U44" s="265"/>
      <c r="V44" s="265"/>
      <c r="W44" s="265"/>
      <c r="X44" s="265"/>
      <c r="Y44" s="265"/>
    </row>
    <row r="45">
      <c r="A45" s="264" t="s">
        <v>3025</v>
      </c>
      <c r="B45" s="264" t="s">
        <v>3026</v>
      </c>
      <c r="C45" s="264" t="s">
        <v>3028</v>
      </c>
      <c r="D45" s="264" t="s">
        <v>3029</v>
      </c>
      <c r="E45" s="264" t="s">
        <v>3030</v>
      </c>
      <c r="F45" s="265"/>
      <c r="G45" s="265"/>
      <c r="H45" s="265"/>
      <c r="I45" s="265"/>
      <c r="J45" s="265"/>
      <c r="K45" s="265"/>
      <c r="L45" s="265"/>
      <c r="M45" s="265"/>
      <c r="N45" s="265"/>
      <c r="O45" s="265"/>
      <c r="P45" s="265"/>
      <c r="Q45" s="265"/>
      <c r="R45" s="265"/>
      <c r="S45" s="265"/>
      <c r="T45" s="265"/>
      <c r="U45" s="265"/>
      <c r="V45" s="265"/>
      <c r="W45" s="265"/>
      <c r="X45" s="265"/>
      <c r="Y45" s="265"/>
    </row>
    <row r="46">
      <c r="A46" s="264" t="s">
        <v>3037</v>
      </c>
      <c r="B46" s="264" t="s">
        <v>3038</v>
      </c>
      <c r="C46" s="264" t="s">
        <v>3039</v>
      </c>
      <c r="D46" s="264" t="s">
        <v>3040</v>
      </c>
      <c r="E46" s="264" t="s">
        <v>3041</v>
      </c>
      <c r="F46" s="265"/>
      <c r="G46" s="265"/>
      <c r="H46" s="265"/>
      <c r="I46" s="265"/>
      <c r="J46" s="265"/>
      <c r="K46" s="265"/>
      <c r="L46" s="265"/>
      <c r="M46" s="265"/>
      <c r="N46" s="265"/>
      <c r="O46" s="265"/>
      <c r="P46" s="265"/>
      <c r="Q46" s="265"/>
      <c r="R46" s="265"/>
      <c r="S46" s="265"/>
      <c r="T46" s="265"/>
      <c r="U46" s="265"/>
      <c r="V46" s="265"/>
      <c r="W46" s="265"/>
      <c r="X46" s="265"/>
      <c r="Y46" s="265"/>
    </row>
    <row r="47">
      <c r="A47" s="264" t="s">
        <v>3044</v>
      </c>
      <c r="B47" s="264" t="s">
        <v>3046</v>
      </c>
      <c r="C47" s="264" t="s">
        <v>3048</v>
      </c>
      <c r="D47" s="264" t="s">
        <v>3049</v>
      </c>
      <c r="E47" s="264" t="s">
        <v>3050</v>
      </c>
      <c r="F47" s="265"/>
      <c r="G47" s="265"/>
      <c r="H47" s="265"/>
      <c r="I47" s="265"/>
      <c r="J47" s="265"/>
      <c r="K47" s="265"/>
      <c r="L47" s="265"/>
      <c r="M47" s="265"/>
      <c r="N47" s="265"/>
      <c r="O47" s="265"/>
      <c r="P47" s="265"/>
      <c r="Q47" s="265"/>
      <c r="R47" s="265"/>
      <c r="S47" s="265"/>
      <c r="T47" s="265"/>
      <c r="U47" s="265"/>
      <c r="V47" s="265"/>
      <c r="W47" s="265"/>
      <c r="X47" s="265"/>
      <c r="Y47" s="265"/>
    </row>
    <row r="48">
      <c r="A48" s="264" t="s">
        <v>3053</v>
      </c>
      <c r="B48" s="264" t="s">
        <v>3054</v>
      </c>
      <c r="C48" s="264" t="s">
        <v>3056</v>
      </c>
      <c r="D48" s="264" t="s">
        <v>3058</v>
      </c>
      <c r="E48" s="264" t="s">
        <v>3059</v>
      </c>
      <c r="F48" s="265"/>
      <c r="G48" s="265"/>
      <c r="H48" s="265"/>
      <c r="I48" s="265"/>
      <c r="J48" s="265"/>
      <c r="K48" s="265"/>
      <c r="L48" s="265"/>
      <c r="M48" s="265"/>
      <c r="N48" s="265"/>
      <c r="O48" s="265"/>
      <c r="P48" s="265"/>
      <c r="Q48" s="265"/>
      <c r="R48" s="265"/>
      <c r="S48" s="265"/>
      <c r="T48" s="265"/>
      <c r="U48" s="265"/>
      <c r="V48" s="265"/>
      <c r="W48" s="265"/>
      <c r="X48" s="265"/>
      <c r="Y48" s="265"/>
    </row>
    <row r="49">
      <c r="A49" s="264" t="s">
        <v>3062</v>
      </c>
      <c r="B49" s="264" t="s">
        <v>3063</v>
      </c>
      <c r="C49" s="264" t="s">
        <v>3064</v>
      </c>
      <c r="D49" s="264" t="s">
        <v>3065</v>
      </c>
      <c r="E49" s="264" t="s">
        <v>3066</v>
      </c>
      <c r="F49" s="265"/>
      <c r="G49" s="265"/>
      <c r="H49" s="265"/>
      <c r="I49" s="265"/>
      <c r="J49" s="265"/>
      <c r="K49" s="265"/>
      <c r="L49" s="265"/>
      <c r="M49" s="265"/>
      <c r="N49" s="265"/>
      <c r="O49" s="265"/>
      <c r="P49" s="265"/>
      <c r="Q49" s="265"/>
      <c r="R49" s="265"/>
      <c r="S49" s="265"/>
      <c r="T49" s="265"/>
      <c r="U49" s="265"/>
      <c r="V49" s="265"/>
      <c r="W49" s="265"/>
      <c r="X49" s="265"/>
      <c r="Y49" s="265"/>
    </row>
    <row r="50">
      <c r="A50" s="264" t="s">
        <v>3070</v>
      </c>
      <c r="B50" s="264" t="s">
        <v>3071</v>
      </c>
      <c r="C50" s="264" t="s">
        <v>3072</v>
      </c>
      <c r="D50" s="264" t="s">
        <v>3073</v>
      </c>
      <c r="E50" s="264" t="s">
        <v>3074</v>
      </c>
      <c r="F50" s="265"/>
      <c r="G50" s="265"/>
      <c r="H50" s="265"/>
      <c r="I50" s="265"/>
      <c r="J50" s="265"/>
      <c r="K50" s="265"/>
      <c r="L50" s="265"/>
      <c r="M50" s="265"/>
      <c r="N50" s="265"/>
      <c r="O50" s="265"/>
      <c r="P50" s="265"/>
      <c r="Q50" s="265"/>
      <c r="R50" s="265"/>
      <c r="S50" s="265"/>
      <c r="T50" s="265"/>
      <c r="U50" s="265"/>
      <c r="V50" s="265"/>
      <c r="W50" s="265"/>
      <c r="X50" s="265"/>
      <c r="Y50" s="265"/>
    </row>
    <row r="51">
      <c r="A51" s="264" t="s">
        <v>3076</v>
      </c>
      <c r="B51" s="264" t="s">
        <v>3077</v>
      </c>
      <c r="C51" s="264" t="s">
        <v>3078</v>
      </c>
      <c r="D51" s="264" t="s">
        <v>3079</v>
      </c>
      <c r="E51" s="264" t="s">
        <v>3080</v>
      </c>
      <c r="F51" s="265"/>
      <c r="G51" s="265"/>
      <c r="H51" s="265"/>
      <c r="I51" s="265"/>
      <c r="J51" s="265"/>
      <c r="K51" s="265"/>
      <c r="L51" s="265"/>
      <c r="M51" s="265"/>
      <c r="N51" s="265"/>
      <c r="O51" s="265"/>
      <c r="P51" s="265"/>
      <c r="Q51" s="265"/>
      <c r="R51" s="265"/>
      <c r="S51" s="265"/>
      <c r="T51" s="265"/>
      <c r="U51" s="265"/>
      <c r="V51" s="265"/>
      <c r="W51" s="265"/>
      <c r="X51" s="265"/>
      <c r="Y51" s="265"/>
    </row>
    <row r="52">
      <c r="A52" s="264" t="s">
        <v>3082</v>
      </c>
      <c r="B52" s="264" t="s">
        <v>3084</v>
      </c>
      <c r="C52" s="264" t="s">
        <v>3085</v>
      </c>
      <c r="D52" s="264" t="s">
        <v>3086</v>
      </c>
      <c r="E52" s="264" t="s">
        <v>3087</v>
      </c>
      <c r="F52" s="265"/>
      <c r="G52" s="265"/>
      <c r="H52" s="265"/>
      <c r="I52" s="265"/>
      <c r="J52" s="265"/>
      <c r="K52" s="265"/>
      <c r="L52" s="265"/>
      <c r="M52" s="265"/>
      <c r="N52" s="265"/>
      <c r="O52" s="265"/>
      <c r="P52" s="265"/>
      <c r="Q52" s="265"/>
      <c r="R52" s="265"/>
      <c r="S52" s="265"/>
      <c r="T52" s="265"/>
      <c r="U52" s="265"/>
      <c r="V52" s="265"/>
      <c r="W52" s="265"/>
      <c r="X52" s="265"/>
      <c r="Y52" s="265"/>
    </row>
    <row r="53">
      <c r="A53" s="264" t="s">
        <v>3089</v>
      </c>
      <c r="B53" s="264" t="s">
        <v>3090</v>
      </c>
      <c r="C53" s="264" t="s">
        <v>3091</v>
      </c>
      <c r="D53" s="264" t="s">
        <v>3092</v>
      </c>
      <c r="E53" s="264" t="s">
        <v>3093</v>
      </c>
      <c r="F53" s="265"/>
      <c r="G53" s="265"/>
      <c r="H53" s="265"/>
      <c r="I53" s="265"/>
      <c r="J53" s="265"/>
      <c r="K53" s="265"/>
      <c r="L53" s="265"/>
      <c r="M53" s="265"/>
      <c r="N53" s="265"/>
      <c r="O53" s="265"/>
      <c r="P53" s="265"/>
      <c r="Q53" s="265"/>
      <c r="R53" s="265"/>
      <c r="S53" s="265"/>
      <c r="T53" s="265"/>
      <c r="U53" s="265"/>
      <c r="V53" s="265"/>
      <c r="W53" s="265"/>
      <c r="X53" s="265"/>
      <c r="Y53" s="265"/>
    </row>
    <row r="54">
      <c r="A54" s="264" t="s">
        <v>3097</v>
      </c>
      <c r="B54" s="264" t="s">
        <v>3099</v>
      </c>
      <c r="C54" s="264" t="s">
        <v>3101</v>
      </c>
      <c r="D54" s="264" t="s">
        <v>3102</v>
      </c>
      <c r="E54" s="264" t="s">
        <v>3103</v>
      </c>
      <c r="F54" s="265"/>
      <c r="G54" s="265"/>
      <c r="H54" s="265"/>
      <c r="I54" s="265"/>
      <c r="J54" s="265"/>
      <c r="K54" s="265"/>
      <c r="L54" s="265"/>
      <c r="M54" s="265"/>
      <c r="N54" s="265"/>
      <c r="O54" s="265"/>
      <c r="P54" s="265"/>
      <c r="Q54" s="265"/>
      <c r="R54" s="265"/>
      <c r="S54" s="265"/>
      <c r="T54" s="265"/>
      <c r="U54" s="265"/>
      <c r="V54" s="265"/>
      <c r="W54" s="265"/>
      <c r="X54" s="265"/>
      <c r="Y54" s="265"/>
    </row>
    <row r="55">
      <c r="A55" s="264" t="s">
        <v>3106</v>
      </c>
      <c r="B55" s="264" t="s">
        <v>3107</v>
      </c>
      <c r="C55" s="264" t="s">
        <v>3108</v>
      </c>
      <c r="D55" s="264" t="s">
        <v>3109</v>
      </c>
      <c r="E55" s="264" t="s">
        <v>3111</v>
      </c>
      <c r="F55" s="265"/>
      <c r="G55" s="265"/>
      <c r="H55" s="265"/>
      <c r="I55" s="265"/>
      <c r="J55" s="265"/>
      <c r="K55" s="265"/>
      <c r="L55" s="265"/>
      <c r="M55" s="265"/>
      <c r="N55" s="265"/>
      <c r="O55" s="265"/>
      <c r="P55" s="265"/>
      <c r="Q55" s="265"/>
      <c r="R55" s="265"/>
      <c r="S55" s="265"/>
      <c r="T55" s="265"/>
      <c r="U55" s="265"/>
      <c r="V55" s="265"/>
      <c r="W55" s="265"/>
      <c r="X55" s="265"/>
      <c r="Y55" s="265"/>
    </row>
    <row r="56">
      <c r="A56" s="264" t="s">
        <v>3115</v>
      </c>
      <c r="B56" s="264" t="s">
        <v>3116</v>
      </c>
      <c r="C56" s="264" t="s">
        <v>3117</v>
      </c>
      <c r="D56" s="264" t="s">
        <v>3118</v>
      </c>
      <c r="E56" s="264" t="s">
        <v>3119</v>
      </c>
      <c r="F56" s="265"/>
      <c r="G56" s="265"/>
      <c r="H56" s="265"/>
      <c r="I56" s="265"/>
      <c r="J56" s="265"/>
      <c r="K56" s="265"/>
      <c r="L56" s="265"/>
      <c r="M56" s="265"/>
      <c r="N56" s="265"/>
      <c r="O56" s="265"/>
      <c r="P56" s="265"/>
      <c r="Q56" s="265"/>
      <c r="R56" s="265"/>
      <c r="S56" s="265"/>
      <c r="T56" s="265"/>
      <c r="U56" s="265"/>
      <c r="V56" s="265"/>
      <c r="W56" s="265"/>
      <c r="X56" s="265"/>
      <c r="Y56" s="265"/>
    </row>
    <row r="57">
      <c r="A57" s="264" t="s">
        <v>3124</v>
      </c>
      <c r="B57" s="264" t="s">
        <v>3125</v>
      </c>
      <c r="C57" s="264" t="s">
        <v>3126</v>
      </c>
      <c r="D57" s="264" t="s">
        <v>3127</v>
      </c>
      <c r="E57" s="264" t="s">
        <v>3128</v>
      </c>
      <c r="F57" s="265"/>
      <c r="G57" s="265"/>
      <c r="H57" s="265"/>
      <c r="I57" s="265"/>
      <c r="J57" s="265"/>
      <c r="K57" s="265"/>
      <c r="L57" s="265"/>
      <c r="M57" s="265"/>
      <c r="N57" s="265"/>
      <c r="O57" s="265"/>
      <c r="P57" s="265"/>
      <c r="Q57" s="265"/>
      <c r="R57" s="265"/>
      <c r="S57" s="265"/>
      <c r="T57" s="265"/>
      <c r="U57" s="265"/>
      <c r="V57" s="265"/>
      <c r="W57" s="265"/>
      <c r="X57" s="265"/>
      <c r="Y57" s="265"/>
    </row>
    <row r="58">
      <c r="A58" s="264" t="s">
        <v>3131</v>
      </c>
      <c r="B58" s="264" t="s">
        <v>3133</v>
      </c>
      <c r="C58" s="264" t="s">
        <v>3134</v>
      </c>
      <c r="D58" s="264" t="s">
        <v>3135</v>
      </c>
      <c r="E58" s="264" t="s">
        <v>3136</v>
      </c>
      <c r="F58" s="265"/>
      <c r="G58" s="265"/>
      <c r="H58" s="265"/>
      <c r="I58" s="265"/>
      <c r="J58" s="265"/>
      <c r="K58" s="265"/>
      <c r="L58" s="265"/>
      <c r="M58" s="265"/>
      <c r="N58" s="265"/>
      <c r="O58" s="265"/>
      <c r="P58" s="265"/>
      <c r="Q58" s="265"/>
      <c r="R58" s="265"/>
      <c r="S58" s="265"/>
      <c r="T58" s="265"/>
      <c r="U58" s="265"/>
      <c r="V58" s="265"/>
      <c r="W58" s="265"/>
      <c r="X58" s="265"/>
      <c r="Y58" s="265"/>
    </row>
    <row r="59">
      <c r="A59" s="264" t="s">
        <v>3140</v>
      </c>
      <c r="B59" s="264" t="s">
        <v>3141</v>
      </c>
      <c r="C59" s="264" t="s">
        <v>3143</v>
      </c>
      <c r="D59" s="264" t="s">
        <v>3145</v>
      </c>
      <c r="E59" s="264" t="s">
        <v>3146</v>
      </c>
      <c r="F59" s="265"/>
      <c r="G59" s="265"/>
      <c r="H59" s="265"/>
      <c r="I59" s="265"/>
      <c r="J59" s="265"/>
      <c r="K59" s="265"/>
      <c r="L59" s="265"/>
      <c r="M59" s="265"/>
      <c r="N59" s="265"/>
      <c r="O59" s="265"/>
      <c r="P59" s="265"/>
      <c r="Q59" s="265"/>
      <c r="R59" s="265"/>
      <c r="S59" s="265"/>
      <c r="T59" s="265"/>
      <c r="U59" s="265"/>
      <c r="V59" s="265"/>
      <c r="W59" s="265"/>
      <c r="X59" s="265"/>
      <c r="Y59" s="265"/>
    </row>
    <row r="60">
      <c r="A60" s="264" t="s">
        <v>3150</v>
      </c>
      <c r="B60" s="264" t="s">
        <v>3151</v>
      </c>
      <c r="C60" s="264" t="s">
        <v>3152</v>
      </c>
      <c r="D60" s="264" t="s">
        <v>3153</v>
      </c>
      <c r="E60" s="264" t="s">
        <v>3154</v>
      </c>
      <c r="F60" s="265"/>
      <c r="G60" s="265"/>
      <c r="H60" s="265"/>
      <c r="I60" s="265"/>
      <c r="J60" s="265"/>
      <c r="K60" s="265"/>
      <c r="L60" s="265"/>
      <c r="M60" s="265"/>
      <c r="N60" s="265"/>
      <c r="O60" s="265"/>
      <c r="P60" s="265"/>
      <c r="Q60" s="265"/>
      <c r="R60" s="265"/>
      <c r="S60" s="265"/>
      <c r="T60" s="265"/>
      <c r="U60" s="265"/>
      <c r="V60" s="265"/>
      <c r="W60" s="265"/>
      <c r="X60" s="265"/>
      <c r="Y60" s="265"/>
    </row>
    <row r="61">
      <c r="A61" s="264" t="s">
        <v>3158</v>
      </c>
      <c r="B61" s="264" t="s">
        <v>3160</v>
      </c>
      <c r="C61" s="264" t="s">
        <v>3161</v>
      </c>
      <c r="D61" s="264" t="s">
        <v>3162</v>
      </c>
      <c r="E61" s="264" t="s">
        <v>3163</v>
      </c>
      <c r="F61" s="265"/>
      <c r="G61" s="265"/>
      <c r="H61" s="265"/>
      <c r="I61" s="265"/>
      <c r="J61" s="265"/>
      <c r="K61" s="265"/>
      <c r="L61" s="265"/>
      <c r="M61" s="265"/>
      <c r="N61" s="265"/>
      <c r="O61" s="265"/>
      <c r="P61" s="265"/>
      <c r="Q61" s="265"/>
      <c r="R61" s="265"/>
      <c r="S61" s="265"/>
      <c r="T61" s="265"/>
      <c r="U61" s="265"/>
      <c r="V61" s="265"/>
      <c r="W61" s="265"/>
      <c r="X61" s="265"/>
      <c r="Y61" s="265"/>
    </row>
    <row r="62">
      <c r="A62" s="264" t="s">
        <v>3165</v>
      </c>
      <c r="B62" s="264" t="s">
        <v>3166</v>
      </c>
      <c r="C62" s="264" t="s">
        <v>3167</v>
      </c>
      <c r="D62" s="264" t="s">
        <v>3168</v>
      </c>
      <c r="E62" s="264" t="s">
        <v>3169</v>
      </c>
      <c r="F62" s="265"/>
      <c r="G62" s="265"/>
      <c r="H62" s="265"/>
      <c r="I62" s="265"/>
      <c r="J62" s="265"/>
      <c r="K62" s="265"/>
      <c r="L62" s="265"/>
      <c r="M62" s="265"/>
      <c r="N62" s="265"/>
      <c r="O62" s="265"/>
      <c r="P62" s="265"/>
      <c r="Q62" s="265"/>
      <c r="R62" s="265"/>
      <c r="S62" s="265"/>
      <c r="T62" s="265"/>
      <c r="U62" s="265"/>
      <c r="V62" s="265"/>
      <c r="W62" s="265"/>
      <c r="X62" s="265"/>
      <c r="Y62" s="265"/>
    </row>
    <row r="63">
      <c r="A63" s="264" t="s">
        <v>3174</v>
      </c>
      <c r="B63" s="264" t="s">
        <v>3176</v>
      </c>
      <c r="C63" s="264" t="s">
        <v>3177</v>
      </c>
      <c r="D63" s="264" t="s">
        <v>3178</v>
      </c>
      <c r="E63" s="264" t="s">
        <v>3179</v>
      </c>
      <c r="F63" s="265"/>
      <c r="G63" s="265"/>
      <c r="H63" s="265"/>
      <c r="I63" s="265"/>
      <c r="J63" s="265"/>
      <c r="K63" s="265"/>
      <c r="L63" s="265"/>
      <c r="M63" s="265"/>
      <c r="N63" s="265"/>
      <c r="O63" s="265"/>
      <c r="P63" s="265"/>
      <c r="Q63" s="265"/>
      <c r="R63" s="265"/>
      <c r="S63" s="265"/>
      <c r="T63" s="265"/>
      <c r="U63" s="265"/>
      <c r="V63" s="265"/>
      <c r="W63" s="265"/>
      <c r="X63" s="265"/>
      <c r="Y63" s="265"/>
    </row>
    <row r="64">
      <c r="A64" s="264" t="s">
        <v>3182</v>
      </c>
      <c r="B64" s="264" t="s">
        <v>3184</v>
      </c>
      <c r="C64" s="264" t="s">
        <v>3186</v>
      </c>
      <c r="D64" s="264" t="s">
        <v>3187</v>
      </c>
      <c r="E64" s="264" t="s">
        <v>3188</v>
      </c>
      <c r="F64" s="265"/>
      <c r="G64" s="265"/>
      <c r="H64" s="265"/>
      <c r="I64" s="265"/>
      <c r="J64" s="265"/>
      <c r="K64" s="265"/>
      <c r="L64" s="265"/>
      <c r="M64" s="265"/>
      <c r="N64" s="265"/>
      <c r="O64" s="265"/>
      <c r="P64" s="265"/>
      <c r="Q64" s="265"/>
      <c r="R64" s="265"/>
      <c r="S64" s="265"/>
      <c r="T64" s="265"/>
      <c r="U64" s="265"/>
      <c r="V64" s="265"/>
      <c r="W64" s="265"/>
      <c r="X64" s="265"/>
      <c r="Y64" s="265"/>
    </row>
    <row r="65">
      <c r="A65" s="264" t="s">
        <v>3190</v>
      </c>
      <c r="B65" s="264" t="s">
        <v>3191</v>
      </c>
      <c r="C65" s="264" t="s">
        <v>3192</v>
      </c>
      <c r="D65" s="264" t="s">
        <v>3193</v>
      </c>
      <c r="E65" s="264" t="s">
        <v>3195</v>
      </c>
      <c r="F65" s="265"/>
      <c r="G65" s="265"/>
      <c r="H65" s="265"/>
      <c r="I65" s="265"/>
      <c r="J65" s="265"/>
      <c r="K65" s="265"/>
      <c r="L65" s="265"/>
      <c r="M65" s="265"/>
      <c r="N65" s="265"/>
      <c r="O65" s="265"/>
      <c r="P65" s="265"/>
      <c r="Q65" s="265"/>
      <c r="R65" s="265"/>
      <c r="S65" s="265"/>
      <c r="T65" s="265"/>
      <c r="U65" s="265"/>
      <c r="V65" s="265"/>
      <c r="W65" s="265"/>
      <c r="X65" s="265"/>
      <c r="Y65" s="265"/>
    </row>
    <row r="66">
      <c r="A66" s="264" t="s">
        <v>3198</v>
      </c>
      <c r="B66" s="264" t="s">
        <v>3199</v>
      </c>
      <c r="C66" s="264" t="s">
        <v>3200</v>
      </c>
      <c r="D66" s="264" t="s">
        <v>3201</v>
      </c>
      <c r="E66" s="264" t="s">
        <v>3203</v>
      </c>
      <c r="F66" s="265"/>
      <c r="G66" s="265"/>
      <c r="H66" s="265"/>
      <c r="I66" s="265"/>
      <c r="J66" s="265"/>
      <c r="K66" s="265"/>
      <c r="L66" s="265"/>
      <c r="M66" s="265"/>
      <c r="N66" s="265"/>
      <c r="O66" s="265"/>
      <c r="P66" s="265"/>
      <c r="Q66" s="265"/>
      <c r="R66" s="265"/>
      <c r="S66" s="265"/>
      <c r="T66" s="265"/>
      <c r="U66" s="265"/>
      <c r="V66" s="265"/>
      <c r="W66" s="265"/>
      <c r="X66" s="265"/>
      <c r="Y66" s="265"/>
    </row>
    <row r="67">
      <c r="A67" s="264" t="s">
        <v>3205</v>
      </c>
      <c r="B67" s="264" t="s">
        <v>3206</v>
      </c>
      <c r="C67" s="264" t="s">
        <v>3207</v>
      </c>
      <c r="D67" s="264" t="s">
        <v>3208</v>
      </c>
      <c r="E67" s="264" t="s">
        <v>3209</v>
      </c>
      <c r="F67" s="265"/>
      <c r="G67" s="265"/>
      <c r="H67" s="265"/>
      <c r="I67" s="265"/>
      <c r="J67" s="265"/>
      <c r="K67" s="265"/>
      <c r="L67" s="265"/>
      <c r="M67" s="265"/>
      <c r="N67" s="265"/>
      <c r="O67" s="265"/>
      <c r="P67" s="265"/>
      <c r="Q67" s="265"/>
      <c r="R67" s="265"/>
      <c r="S67" s="265"/>
      <c r="T67" s="265"/>
      <c r="U67" s="265"/>
      <c r="V67" s="265"/>
      <c r="W67" s="265"/>
      <c r="X67" s="265"/>
      <c r="Y67" s="265"/>
    </row>
    <row r="68">
      <c r="A68" s="264" t="s">
        <v>3212</v>
      </c>
      <c r="B68" s="264" t="s">
        <v>3213</v>
      </c>
      <c r="C68" s="264" t="s">
        <v>3214</v>
      </c>
      <c r="D68" s="264" t="s">
        <v>3215</v>
      </c>
      <c r="E68" s="264" t="s">
        <v>3217</v>
      </c>
      <c r="F68" s="265"/>
      <c r="G68" s="265"/>
      <c r="H68" s="265"/>
      <c r="I68" s="265"/>
      <c r="J68" s="265"/>
      <c r="K68" s="265"/>
      <c r="L68" s="265"/>
      <c r="M68" s="265"/>
      <c r="N68" s="265"/>
      <c r="O68" s="265"/>
      <c r="P68" s="265"/>
      <c r="Q68" s="265"/>
      <c r="R68" s="265"/>
      <c r="S68" s="265"/>
      <c r="T68" s="265"/>
      <c r="U68" s="265"/>
      <c r="V68" s="265"/>
      <c r="W68" s="265"/>
      <c r="X68" s="265"/>
      <c r="Y68" s="265"/>
    </row>
    <row r="69">
      <c r="A69" s="264" t="s">
        <v>3221</v>
      </c>
      <c r="B69" s="264" t="s">
        <v>3222</v>
      </c>
      <c r="C69" s="264" t="s">
        <v>3223</v>
      </c>
      <c r="D69" s="264" t="s">
        <v>3224</v>
      </c>
      <c r="E69" s="264" t="s">
        <v>3225</v>
      </c>
      <c r="F69" s="265"/>
      <c r="G69" s="265"/>
      <c r="H69" s="265"/>
      <c r="I69" s="265"/>
      <c r="J69" s="265"/>
      <c r="K69" s="265"/>
      <c r="L69" s="265"/>
      <c r="M69" s="265"/>
      <c r="N69" s="265"/>
      <c r="O69" s="265"/>
      <c r="P69" s="265"/>
      <c r="Q69" s="265"/>
      <c r="R69" s="265"/>
      <c r="S69" s="265"/>
      <c r="T69" s="265"/>
      <c r="U69" s="265"/>
      <c r="V69" s="265"/>
      <c r="W69" s="265"/>
      <c r="X69" s="265"/>
      <c r="Y69" s="265"/>
    </row>
    <row r="70">
      <c r="A70" s="264" t="s">
        <v>3229</v>
      </c>
      <c r="B70" s="264" t="s">
        <v>3230</v>
      </c>
      <c r="C70" s="264" t="s">
        <v>3231</v>
      </c>
      <c r="D70" s="264" t="s">
        <v>3233</v>
      </c>
      <c r="E70" s="264" t="s">
        <v>3234</v>
      </c>
      <c r="F70" s="265"/>
      <c r="G70" s="265"/>
      <c r="H70" s="265"/>
      <c r="I70" s="265"/>
      <c r="J70" s="265"/>
      <c r="K70" s="265"/>
      <c r="L70" s="265"/>
      <c r="M70" s="265"/>
      <c r="N70" s="265"/>
      <c r="O70" s="265"/>
      <c r="P70" s="265"/>
      <c r="Q70" s="265"/>
      <c r="R70" s="265"/>
      <c r="S70" s="265"/>
      <c r="T70" s="265"/>
      <c r="U70" s="265"/>
      <c r="V70" s="265"/>
      <c r="W70" s="265"/>
      <c r="X70" s="265"/>
      <c r="Y70" s="265"/>
    </row>
    <row r="71">
      <c r="A71" s="264" t="s">
        <v>3237</v>
      </c>
      <c r="B71" s="264" t="s">
        <v>3238</v>
      </c>
      <c r="C71" s="264" t="s">
        <v>3239</v>
      </c>
      <c r="D71" s="264" t="s">
        <v>3240</v>
      </c>
      <c r="E71" s="264" t="s">
        <v>3242</v>
      </c>
      <c r="F71" s="265"/>
      <c r="G71" s="265"/>
      <c r="H71" s="265"/>
      <c r="I71" s="265"/>
      <c r="J71" s="265"/>
      <c r="K71" s="265"/>
      <c r="L71" s="265"/>
      <c r="M71" s="265"/>
      <c r="N71" s="265"/>
      <c r="O71" s="265"/>
      <c r="P71" s="265"/>
      <c r="Q71" s="265"/>
      <c r="R71" s="265"/>
      <c r="S71" s="265"/>
      <c r="T71" s="265"/>
      <c r="U71" s="265"/>
      <c r="V71" s="265"/>
      <c r="W71" s="265"/>
      <c r="X71" s="265"/>
      <c r="Y71" s="265"/>
    </row>
    <row r="72">
      <c r="A72" s="264" t="s">
        <v>3245</v>
      </c>
      <c r="B72" s="264" t="s">
        <v>3246</v>
      </c>
      <c r="C72" s="264" t="s">
        <v>3247</v>
      </c>
      <c r="D72" s="264" t="s">
        <v>3248</v>
      </c>
      <c r="E72" s="264" t="s">
        <v>3249</v>
      </c>
      <c r="F72" s="265"/>
      <c r="G72" s="265"/>
      <c r="H72" s="265"/>
      <c r="I72" s="265"/>
      <c r="J72" s="265"/>
      <c r="K72" s="265"/>
      <c r="L72" s="265"/>
      <c r="M72" s="265"/>
      <c r="N72" s="265"/>
      <c r="O72" s="265"/>
      <c r="P72" s="265"/>
      <c r="Q72" s="265"/>
      <c r="R72" s="265"/>
      <c r="S72" s="265"/>
      <c r="T72" s="265"/>
      <c r="U72" s="265"/>
      <c r="V72" s="265"/>
      <c r="W72" s="265"/>
      <c r="X72" s="265"/>
      <c r="Y72" s="265"/>
    </row>
    <row r="73">
      <c r="A73" s="264" t="s">
        <v>3252</v>
      </c>
      <c r="B73" s="264" t="s">
        <v>3253</v>
      </c>
      <c r="C73" s="264" t="s">
        <v>3254</v>
      </c>
      <c r="D73" s="264" t="s">
        <v>3255</v>
      </c>
      <c r="E73" s="264" t="s">
        <v>3256</v>
      </c>
      <c r="F73" s="265"/>
      <c r="G73" s="265"/>
      <c r="H73" s="265"/>
      <c r="I73" s="265"/>
      <c r="J73" s="265"/>
      <c r="K73" s="265"/>
      <c r="L73" s="265"/>
      <c r="M73" s="265"/>
      <c r="N73" s="265"/>
      <c r="O73" s="265"/>
      <c r="P73" s="265"/>
      <c r="Q73" s="265"/>
      <c r="R73" s="265"/>
      <c r="S73" s="265"/>
      <c r="T73" s="265"/>
      <c r="U73" s="265"/>
      <c r="V73" s="265"/>
      <c r="W73" s="265"/>
      <c r="X73" s="265"/>
      <c r="Y73" s="265"/>
    </row>
    <row r="74">
      <c r="A74" s="264" t="s">
        <v>3259</v>
      </c>
      <c r="B74" s="264" t="s">
        <v>3260</v>
      </c>
      <c r="C74" s="264" t="s">
        <v>3261</v>
      </c>
      <c r="D74" s="264" t="s">
        <v>3263</v>
      </c>
      <c r="E74" s="264" t="s">
        <v>3264</v>
      </c>
      <c r="F74" s="265"/>
      <c r="G74" s="265"/>
      <c r="H74" s="265"/>
      <c r="I74" s="265"/>
      <c r="J74" s="265"/>
      <c r="K74" s="265"/>
      <c r="L74" s="265"/>
      <c r="M74" s="265"/>
      <c r="N74" s="265"/>
      <c r="O74" s="265"/>
      <c r="P74" s="265"/>
      <c r="Q74" s="265"/>
      <c r="R74" s="265"/>
      <c r="S74" s="265"/>
      <c r="T74" s="265"/>
      <c r="U74" s="265"/>
      <c r="V74" s="265"/>
      <c r="W74" s="265"/>
      <c r="X74" s="265"/>
      <c r="Y74" s="265"/>
    </row>
    <row r="75">
      <c r="A75" s="264" t="s">
        <v>3267</v>
      </c>
      <c r="B75" s="264" t="s">
        <v>3268</v>
      </c>
      <c r="C75" s="264" t="s">
        <v>3270</v>
      </c>
      <c r="D75" s="264" t="s">
        <v>3271</v>
      </c>
      <c r="E75" s="264" t="s">
        <v>3272</v>
      </c>
      <c r="F75" s="265"/>
      <c r="G75" s="265"/>
      <c r="H75" s="265"/>
      <c r="I75" s="265"/>
      <c r="J75" s="265"/>
      <c r="K75" s="265"/>
      <c r="L75" s="265"/>
      <c r="M75" s="265"/>
      <c r="N75" s="265"/>
      <c r="O75" s="265"/>
      <c r="P75" s="265"/>
      <c r="Q75" s="265"/>
      <c r="R75" s="265"/>
      <c r="S75" s="265"/>
      <c r="T75" s="265"/>
      <c r="U75" s="265"/>
      <c r="V75" s="265"/>
      <c r="W75" s="265"/>
      <c r="X75" s="265"/>
      <c r="Y75" s="265"/>
    </row>
    <row r="76">
      <c r="A76" s="264" t="s">
        <v>3275</v>
      </c>
      <c r="B76" s="264" t="s">
        <v>3276</v>
      </c>
      <c r="C76" s="264" t="s">
        <v>3277</v>
      </c>
      <c r="D76" s="264" t="s">
        <v>3278</v>
      </c>
      <c r="E76" s="264" t="s">
        <v>3280</v>
      </c>
      <c r="F76" s="265"/>
      <c r="G76" s="265"/>
      <c r="H76" s="265"/>
      <c r="I76" s="265"/>
      <c r="J76" s="265"/>
      <c r="K76" s="265"/>
      <c r="L76" s="265"/>
      <c r="M76" s="265"/>
      <c r="N76" s="265"/>
      <c r="O76" s="265"/>
      <c r="P76" s="265"/>
      <c r="Q76" s="265"/>
      <c r="R76" s="265"/>
      <c r="S76" s="265"/>
      <c r="T76" s="265"/>
      <c r="U76" s="265"/>
      <c r="V76" s="265"/>
      <c r="W76" s="265"/>
      <c r="X76" s="265"/>
      <c r="Y76" s="265"/>
    </row>
    <row r="77">
      <c r="A77" s="264" t="s">
        <v>3283</v>
      </c>
      <c r="B77" s="264" t="s">
        <v>3284</v>
      </c>
      <c r="C77" s="264" t="s">
        <v>3285</v>
      </c>
      <c r="D77" s="264" t="s">
        <v>3286</v>
      </c>
      <c r="E77" s="264" t="s">
        <v>3287</v>
      </c>
      <c r="F77" s="265"/>
      <c r="G77" s="265"/>
      <c r="H77" s="265"/>
      <c r="I77" s="265"/>
      <c r="J77" s="265"/>
      <c r="K77" s="265"/>
      <c r="L77" s="265"/>
      <c r="M77" s="265"/>
      <c r="N77" s="265"/>
      <c r="O77" s="265"/>
      <c r="P77" s="265"/>
      <c r="Q77" s="265"/>
      <c r="R77" s="265"/>
      <c r="S77" s="265"/>
      <c r="T77" s="265"/>
      <c r="U77" s="265"/>
      <c r="V77" s="265"/>
      <c r="W77" s="265"/>
      <c r="X77" s="265"/>
      <c r="Y77" s="265"/>
    </row>
    <row r="78">
      <c r="A78" s="264" t="s">
        <v>3290</v>
      </c>
      <c r="B78" s="264" t="s">
        <v>3291</v>
      </c>
      <c r="C78" s="264" t="s">
        <v>3292</v>
      </c>
      <c r="D78" s="264" t="s">
        <v>3293</v>
      </c>
      <c r="E78" s="264" t="s">
        <v>3294</v>
      </c>
      <c r="F78" s="265"/>
      <c r="G78" s="265"/>
      <c r="H78" s="265"/>
      <c r="I78" s="265"/>
      <c r="J78" s="265"/>
      <c r="K78" s="265"/>
      <c r="L78" s="265"/>
      <c r="M78" s="265"/>
      <c r="N78" s="265"/>
      <c r="O78" s="265"/>
      <c r="P78" s="265"/>
      <c r="Q78" s="265"/>
      <c r="R78" s="265"/>
      <c r="S78" s="265"/>
      <c r="T78" s="265"/>
      <c r="U78" s="265"/>
      <c r="V78" s="265"/>
      <c r="W78" s="265"/>
      <c r="X78" s="265"/>
      <c r="Y78" s="265"/>
    </row>
    <row r="79">
      <c r="A79" s="264" t="s">
        <v>3300</v>
      </c>
      <c r="B79" s="264" t="s">
        <v>3301</v>
      </c>
      <c r="C79" s="264" t="s">
        <v>3302</v>
      </c>
      <c r="D79" s="264" t="s">
        <v>3303</v>
      </c>
      <c r="E79" s="264" t="s">
        <v>3305</v>
      </c>
      <c r="F79" s="265"/>
      <c r="G79" s="265"/>
      <c r="H79" s="265"/>
      <c r="I79" s="265"/>
      <c r="J79" s="265"/>
      <c r="K79" s="265"/>
      <c r="L79" s="265"/>
      <c r="M79" s="265"/>
      <c r="N79" s="265"/>
      <c r="O79" s="265"/>
      <c r="P79" s="265"/>
      <c r="Q79" s="265"/>
      <c r="R79" s="265"/>
      <c r="S79" s="265"/>
      <c r="T79" s="265"/>
      <c r="U79" s="265"/>
      <c r="V79" s="265"/>
      <c r="W79" s="265"/>
      <c r="X79" s="265"/>
      <c r="Y79" s="265"/>
    </row>
    <row r="80">
      <c r="A80" s="264" t="s">
        <v>3309</v>
      </c>
      <c r="B80" s="264" t="s">
        <v>3310</v>
      </c>
      <c r="C80" s="264" t="s">
        <v>3311</v>
      </c>
      <c r="D80" s="264" t="s">
        <v>3312</v>
      </c>
      <c r="E80" s="264" t="s">
        <v>3314</v>
      </c>
      <c r="F80" s="265"/>
      <c r="G80" s="265"/>
      <c r="H80" s="265"/>
      <c r="I80" s="265"/>
      <c r="J80" s="265"/>
      <c r="K80" s="265"/>
      <c r="L80" s="265"/>
      <c r="M80" s="265"/>
      <c r="N80" s="265"/>
      <c r="O80" s="265"/>
      <c r="P80" s="265"/>
      <c r="Q80" s="265"/>
      <c r="R80" s="265"/>
      <c r="S80" s="265"/>
      <c r="T80" s="265"/>
      <c r="U80" s="265"/>
      <c r="V80" s="265"/>
      <c r="W80" s="265"/>
      <c r="X80" s="265"/>
      <c r="Y80" s="265"/>
    </row>
    <row r="81">
      <c r="A81" s="264" t="s">
        <v>3317</v>
      </c>
      <c r="B81" s="264" t="s">
        <v>3318</v>
      </c>
      <c r="C81" s="264" t="s">
        <v>3319</v>
      </c>
      <c r="D81" s="264" t="s">
        <v>3320</v>
      </c>
      <c r="E81" s="264" t="s">
        <v>3321</v>
      </c>
      <c r="F81" s="265"/>
      <c r="G81" s="265"/>
      <c r="H81" s="265"/>
      <c r="I81" s="265"/>
      <c r="J81" s="265"/>
      <c r="K81" s="265"/>
      <c r="L81" s="265"/>
      <c r="M81" s="265"/>
      <c r="N81" s="265"/>
      <c r="O81" s="265"/>
      <c r="P81" s="265"/>
      <c r="Q81" s="265"/>
      <c r="R81" s="265"/>
      <c r="S81" s="265"/>
      <c r="T81" s="265"/>
      <c r="U81" s="265"/>
      <c r="V81" s="265"/>
      <c r="W81" s="265"/>
      <c r="X81" s="265"/>
      <c r="Y81" s="265"/>
    </row>
    <row r="82">
      <c r="A82" s="264" t="s">
        <v>3324</v>
      </c>
      <c r="B82" s="264" t="s">
        <v>3326</v>
      </c>
      <c r="C82" s="264" t="s">
        <v>3327</v>
      </c>
      <c r="D82" s="264" t="s">
        <v>3328</v>
      </c>
      <c r="E82" s="264" t="s">
        <v>3329</v>
      </c>
      <c r="F82" s="265"/>
      <c r="G82" s="265"/>
      <c r="H82" s="265"/>
      <c r="I82" s="265"/>
      <c r="J82" s="265"/>
      <c r="K82" s="265"/>
      <c r="L82" s="265"/>
      <c r="M82" s="265"/>
      <c r="N82" s="265"/>
      <c r="O82" s="265"/>
      <c r="P82" s="265"/>
      <c r="Q82" s="265"/>
      <c r="R82" s="265"/>
      <c r="S82" s="265"/>
      <c r="T82" s="265"/>
      <c r="U82" s="265"/>
      <c r="V82" s="265"/>
      <c r="W82" s="265"/>
      <c r="X82" s="265"/>
      <c r="Y82" s="265"/>
    </row>
    <row r="83">
      <c r="A83" s="264" t="s">
        <v>3333</v>
      </c>
      <c r="B83" s="264" t="s">
        <v>3334</v>
      </c>
      <c r="C83" s="264" t="s">
        <v>3335</v>
      </c>
      <c r="D83" s="264" t="s">
        <v>3336</v>
      </c>
      <c r="E83" s="264" t="s">
        <v>3337</v>
      </c>
      <c r="F83" s="265"/>
      <c r="G83" s="265"/>
      <c r="H83" s="265"/>
      <c r="I83" s="265"/>
      <c r="J83" s="265"/>
      <c r="K83" s="265"/>
      <c r="L83" s="265"/>
      <c r="M83" s="265"/>
      <c r="N83" s="265"/>
      <c r="O83" s="265"/>
      <c r="P83" s="265"/>
      <c r="Q83" s="265"/>
      <c r="R83" s="265"/>
      <c r="S83" s="265"/>
      <c r="T83" s="265"/>
      <c r="U83" s="265"/>
      <c r="V83" s="265"/>
      <c r="W83" s="265"/>
      <c r="X83" s="265"/>
      <c r="Y83" s="265"/>
    </row>
    <row r="84">
      <c r="A84" s="264" t="s">
        <v>3341</v>
      </c>
      <c r="B84" s="264" t="s">
        <v>3343</v>
      </c>
      <c r="C84" s="264" t="s">
        <v>3344</v>
      </c>
      <c r="D84" s="264" t="s">
        <v>3345</v>
      </c>
      <c r="E84" s="264" t="s">
        <v>3346</v>
      </c>
      <c r="F84" s="265"/>
      <c r="G84" s="265"/>
      <c r="H84" s="265"/>
      <c r="I84" s="265"/>
      <c r="J84" s="265"/>
      <c r="K84" s="265"/>
      <c r="L84" s="265"/>
      <c r="M84" s="265"/>
      <c r="N84" s="265"/>
      <c r="O84" s="265"/>
      <c r="P84" s="265"/>
      <c r="Q84" s="265"/>
      <c r="R84" s="265"/>
      <c r="S84" s="265"/>
      <c r="T84" s="265"/>
      <c r="U84" s="265"/>
      <c r="V84" s="265"/>
      <c r="W84" s="265"/>
      <c r="X84" s="265"/>
      <c r="Y84" s="265"/>
    </row>
    <row r="85">
      <c r="A85" s="264" t="s">
        <v>3348</v>
      </c>
      <c r="B85" s="264" t="s">
        <v>3349</v>
      </c>
      <c r="C85" s="264" t="s">
        <v>3350</v>
      </c>
      <c r="D85" s="264" t="s">
        <v>3352</v>
      </c>
      <c r="E85" s="264" t="s">
        <v>3353</v>
      </c>
      <c r="F85" s="265"/>
      <c r="G85" s="265"/>
      <c r="H85" s="265"/>
      <c r="I85" s="265"/>
      <c r="J85" s="265"/>
      <c r="K85" s="265"/>
      <c r="L85" s="265"/>
      <c r="M85" s="265"/>
      <c r="N85" s="265"/>
      <c r="O85" s="265"/>
      <c r="P85" s="265"/>
      <c r="Q85" s="265"/>
      <c r="R85" s="265"/>
      <c r="S85" s="265"/>
      <c r="T85" s="265"/>
      <c r="U85" s="265"/>
      <c r="V85" s="265"/>
      <c r="W85" s="265"/>
      <c r="X85" s="265"/>
      <c r="Y85" s="265"/>
    </row>
    <row r="86">
      <c r="A86" s="264" t="s">
        <v>3356</v>
      </c>
      <c r="B86" s="264" t="s">
        <v>3357</v>
      </c>
      <c r="C86" s="264" t="s">
        <v>3358</v>
      </c>
      <c r="D86" s="264" t="s">
        <v>3359</v>
      </c>
      <c r="E86" s="264" t="s">
        <v>3360</v>
      </c>
      <c r="F86" s="265"/>
      <c r="G86" s="265"/>
      <c r="H86" s="265"/>
      <c r="I86" s="265"/>
      <c r="J86" s="265"/>
      <c r="K86" s="265"/>
      <c r="L86" s="265"/>
      <c r="M86" s="265"/>
      <c r="N86" s="265"/>
      <c r="O86" s="265"/>
      <c r="P86" s="265"/>
      <c r="Q86" s="265"/>
      <c r="R86" s="265"/>
      <c r="S86" s="265"/>
      <c r="T86" s="265"/>
      <c r="U86" s="265"/>
      <c r="V86" s="265"/>
      <c r="W86" s="265"/>
      <c r="X86" s="265"/>
      <c r="Y86" s="265"/>
    </row>
    <row r="87">
      <c r="A87" s="264" t="s">
        <v>3362</v>
      </c>
      <c r="B87" s="264" t="s">
        <v>3363</v>
      </c>
      <c r="C87" s="264" t="s">
        <v>3364</v>
      </c>
      <c r="D87" s="264" t="s">
        <v>3365</v>
      </c>
      <c r="E87" s="264" t="s">
        <v>3366</v>
      </c>
      <c r="F87" s="265"/>
      <c r="G87" s="265"/>
      <c r="H87" s="265"/>
      <c r="I87" s="265"/>
      <c r="J87" s="265"/>
      <c r="K87" s="265"/>
      <c r="L87" s="265"/>
      <c r="M87" s="265"/>
      <c r="N87" s="265"/>
      <c r="O87" s="265"/>
      <c r="P87" s="265"/>
      <c r="Q87" s="265"/>
      <c r="R87" s="265"/>
      <c r="S87" s="265"/>
      <c r="T87" s="265"/>
      <c r="U87" s="265"/>
      <c r="V87" s="265"/>
      <c r="W87" s="265"/>
      <c r="X87" s="265"/>
      <c r="Y87" s="265"/>
    </row>
    <row r="88">
      <c r="A88" s="264" t="s">
        <v>3368</v>
      </c>
      <c r="B88" s="264" t="s">
        <v>3370</v>
      </c>
      <c r="C88" s="264" t="s">
        <v>3371</v>
      </c>
      <c r="D88" s="264" t="s">
        <v>3372</v>
      </c>
      <c r="E88" s="264" t="s">
        <v>3373</v>
      </c>
      <c r="F88" s="265"/>
      <c r="G88" s="265"/>
      <c r="H88" s="265"/>
      <c r="I88" s="265"/>
      <c r="J88" s="265"/>
      <c r="K88" s="265"/>
      <c r="L88" s="265"/>
      <c r="M88" s="265"/>
      <c r="N88" s="265"/>
      <c r="O88" s="265"/>
      <c r="P88" s="265"/>
      <c r="Q88" s="265"/>
      <c r="R88" s="265"/>
      <c r="S88" s="265"/>
      <c r="T88" s="265"/>
      <c r="U88" s="265"/>
      <c r="V88" s="265"/>
      <c r="W88" s="265"/>
      <c r="X88" s="265"/>
      <c r="Y88" s="265"/>
    </row>
    <row r="89">
      <c r="A89" s="264" t="s">
        <v>3376</v>
      </c>
      <c r="B89" s="264" t="s">
        <v>3377</v>
      </c>
      <c r="C89" s="264" t="s">
        <v>3378</v>
      </c>
      <c r="D89" s="264" t="s">
        <v>3380</v>
      </c>
      <c r="E89" s="264" t="s">
        <v>3381</v>
      </c>
      <c r="F89" s="265"/>
      <c r="G89" s="265"/>
      <c r="H89" s="265"/>
      <c r="I89" s="265"/>
      <c r="J89" s="265"/>
      <c r="K89" s="265"/>
      <c r="L89" s="265"/>
      <c r="M89" s="265"/>
      <c r="N89" s="265"/>
      <c r="O89" s="265"/>
      <c r="P89" s="265"/>
      <c r="Q89" s="265"/>
      <c r="R89" s="265"/>
      <c r="S89" s="265"/>
      <c r="T89" s="265"/>
      <c r="U89" s="265"/>
      <c r="V89" s="265"/>
      <c r="W89" s="265"/>
      <c r="X89" s="265"/>
      <c r="Y89" s="265"/>
    </row>
    <row r="90">
      <c r="A90" s="264" t="s">
        <v>3384</v>
      </c>
      <c r="B90" s="264" t="s">
        <v>3385</v>
      </c>
      <c r="C90" s="264" t="s">
        <v>3386</v>
      </c>
      <c r="D90" s="264" t="s">
        <v>3388</v>
      </c>
      <c r="E90" s="264" t="s">
        <v>3389</v>
      </c>
      <c r="F90" s="265"/>
      <c r="G90" s="265"/>
      <c r="H90" s="265"/>
      <c r="I90" s="265"/>
      <c r="J90" s="265"/>
      <c r="K90" s="265"/>
      <c r="L90" s="265"/>
      <c r="M90" s="265"/>
      <c r="N90" s="265"/>
      <c r="O90" s="265"/>
      <c r="P90" s="265"/>
      <c r="Q90" s="265"/>
      <c r="R90" s="265"/>
      <c r="S90" s="265"/>
      <c r="T90" s="265"/>
      <c r="U90" s="265"/>
      <c r="V90" s="265"/>
      <c r="W90" s="265"/>
      <c r="X90" s="265"/>
      <c r="Y90" s="265"/>
    </row>
    <row r="91">
      <c r="A91" s="264" t="s">
        <v>3392</v>
      </c>
      <c r="B91" s="264" t="s">
        <v>3393</v>
      </c>
      <c r="C91" s="264" t="s">
        <v>3394</v>
      </c>
      <c r="D91" s="264" t="s">
        <v>3395</v>
      </c>
      <c r="E91" s="264" t="s">
        <v>3396</v>
      </c>
      <c r="F91" s="265"/>
      <c r="G91" s="265"/>
      <c r="H91" s="265"/>
      <c r="I91" s="265"/>
      <c r="J91" s="265"/>
      <c r="K91" s="265"/>
      <c r="L91" s="265"/>
      <c r="M91" s="265"/>
      <c r="N91" s="265"/>
      <c r="O91" s="265"/>
      <c r="P91" s="265"/>
      <c r="Q91" s="265"/>
      <c r="R91" s="265"/>
      <c r="S91" s="265"/>
      <c r="T91" s="265"/>
      <c r="U91" s="265"/>
      <c r="V91" s="265"/>
      <c r="W91" s="265"/>
      <c r="X91" s="265"/>
      <c r="Y91" s="265"/>
    </row>
    <row r="92">
      <c r="A92" s="264" t="s">
        <v>3400</v>
      </c>
      <c r="B92" s="264" t="s">
        <v>3401</v>
      </c>
      <c r="C92" s="264" t="s">
        <v>3402</v>
      </c>
      <c r="D92" s="264" t="s">
        <v>3403</v>
      </c>
      <c r="E92" s="264" t="s">
        <v>3405</v>
      </c>
      <c r="F92" s="265"/>
      <c r="G92" s="265"/>
      <c r="H92" s="265"/>
      <c r="I92" s="265"/>
      <c r="J92" s="265"/>
      <c r="K92" s="265"/>
      <c r="L92" s="265"/>
      <c r="M92" s="265"/>
      <c r="N92" s="265"/>
      <c r="O92" s="265"/>
      <c r="P92" s="265"/>
      <c r="Q92" s="265"/>
      <c r="R92" s="265"/>
      <c r="S92" s="265"/>
      <c r="T92" s="265"/>
      <c r="U92" s="265"/>
      <c r="V92" s="265"/>
      <c r="W92" s="265"/>
      <c r="X92" s="265"/>
      <c r="Y92" s="265"/>
    </row>
    <row r="93">
      <c r="A93" s="264" t="s">
        <v>3407</v>
      </c>
      <c r="B93" s="264" t="s">
        <v>3409</v>
      </c>
      <c r="C93" s="264" t="s">
        <v>3410</v>
      </c>
      <c r="D93" s="264" t="s">
        <v>3411</v>
      </c>
      <c r="E93" s="264" t="s">
        <v>3412</v>
      </c>
      <c r="F93" s="265"/>
      <c r="G93" s="265"/>
      <c r="H93" s="265"/>
      <c r="I93" s="265"/>
      <c r="J93" s="265"/>
      <c r="K93" s="265"/>
      <c r="L93" s="265"/>
      <c r="M93" s="265"/>
      <c r="N93" s="265"/>
      <c r="O93" s="265"/>
      <c r="P93" s="265"/>
      <c r="Q93" s="265"/>
      <c r="R93" s="265"/>
      <c r="S93" s="265"/>
      <c r="T93" s="265"/>
      <c r="U93" s="265"/>
      <c r="V93" s="265"/>
      <c r="W93" s="265"/>
      <c r="X93" s="265"/>
      <c r="Y93" s="265"/>
    </row>
    <row r="94">
      <c r="A94" s="264" t="s">
        <v>3414</v>
      </c>
      <c r="B94" s="264" t="s">
        <v>3415</v>
      </c>
      <c r="C94" s="264" t="s">
        <v>3416</v>
      </c>
      <c r="D94" s="264" t="s">
        <v>3417</v>
      </c>
      <c r="E94" s="264" t="s">
        <v>3419</v>
      </c>
      <c r="F94" s="265"/>
      <c r="G94" s="265"/>
      <c r="H94" s="265"/>
      <c r="I94" s="265"/>
      <c r="J94" s="265"/>
      <c r="K94" s="265"/>
      <c r="L94" s="265"/>
      <c r="M94" s="265"/>
      <c r="N94" s="265"/>
      <c r="O94" s="265"/>
      <c r="P94" s="265"/>
      <c r="Q94" s="265"/>
      <c r="R94" s="265"/>
      <c r="S94" s="265"/>
      <c r="T94" s="265"/>
      <c r="U94" s="265"/>
      <c r="V94" s="265"/>
      <c r="W94" s="265"/>
      <c r="X94" s="265"/>
      <c r="Y94" s="265"/>
    </row>
    <row r="95">
      <c r="A95" s="264" t="s">
        <v>3422</v>
      </c>
      <c r="B95" s="264" t="s">
        <v>3423</v>
      </c>
      <c r="C95" s="264" t="s">
        <v>3424</v>
      </c>
      <c r="D95" s="264" t="s">
        <v>3425</v>
      </c>
      <c r="E95" s="264" t="s">
        <v>3426</v>
      </c>
      <c r="F95" s="265"/>
      <c r="G95" s="265"/>
      <c r="H95" s="265"/>
      <c r="I95" s="265"/>
      <c r="J95" s="265"/>
      <c r="K95" s="265"/>
      <c r="L95" s="265"/>
      <c r="M95" s="265"/>
      <c r="N95" s="265"/>
      <c r="O95" s="265"/>
      <c r="P95" s="265"/>
      <c r="Q95" s="265"/>
      <c r="R95" s="265"/>
      <c r="S95" s="265"/>
      <c r="T95" s="265"/>
      <c r="U95" s="265"/>
      <c r="V95" s="265"/>
      <c r="W95" s="265"/>
      <c r="X95" s="265"/>
      <c r="Y95" s="265"/>
    </row>
    <row r="96">
      <c r="A96" s="264" t="s">
        <v>3430</v>
      </c>
      <c r="B96" s="264" t="s">
        <v>3431</v>
      </c>
      <c r="C96" s="264" t="s">
        <v>3432</v>
      </c>
      <c r="D96" s="264" t="s">
        <v>3433</v>
      </c>
      <c r="E96" s="264" t="s">
        <v>3434</v>
      </c>
      <c r="F96" s="265"/>
      <c r="G96" s="265"/>
      <c r="H96" s="265"/>
      <c r="I96" s="265"/>
      <c r="J96" s="265"/>
      <c r="K96" s="265"/>
      <c r="L96" s="265"/>
      <c r="M96" s="265"/>
      <c r="N96" s="265"/>
      <c r="O96" s="265"/>
      <c r="P96" s="265"/>
      <c r="Q96" s="265"/>
      <c r="R96" s="265"/>
      <c r="S96" s="265"/>
      <c r="T96" s="265"/>
      <c r="U96" s="265"/>
      <c r="V96" s="265"/>
      <c r="W96" s="265"/>
      <c r="X96" s="265"/>
      <c r="Y96" s="265"/>
    </row>
    <row r="97">
      <c r="A97" s="264" t="s">
        <v>3437</v>
      </c>
      <c r="B97" s="264" t="s">
        <v>3438</v>
      </c>
      <c r="C97" s="264" t="s">
        <v>3439</v>
      </c>
      <c r="D97" s="264" t="s">
        <v>3440</v>
      </c>
      <c r="E97" s="264" t="s">
        <v>3442</v>
      </c>
      <c r="F97" s="265"/>
      <c r="G97" s="265"/>
      <c r="H97" s="265"/>
      <c r="I97" s="265"/>
      <c r="J97" s="265"/>
      <c r="K97" s="265"/>
      <c r="L97" s="265"/>
      <c r="M97" s="265"/>
      <c r="N97" s="265"/>
      <c r="O97" s="265"/>
      <c r="P97" s="265"/>
      <c r="Q97" s="265"/>
      <c r="R97" s="265"/>
      <c r="S97" s="265"/>
      <c r="T97" s="265"/>
      <c r="U97" s="265"/>
      <c r="V97" s="265"/>
      <c r="W97" s="265"/>
      <c r="X97" s="265"/>
    </row>
    <row r="98">
      <c r="A98" s="264" t="s">
        <v>3447</v>
      </c>
      <c r="B98" s="264" t="s">
        <v>3448</v>
      </c>
      <c r="C98" s="264" t="s">
        <v>3450</v>
      </c>
      <c r="D98" s="264" t="s">
        <v>3451</v>
      </c>
      <c r="E98" s="264" t="s">
        <v>3452</v>
      </c>
    </row>
    <row r="99">
      <c r="A99" s="264" t="s">
        <v>3454</v>
      </c>
      <c r="B99" s="264" t="s">
        <v>3455</v>
      </c>
      <c r="C99" s="264" t="s">
        <v>3456</v>
      </c>
      <c r="D99" s="264" t="s">
        <v>3458</v>
      </c>
      <c r="E99" s="264" t="s">
        <v>3459</v>
      </c>
    </row>
    <row r="100">
      <c r="A100" s="264" t="s">
        <v>3461</v>
      </c>
      <c r="B100" s="264" t="s">
        <v>3462</v>
      </c>
      <c r="C100" s="264" t="s">
        <v>3463</v>
      </c>
      <c r="D100" s="264" t="s">
        <v>3465</v>
      </c>
      <c r="E100" s="264" t="s">
        <v>3467</v>
      </c>
    </row>
    <row r="101">
      <c r="A101" s="264" t="s">
        <v>3469</v>
      </c>
      <c r="B101" s="264" t="s">
        <v>3470</v>
      </c>
      <c r="C101" s="264" t="s">
        <v>3471</v>
      </c>
      <c r="D101" s="264" t="s">
        <v>3472</v>
      </c>
      <c r="E101" s="264" t="s">
        <v>3474</v>
      </c>
    </row>
    <row r="102">
      <c r="A102" s="264" t="s">
        <v>3475</v>
      </c>
      <c r="B102" s="264" t="s">
        <v>3477</v>
      </c>
      <c r="C102" s="264" t="s">
        <v>3478</v>
      </c>
      <c r="D102" s="264" t="s">
        <v>3479</v>
      </c>
      <c r="E102" s="264" t="s">
        <v>3481</v>
      </c>
    </row>
    <row r="103">
      <c r="A103" s="264" t="s">
        <v>3482</v>
      </c>
      <c r="B103" s="264" t="s">
        <v>3483</v>
      </c>
      <c r="C103" s="264" t="s">
        <v>3484</v>
      </c>
      <c r="D103" s="264" t="s">
        <v>3485</v>
      </c>
      <c r="E103" s="264" t="s">
        <v>3486</v>
      </c>
    </row>
    <row r="104">
      <c r="A104" s="264" t="s">
        <v>3488</v>
      </c>
      <c r="B104" s="264" t="s">
        <v>3489</v>
      </c>
      <c r="C104" s="264" t="s">
        <v>3490</v>
      </c>
      <c r="D104" s="264" t="s">
        <v>3492</v>
      </c>
      <c r="E104" s="264" t="s">
        <v>3493</v>
      </c>
    </row>
    <row r="105">
      <c r="A105" s="264" t="s">
        <v>3495</v>
      </c>
      <c r="B105" s="264" t="s">
        <v>3496</v>
      </c>
      <c r="C105" s="264" t="s">
        <v>3497</v>
      </c>
      <c r="D105" s="264" t="s">
        <v>3498</v>
      </c>
      <c r="E105" s="264" t="s">
        <v>3500</v>
      </c>
    </row>
    <row r="106">
      <c r="A106" s="264" t="s">
        <v>3501</v>
      </c>
      <c r="B106" s="264" t="s">
        <v>3503</v>
      </c>
      <c r="C106" s="264" t="s">
        <v>3504</v>
      </c>
      <c r="D106" s="264" t="s">
        <v>3505</v>
      </c>
      <c r="E106" s="264" t="s">
        <v>3506</v>
      </c>
    </row>
    <row r="107">
      <c r="A107" s="264" t="s">
        <v>3508</v>
      </c>
      <c r="B107" s="264" t="s">
        <v>3509</v>
      </c>
      <c r="C107" s="264" t="s">
        <v>3511</v>
      </c>
      <c r="D107" s="264" t="s">
        <v>3512</v>
      </c>
      <c r="E107" s="264" t="s">
        <v>3513</v>
      </c>
    </row>
    <row r="108">
      <c r="A108" s="264" t="s">
        <v>3514</v>
      </c>
      <c r="B108" s="264" t="s">
        <v>3516</v>
      </c>
      <c r="C108" s="264" t="s">
        <v>3517</v>
      </c>
      <c r="D108" s="264" t="s">
        <v>3518</v>
      </c>
      <c r="E108" s="264" t="s">
        <v>3520</v>
      </c>
    </row>
    <row r="109">
      <c r="A109" s="264" t="s">
        <v>3522</v>
      </c>
      <c r="B109" s="264" t="s">
        <v>3524</v>
      </c>
      <c r="C109" s="264" t="s">
        <v>3525</v>
      </c>
      <c r="D109" s="264" t="s">
        <v>3526</v>
      </c>
      <c r="E109" s="264" t="s">
        <v>3528</v>
      </c>
    </row>
    <row r="110">
      <c r="A110" s="264" t="s">
        <v>3529</v>
      </c>
      <c r="B110" s="264" t="s">
        <v>3530</v>
      </c>
      <c r="C110" s="264" t="s">
        <v>3533</v>
      </c>
      <c r="D110" s="264" t="s">
        <v>3534</v>
      </c>
      <c r="E110" s="264" t="s">
        <v>3535</v>
      </c>
    </row>
    <row r="111">
      <c r="A111" s="264" t="s">
        <v>3536</v>
      </c>
      <c r="B111" s="264" t="s">
        <v>3537</v>
      </c>
      <c r="C111" s="264" t="s">
        <v>3538</v>
      </c>
      <c r="D111" s="264" t="s">
        <v>3539</v>
      </c>
      <c r="E111" s="264" t="s">
        <v>3541</v>
      </c>
    </row>
    <row r="112">
      <c r="A112" s="264" t="s">
        <v>3543</v>
      </c>
      <c r="B112" s="264" t="s">
        <v>3544</v>
      </c>
      <c r="C112" s="264" t="s">
        <v>3545</v>
      </c>
      <c r="D112" s="264" t="s">
        <v>3546</v>
      </c>
      <c r="E112" s="264" t="s">
        <v>3548</v>
      </c>
    </row>
    <row r="113">
      <c r="A113" s="264" t="s">
        <v>3550</v>
      </c>
      <c r="B113" s="264" t="s">
        <v>3551</v>
      </c>
      <c r="C113" s="264" t="s">
        <v>3552</v>
      </c>
      <c r="D113" s="264" t="s">
        <v>3554</v>
      </c>
      <c r="E113" s="264" t="s">
        <v>3555</v>
      </c>
    </row>
    <row r="114">
      <c r="A114" s="264" t="s">
        <v>3556</v>
      </c>
      <c r="B114" s="264" t="s">
        <v>3558</v>
      </c>
      <c r="C114" s="264" t="s">
        <v>3559</v>
      </c>
      <c r="D114" s="264" t="s">
        <v>3560</v>
      </c>
      <c r="E114" s="264" t="s">
        <v>3561</v>
      </c>
    </row>
    <row r="115">
      <c r="A115" s="264" t="s">
        <v>3563</v>
      </c>
      <c r="B115" s="264" t="s">
        <v>3564</v>
      </c>
      <c r="C115" s="264" t="s">
        <v>3565</v>
      </c>
      <c r="D115" s="264" t="s">
        <v>3567</v>
      </c>
      <c r="E115" s="264" t="s">
        <v>3568</v>
      </c>
    </row>
    <row r="116">
      <c r="A116" s="264" t="s">
        <v>3569</v>
      </c>
      <c r="B116" s="264" t="s">
        <v>3571</v>
      </c>
      <c r="C116" s="264" t="s">
        <v>3573</v>
      </c>
      <c r="D116" s="264" t="s">
        <v>3574</v>
      </c>
      <c r="E116" s="264" t="s">
        <v>3575</v>
      </c>
    </row>
    <row r="117">
      <c r="A117" s="264" t="s">
        <v>3576</v>
      </c>
      <c r="B117" s="264" t="s">
        <v>3578</v>
      </c>
      <c r="C117" s="264" t="s">
        <v>3579</v>
      </c>
      <c r="D117" s="264" t="s">
        <v>3580</v>
      </c>
      <c r="E117" s="264" t="s">
        <v>3581</v>
      </c>
    </row>
    <row r="118">
      <c r="A118" s="264" t="s">
        <v>3583</v>
      </c>
      <c r="B118" s="264" t="s">
        <v>3584</v>
      </c>
      <c r="C118" s="264" t="s">
        <v>3585</v>
      </c>
      <c r="D118" s="264" t="s">
        <v>3587</v>
      </c>
      <c r="E118" s="264" t="s">
        <v>3588</v>
      </c>
    </row>
    <row r="119">
      <c r="A119" s="264" t="s">
        <v>3590</v>
      </c>
      <c r="B119" s="264" t="s">
        <v>3591</v>
      </c>
      <c r="C119" s="264" t="s">
        <v>3593</v>
      </c>
      <c r="D119" s="264" t="s">
        <v>3594</v>
      </c>
      <c r="E119" s="264" t="s">
        <v>3595</v>
      </c>
    </row>
    <row r="120">
      <c r="A120" s="264" t="s">
        <v>3596</v>
      </c>
      <c r="B120" s="264" t="s">
        <v>3597</v>
      </c>
      <c r="C120" s="264" t="s">
        <v>3599</v>
      </c>
      <c r="D120" s="264" t="s">
        <v>3600</v>
      </c>
      <c r="E120" s="264" t="s">
        <v>3601</v>
      </c>
    </row>
    <row r="121">
      <c r="A121" s="264" t="s">
        <v>3602</v>
      </c>
      <c r="B121" s="264" t="s">
        <v>3603</v>
      </c>
      <c r="C121" s="264" t="s">
        <v>3604</v>
      </c>
      <c r="D121" s="264" t="s">
        <v>3605</v>
      </c>
      <c r="E121" s="264" t="s">
        <v>3607</v>
      </c>
    </row>
    <row r="122">
      <c r="A122" s="264" t="s">
        <v>3610</v>
      </c>
      <c r="B122" s="264" t="s">
        <v>3611</v>
      </c>
      <c r="C122" s="264" t="s">
        <v>3612</v>
      </c>
      <c r="D122" s="264" t="s">
        <v>3613</v>
      </c>
      <c r="E122" s="264" t="s">
        <v>3614</v>
      </c>
    </row>
    <row r="123">
      <c r="A123" s="264" t="s">
        <v>3616</v>
      </c>
      <c r="B123" s="264" t="s">
        <v>3617</v>
      </c>
      <c r="C123" s="264" t="s">
        <v>3618</v>
      </c>
      <c r="D123" s="264" t="s">
        <v>3619</v>
      </c>
      <c r="E123" s="264" t="s">
        <v>3620</v>
      </c>
    </row>
    <row r="124">
      <c r="A124" s="264" t="s">
        <v>3621</v>
      </c>
      <c r="B124" s="264" t="s">
        <v>3622</v>
      </c>
      <c r="C124" s="264" t="s">
        <v>3623</v>
      </c>
      <c r="D124" s="264" t="s">
        <v>3624</v>
      </c>
      <c r="E124" s="264" t="s">
        <v>3625</v>
      </c>
    </row>
    <row r="125">
      <c r="A125" s="264" t="s">
        <v>3626</v>
      </c>
      <c r="B125" s="264" t="s">
        <v>3627</v>
      </c>
      <c r="C125" s="264" t="s">
        <v>3628</v>
      </c>
      <c r="D125" s="264" t="s">
        <v>3629</v>
      </c>
      <c r="E125" s="264" t="s">
        <v>3630</v>
      </c>
    </row>
    <row r="126">
      <c r="A126" s="264" t="s">
        <v>3631</v>
      </c>
      <c r="B126" s="264" t="s">
        <v>3632</v>
      </c>
      <c r="C126" s="264" t="s">
        <v>3633</v>
      </c>
      <c r="D126" s="264" t="s">
        <v>3634</v>
      </c>
      <c r="E126" s="264" t="s">
        <v>3635</v>
      </c>
    </row>
    <row r="127">
      <c r="A127" s="264" t="s">
        <v>3636</v>
      </c>
      <c r="B127" s="264" t="s">
        <v>3637</v>
      </c>
      <c r="C127" s="264" t="s">
        <v>3638</v>
      </c>
      <c r="D127" s="264" t="s">
        <v>3639</v>
      </c>
      <c r="E127" s="264" t="s">
        <v>3640</v>
      </c>
    </row>
    <row r="128">
      <c r="A128" s="264" t="s">
        <v>3641</v>
      </c>
      <c r="B128" s="264" t="s">
        <v>3642</v>
      </c>
      <c r="C128" s="264" t="s">
        <v>3643</v>
      </c>
      <c r="D128" s="264" t="s">
        <v>3644</v>
      </c>
      <c r="E128" s="264" t="s">
        <v>3645</v>
      </c>
    </row>
    <row r="129">
      <c r="A129" s="264" t="s">
        <v>3646</v>
      </c>
      <c r="B129" s="264" t="s">
        <v>3647</v>
      </c>
      <c r="C129" s="264" t="s">
        <v>3648</v>
      </c>
      <c r="D129" s="264" t="s">
        <v>3649</v>
      </c>
      <c r="E129" s="264" t="s">
        <v>3650</v>
      </c>
    </row>
    <row r="130">
      <c r="A130" s="264" t="s">
        <v>3651</v>
      </c>
      <c r="B130" s="264" t="s">
        <v>3652</v>
      </c>
      <c r="C130" s="264" t="s">
        <v>3653</v>
      </c>
      <c r="D130" s="264" t="s">
        <v>3654</v>
      </c>
      <c r="E130" s="264" t="s">
        <v>3655</v>
      </c>
    </row>
    <row r="131">
      <c r="A131" s="264" t="s">
        <v>3656</v>
      </c>
      <c r="B131" s="264" t="s">
        <v>3657</v>
      </c>
      <c r="C131" s="264" t="s">
        <v>3658</v>
      </c>
      <c r="D131" s="264" t="s">
        <v>3659</v>
      </c>
      <c r="E131" s="264" t="s">
        <v>3660</v>
      </c>
    </row>
    <row r="132">
      <c r="A132" s="264" t="s">
        <v>3661</v>
      </c>
      <c r="B132" s="264" t="s">
        <v>3662</v>
      </c>
      <c r="C132" s="264" t="s">
        <v>3663</v>
      </c>
      <c r="D132" s="264" t="s">
        <v>3664</v>
      </c>
      <c r="E132" s="264" t="s">
        <v>3665</v>
      </c>
    </row>
    <row r="133">
      <c r="A133" s="264" t="s">
        <v>3666</v>
      </c>
      <c r="B133" s="264" t="s">
        <v>3667</v>
      </c>
      <c r="C133" s="264" t="s">
        <v>3668</v>
      </c>
      <c r="D133" s="264" t="s">
        <v>3669</v>
      </c>
      <c r="E133" s="264" t="s">
        <v>3670</v>
      </c>
    </row>
    <row r="134">
      <c r="A134" s="264" t="s">
        <v>3671</v>
      </c>
      <c r="B134" s="264" t="s">
        <v>3672</v>
      </c>
      <c r="C134" s="264" t="s">
        <v>3673</v>
      </c>
      <c r="D134" s="264" t="s">
        <v>3674</v>
      </c>
      <c r="E134" s="264" t="s">
        <v>3675</v>
      </c>
    </row>
    <row r="135">
      <c r="A135" s="264" t="s">
        <v>3676</v>
      </c>
      <c r="B135" s="264" t="s">
        <v>3677</v>
      </c>
      <c r="C135" s="264" t="s">
        <v>3678</v>
      </c>
      <c r="D135" s="264" t="s">
        <v>3679</v>
      </c>
      <c r="E135" s="264" t="s">
        <v>3680</v>
      </c>
    </row>
    <row r="136">
      <c r="A136" s="264" t="s">
        <v>3681</v>
      </c>
      <c r="B136" s="264" t="s">
        <v>3682</v>
      </c>
      <c r="C136" s="264" t="s">
        <v>3683</v>
      </c>
      <c r="D136" s="264" t="s">
        <v>3684</v>
      </c>
      <c r="E136" s="264" t="s">
        <v>3685</v>
      </c>
    </row>
    <row r="137">
      <c r="A137" s="264" t="s">
        <v>3686</v>
      </c>
      <c r="B137" s="264" t="s">
        <v>3687</v>
      </c>
      <c r="C137" s="264" t="s">
        <v>3688</v>
      </c>
      <c r="D137" s="264" t="s">
        <v>3689</v>
      </c>
      <c r="E137" s="264" t="s">
        <v>3690</v>
      </c>
    </row>
    <row r="138">
      <c r="A138" s="264" t="s">
        <v>3691</v>
      </c>
      <c r="B138" s="264" t="s">
        <v>3692</v>
      </c>
      <c r="C138" s="264" t="s">
        <v>3693</v>
      </c>
      <c r="D138" s="264" t="s">
        <v>3694</v>
      </c>
      <c r="E138" s="264" t="s">
        <v>3695</v>
      </c>
    </row>
    <row r="139">
      <c r="A139" s="264" t="s">
        <v>3696</v>
      </c>
      <c r="B139" s="264" t="s">
        <v>3697</v>
      </c>
      <c r="C139" s="264" t="s">
        <v>3698</v>
      </c>
      <c r="D139" s="264" t="s">
        <v>3699</v>
      </c>
      <c r="E139" s="264" t="s">
        <v>3700</v>
      </c>
    </row>
    <row r="140">
      <c r="A140" s="264" t="s">
        <v>3701</v>
      </c>
      <c r="B140" s="264" t="s">
        <v>3702</v>
      </c>
      <c r="C140" s="264" t="s">
        <v>3703</v>
      </c>
      <c r="D140" s="264" t="s">
        <v>3704</v>
      </c>
      <c r="E140" s="264" t="s">
        <v>3705</v>
      </c>
    </row>
    <row r="141">
      <c r="A141" s="264" t="s">
        <v>3706</v>
      </c>
      <c r="B141" s="264" t="s">
        <v>3707</v>
      </c>
      <c r="C141" s="264" t="s">
        <v>3708</v>
      </c>
      <c r="D141" s="264" t="s">
        <v>3709</v>
      </c>
      <c r="E141" s="264" t="s">
        <v>3710</v>
      </c>
    </row>
    <row r="142">
      <c r="A142" s="264" t="s">
        <v>3711</v>
      </c>
      <c r="B142" s="264" t="s">
        <v>3712</v>
      </c>
      <c r="C142" s="264" t="s">
        <v>3713</v>
      </c>
      <c r="D142" s="264" t="s">
        <v>3714</v>
      </c>
      <c r="E142" s="264" t="s">
        <v>3715</v>
      </c>
    </row>
    <row r="143">
      <c r="A143" s="264" t="s">
        <v>3716</v>
      </c>
      <c r="B143" s="264" t="s">
        <v>3717</v>
      </c>
      <c r="C143" s="264" t="s">
        <v>3718</v>
      </c>
      <c r="D143" s="264" t="s">
        <v>3719</v>
      </c>
      <c r="E143" s="264" t="s">
        <v>3720</v>
      </c>
    </row>
    <row r="144">
      <c r="A144" s="264" t="s">
        <v>3721</v>
      </c>
      <c r="B144" s="264" t="s">
        <v>3722</v>
      </c>
      <c r="C144" s="264" t="s">
        <v>3723</v>
      </c>
      <c r="D144" s="264" t="s">
        <v>3724</v>
      </c>
      <c r="E144" s="264" t="s">
        <v>3725</v>
      </c>
    </row>
    <row r="145">
      <c r="A145" s="264" t="s">
        <v>3726</v>
      </c>
      <c r="B145" s="264" t="s">
        <v>3727</v>
      </c>
      <c r="C145" s="264" t="s">
        <v>3728</v>
      </c>
      <c r="D145" s="264" t="s">
        <v>3729</v>
      </c>
      <c r="E145" s="264" t="s">
        <v>3730</v>
      </c>
    </row>
    <row r="146">
      <c r="A146" s="264" t="s">
        <v>3731</v>
      </c>
      <c r="B146" s="264" t="s">
        <v>3732</v>
      </c>
      <c r="C146" s="264" t="s">
        <v>3733</v>
      </c>
      <c r="D146" s="264" t="s">
        <v>3734</v>
      </c>
      <c r="E146" s="264" t="s">
        <v>3735</v>
      </c>
    </row>
    <row r="147">
      <c r="A147" s="264" t="s">
        <v>3736</v>
      </c>
      <c r="B147" s="264" t="s">
        <v>3737</v>
      </c>
      <c r="C147" s="264" t="s">
        <v>3738</v>
      </c>
      <c r="D147" s="264" t="s">
        <v>3739</v>
      </c>
      <c r="E147" s="264" t="s">
        <v>3740</v>
      </c>
    </row>
    <row r="148">
      <c r="A148" s="264" t="s">
        <v>3741</v>
      </c>
      <c r="B148" s="264" t="s">
        <v>3742</v>
      </c>
      <c r="C148" s="264" t="s">
        <v>3743</v>
      </c>
      <c r="D148" s="264" t="s">
        <v>3744</v>
      </c>
      <c r="E148" s="264" t="s">
        <v>3745</v>
      </c>
    </row>
    <row r="149">
      <c r="A149" s="264" t="s">
        <v>3746</v>
      </c>
      <c r="B149" s="264" t="s">
        <v>3747</v>
      </c>
      <c r="C149" s="264" t="s">
        <v>3748</v>
      </c>
      <c r="D149" s="264" t="s">
        <v>3749</v>
      </c>
      <c r="E149" s="264" t="s">
        <v>3750</v>
      </c>
    </row>
    <row r="150">
      <c r="A150" s="264" t="s">
        <v>3751</v>
      </c>
      <c r="B150" s="264" t="s">
        <v>3752</v>
      </c>
      <c r="C150" s="264" t="s">
        <v>3753</v>
      </c>
      <c r="D150" s="264" t="s">
        <v>3754</v>
      </c>
      <c r="E150" s="264" t="s">
        <v>3755</v>
      </c>
    </row>
    <row r="151">
      <c r="A151" s="264" t="s">
        <v>3756</v>
      </c>
      <c r="B151" s="264" t="s">
        <v>3757</v>
      </c>
      <c r="C151" s="264" t="s">
        <v>3758</v>
      </c>
      <c r="D151" s="264" t="s">
        <v>3759</v>
      </c>
      <c r="E151" s="264" t="s">
        <v>3760</v>
      </c>
    </row>
    <row r="152">
      <c r="A152" s="264" t="s">
        <v>3761</v>
      </c>
      <c r="B152" s="264" t="s">
        <v>3762</v>
      </c>
      <c r="C152" s="264" t="s">
        <v>3763</v>
      </c>
      <c r="D152" s="264" t="s">
        <v>3764</v>
      </c>
      <c r="E152" s="264" t="s">
        <v>3765</v>
      </c>
    </row>
    <row r="153">
      <c r="A153" s="264" t="s">
        <v>3766</v>
      </c>
      <c r="B153" s="264" t="s">
        <v>3767</v>
      </c>
      <c r="C153" s="264" t="s">
        <v>3768</v>
      </c>
      <c r="D153" s="264" t="s">
        <v>3769</v>
      </c>
      <c r="E153" s="264" t="s">
        <v>3770</v>
      </c>
    </row>
    <row r="154">
      <c r="A154" s="264" t="s">
        <v>3771</v>
      </c>
      <c r="B154" s="264" t="s">
        <v>3772</v>
      </c>
      <c r="C154" s="264" t="s">
        <v>3773</v>
      </c>
      <c r="D154" s="264" t="s">
        <v>3774</v>
      </c>
      <c r="E154" s="264" t="s">
        <v>3775</v>
      </c>
    </row>
    <row r="155">
      <c r="A155" s="264" t="s">
        <v>3776</v>
      </c>
      <c r="B155" s="264" t="s">
        <v>3777</v>
      </c>
      <c r="C155" s="264" t="s">
        <v>3778</v>
      </c>
      <c r="D155" s="264" t="s">
        <v>3779</v>
      </c>
      <c r="E155" s="264" t="s">
        <v>3780</v>
      </c>
    </row>
    <row r="156">
      <c r="A156" s="264" t="s">
        <v>3781</v>
      </c>
      <c r="B156" s="264" t="s">
        <v>3782</v>
      </c>
      <c r="C156" s="264" t="s">
        <v>3783</v>
      </c>
      <c r="D156" s="264" t="s">
        <v>3784</v>
      </c>
      <c r="E156" s="264" t="s">
        <v>3785</v>
      </c>
    </row>
    <row r="157">
      <c r="A157" s="264" t="s">
        <v>3786</v>
      </c>
      <c r="B157" s="264" t="s">
        <v>3787</v>
      </c>
      <c r="C157" s="264" t="s">
        <v>3788</v>
      </c>
      <c r="D157" s="264" t="s">
        <v>3789</v>
      </c>
      <c r="E157" s="264" t="s">
        <v>3790</v>
      </c>
    </row>
    <row r="158">
      <c r="A158" s="264" t="s">
        <v>3791</v>
      </c>
      <c r="B158" s="264" t="s">
        <v>3792</v>
      </c>
      <c r="C158" s="264" t="s">
        <v>3793</v>
      </c>
      <c r="D158" s="264" t="s">
        <v>3794</v>
      </c>
      <c r="E158" s="264" t="s">
        <v>3795</v>
      </c>
    </row>
    <row r="159">
      <c r="A159" s="264" t="s">
        <v>3796</v>
      </c>
      <c r="B159" s="264" t="s">
        <v>3797</v>
      </c>
      <c r="C159" s="264" t="s">
        <v>3798</v>
      </c>
      <c r="D159" s="264" t="s">
        <v>3799</v>
      </c>
      <c r="E159" s="264" t="s">
        <v>3800</v>
      </c>
    </row>
    <row r="160">
      <c r="A160" s="264" t="s">
        <v>3801</v>
      </c>
      <c r="B160" s="264" t="s">
        <v>3802</v>
      </c>
      <c r="C160" s="264" t="s">
        <v>3803</v>
      </c>
      <c r="D160" s="264" t="s">
        <v>3804</v>
      </c>
      <c r="E160" s="264" t="s">
        <v>3805</v>
      </c>
    </row>
    <row r="161">
      <c r="A161" s="264" t="s">
        <v>3806</v>
      </c>
      <c r="B161" s="264" t="s">
        <v>3807</v>
      </c>
      <c r="C161" s="264" t="s">
        <v>3808</v>
      </c>
      <c r="D161" s="264" t="s">
        <v>3809</v>
      </c>
      <c r="E161" s="264" t="s">
        <v>3810</v>
      </c>
    </row>
    <row r="162">
      <c r="A162" s="264" t="s">
        <v>3811</v>
      </c>
      <c r="B162" s="264" t="s">
        <v>3812</v>
      </c>
      <c r="C162" s="264" t="s">
        <v>3813</v>
      </c>
      <c r="D162" s="264" t="s">
        <v>3814</v>
      </c>
      <c r="E162" s="264" t="s">
        <v>3815</v>
      </c>
    </row>
    <row r="163">
      <c r="A163" s="264" t="s">
        <v>3816</v>
      </c>
      <c r="B163" s="264" t="s">
        <v>3817</v>
      </c>
      <c r="C163" s="264" t="s">
        <v>3818</v>
      </c>
      <c r="D163" s="264" t="s">
        <v>3819</v>
      </c>
      <c r="E163" s="264" t="s">
        <v>3820</v>
      </c>
    </row>
    <row r="164">
      <c r="A164" s="264" t="s">
        <v>3821</v>
      </c>
      <c r="B164" s="264" t="s">
        <v>3822</v>
      </c>
      <c r="C164" s="264" t="s">
        <v>3823</v>
      </c>
      <c r="D164" s="264" t="s">
        <v>3824</v>
      </c>
      <c r="E164" s="264" t="s">
        <v>3825</v>
      </c>
    </row>
    <row r="165">
      <c r="A165" s="264" t="s">
        <v>3826</v>
      </c>
      <c r="B165" s="264" t="s">
        <v>3827</v>
      </c>
      <c r="C165" s="264" t="s">
        <v>3828</v>
      </c>
      <c r="D165" s="264" t="s">
        <v>3829</v>
      </c>
      <c r="E165" s="264" t="s">
        <v>3830</v>
      </c>
    </row>
    <row r="166">
      <c r="A166" s="264" t="s">
        <v>3831</v>
      </c>
      <c r="B166" s="264" t="s">
        <v>3832</v>
      </c>
      <c r="C166" s="264" t="s">
        <v>3833</v>
      </c>
      <c r="D166" s="264" t="s">
        <v>3834</v>
      </c>
      <c r="E166" s="264" t="s">
        <v>3835</v>
      </c>
    </row>
    <row r="167">
      <c r="A167" s="264" t="s">
        <v>3836</v>
      </c>
      <c r="B167" s="264" t="s">
        <v>3837</v>
      </c>
      <c r="C167" s="264" t="s">
        <v>3838</v>
      </c>
      <c r="D167" s="264" t="s">
        <v>3839</v>
      </c>
      <c r="E167" s="264" t="s">
        <v>3840</v>
      </c>
    </row>
    <row r="168">
      <c r="A168" s="264" t="s">
        <v>3841</v>
      </c>
      <c r="B168" s="264" t="s">
        <v>3842</v>
      </c>
      <c r="C168" s="264" t="s">
        <v>3843</v>
      </c>
      <c r="D168" s="264" t="s">
        <v>3844</v>
      </c>
      <c r="E168" s="264" t="s">
        <v>3845</v>
      </c>
    </row>
    <row r="169">
      <c r="A169" s="264" t="s">
        <v>3846</v>
      </c>
      <c r="B169" s="264" t="s">
        <v>3847</v>
      </c>
      <c r="C169" s="264" t="s">
        <v>3848</v>
      </c>
      <c r="D169" s="264" t="s">
        <v>3849</v>
      </c>
      <c r="E169" s="264" t="s">
        <v>3850</v>
      </c>
    </row>
    <row r="170">
      <c r="A170" s="264" t="s">
        <v>3851</v>
      </c>
      <c r="B170" s="264" t="s">
        <v>3852</v>
      </c>
      <c r="C170" s="264" t="s">
        <v>3853</v>
      </c>
      <c r="D170" s="264" t="s">
        <v>3854</v>
      </c>
      <c r="E170" s="264" t="s">
        <v>3855</v>
      </c>
    </row>
    <row r="171">
      <c r="A171" s="264" t="s">
        <v>3856</v>
      </c>
      <c r="B171" s="264" t="s">
        <v>3857</v>
      </c>
      <c r="C171" s="264" t="s">
        <v>3858</v>
      </c>
      <c r="D171" s="264" t="s">
        <v>3859</v>
      </c>
      <c r="E171" s="264" t="s">
        <v>3860</v>
      </c>
    </row>
    <row r="172">
      <c r="A172" s="264" t="s">
        <v>3861</v>
      </c>
      <c r="B172" s="264" t="s">
        <v>3862</v>
      </c>
      <c r="C172" s="264" t="s">
        <v>3863</v>
      </c>
      <c r="D172" s="264" t="s">
        <v>3864</v>
      </c>
      <c r="E172" s="264" t="s">
        <v>3865</v>
      </c>
    </row>
    <row r="173">
      <c r="A173" s="264" t="s">
        <v>3866</v>
      </c>
      <c r="B173" s="264" t="s">
        <v>3867</v>
      </c>
      <c r="C173" s="264" t="s">
        <v>3868</v>
      </c>
      <c r="D173" s="264" t="s">
        <v>3869</v>
      </c>
      <c r="E173" s="264" t="s">
        <v>3870</v>
      </c>
    </row>
    <row r="174">
      <c r="A174" s="264" t="s">
        <v>3871</v>
      </c>
      <c r="B174" s="264" t="s">
        <v>3872</v>
      </c>
      <c r="C174" s="264" t="s">
        <v>3873</v>
      </c>
      <c r="D174" s="264" t="s">
        <v>3874</v>
      </c>
      <c r="E174" s="264" t="s">
        <v>3875</v>
      </c>
    </row>
    <row r="175">
      <c r="A175" s="264" t="s">
        <v>3876</v>
      </c>
      <c r="B175" s="264" t="s">
        <v>3877</v>
      </c>
      <c r="C175" s="264" t="s">
        <v>3878</v>
      </c>
      <c r="D175" s="264" t="s">
        <v>3879</v>
      </c>
      <c r="E175" s="264" t="s">
        <v>3880</v>
      </c>
    </row>
    <row r="176">
      <c r="A176" s="264" t="s">
        <v>3881</v>
      </c>
      <c r="B176" s="264" t="s">
        <v>3882</v>
      </c>
      <c r="C176" s="264" t="s">
        <v>3883</v>
      </c>
      <c r="D176" s="264" t="s">
        <v>3884</v>
      </c>
      <c r="E176" s="264" t="s">
        <v>3885</v>
      </c>
    </row>
    <row r="177">
      <c r="A177" s="264" t="s">
        <v>3886</v>
      </c>
      <c r="B177" s="264" t="s">
        <v>3887</v>
      </c>
      <c r="C177" s="264" t="s">
        <v>3888</v>
      </c>
      <c r="D177" s="264" t="s">
        <v>3889</v>
      </c>
      <c r="E177" s="264" t="s">
        <v>3890</v>
      </c>
    </row>
    <row r="178">
      <c r="A178" s="264" t="s">
        <v>3891</v>
      </c>
      <c r="B178" s="264" t="s">
        <v>3892</v>
      </c>
      <c r="C178" s="264" t="s">
        <v>3893</v>
      </c>
      <c r="D178" s="264" t="s">
        <v>3894</v>
      </c>
      <c r="E178" s="264" t="s">
        <v>3895</v>
      </c>
    </row>
    <row r="179">
      <c r="A179" s="264" t="s">
        <v>3896</v>
      </c>
      <c r="B179" s="264" t="s">
        <v>3897</v>
      </c>
      <c r="C179" s="264" t="s">
        <v>3898</v>
      </c>
      <c r="D179" s="264" t="s">
        <v>3899</v>
      </c>
      <c r="E179" s="264" t="s">
        <v>3900</v>
      </c>
    </row>
    <row r="180">
      <c r="A180" s="264" t="s">
        <v>3901</v>
      </c>
      <c r="B180" s="264" t="s">
        <v>3902</v>
      </c>
      <c r="C180" s="264" t="s">
        <v>3903</v>
      </c>
      <c r="D180" s="264" t="s">
        <v>3904</v>
      </c>
      <c r="E180" s="264" t="s">
        <v>3905</v>
      </c>
    </row>
    <row r="181">
      <c r="A181" s="264" t="s">
        <v>3906</v>
      </c>
      <c r="B181" s="264" t="s">
        <v>3907</v>
      </c>
      <c r="C181" s="264" t="s">
        <v>3908</v>
      </c>
      <c r="D181" s="264" t="s">
        <v>3909</v>
      </c>
      <c r="E181" s="264" t="s">
        <v>3910</v>
      </c>
    </row>
    <row r="182">
      <c r="A182" s="264" t="s">
        <v>3911</v>
      </c>
      <c r="B182" s="264" t="s">
        <v>3912</v>
      </c>
      <c r="C182" s="264" t="s">
        <v>3913</v>
      </c>
      <c r="D182" s="264" t="s">
        <v>3914</v>
      </c>
      <c r="E182" s="264" t="s">
        <v>3915</v>
      </c>
    </row>
    <row r="183">
      <c r="A183" s="264" t="s">
        <v>3916</v>
      </c>
      <c r="B183" s="264" t="s">
        <v>3917</v>
      </c>
      <c r="C183" s="264" t="s">
        <v>3918</v>
      </c>
      <c r="D183" s="264" t="s">
        <v>3919</v>
      </c>
      <c r="E183" s="264" t="s">
        <v>3920</v>
      </c>
    </row>
    <row r="184">
      <c r="A184" s="264" t="s">
        <v>3921</v>
      </c>
      <c r="B184" s="264" t="s">
        <v>3922</v>
      </c>
      <c r="C184" s="264" t="s">
        <v>3923</v>
      </c>
      <c r="D184" s="264" t="s">
        <v>3924</v>
      </c>
      <c r="E184" s="264" t="s">
        <v>3925</v>
      </c>
    </row>
    <row r="185">
      <c r="A185" s="264" t="s">
        <v>3926</v>
      </c>
      <c r="B185" s="264" t="s">
        <v>3927</v>
      </c>
      <c r="C185" s="264" t="s">
        <v>3928</v>
      </c>
      <c r="D185" s="264" t="s">
        <v>3929</v>
      </c>
      <c r="E185" s="264" t="s">
        <v>3930</v>
      </c>
    </row>
    <row r="186">
      <c r="A186" s="264" t="s">
        <v>3931</v>
      </c>
      <c r="B186" s="264" t="s">
        <v>3932</v>
      </c>
      <c r="C186" s="264" t="s">
        <v>3933</v>
      </c>
      <c r="D186" s="264" t="s">
        <v>3934</v>
      </c>
      <c r="E186" s="264" t="s">
        <v>3935</v>
      </c>
    </row>
    <row r="187">
      <c r="A187" s="264" t="s">
        <v>3936</v>
      </c>
      <c r="B187" s="264" t="s">
        <v>3937</v>
      </c>
      <c r="C187" s="264" t="s">
        <v>3938</v>
      </c>
      <c r="D187" s="264" t="s">
        <v>3939</v>
      </c>
      <c r="E187" s="264" t="s">
        <v>3940</v>
      </c>
    </row>
    <row r="188">
      <c r="A188" s="264" t="s">
        <v>3941</v>
      </c>
      <c r="B188" s="264" t="s">
        <v>3942</v>
      </c>
      <c r="C188" s="264" t="s">
        <v>3943</v>
      </c>
      <c r="D188" s="264" t="s">
        <v>3944</v>
      </c>
      <c r="E188" s="264" t="s">
        <v>3945</v>
      </c>
    </row>
    <row r="189">
      <c r="A189" s="264" t="s">
        <v>3946</v>
      </c>
      <c r="B189" s="264" t="s">
        <v>3947</v>
      </c>
      <c r="C189" s="264" t="s">
        <v>3948</v>
      </c>
      <c r="D189" s="264" t="s">
        <v>3949</v>
      </c>
      <c r="E189" s="264" t="s">
        <v>3950</v>
      </c>
    </row>
    <row r="190">
      <c r="A190" s="264" t="s">
        <v>3951</v>
      </c>
      <c r="B190" s="264" t="s">
        <v>3952</v>
      </c>
      <c r="C190" s="264" t="s">
        <v>3953</v>
      </c>
      <c r="D190" s="264" t="s">
        <v>3954</v>
      </c>
      <c r="E190" s="264" t="s">
        <v>3955</v>
      </c>
    </row>
    <row r="191">
      <c r="A191" s="264" t="s">
        <v>3956</v>
      </c>
      <c r="B191" s="264" t="s">
        <v>3957</v>
      </c>
      <c r="C191" s="264" t="s">
        <v>3958</v>
      </c>
      <c r="D191" s="264" t="s">
        <v>3959</v>
      </c>
      <c r="E191" s="264" t="s">
        <v>3960</v>
      </c>
    </row>
    <row r="192">
      <c r="A192" s="264" t="s">
        <v>3961</v>
      </c>
      <c r="B192" s="264" t="s">
        <v>3962</v>
      </c>
      <c r="C192" s="264" t="s">
        <v>3963</v>
      </c>
      <c r="D192" s="264" t="s">
        <v>3964</v>
      </c>
      <c r="E192" s="264" t="s">
        <v>3965</v>
      </c>
    </row>
    <row r="193">
      <c r="A193" s="264" t="s">
        <v>3966</v>
      </c>
      <c r="B193" s="264" t="s">
        <v>3967</v>
      </c>
      <c r="C193" s="264" t="s">
        <v>3968</v>
      </c>
      <c r="D193" s="264" t="s">
        <v>3969</v>
      </c>
      <c r="E193" s="264" t="s">
        <v>3970</v>
      </c>
    </row>
    <row r="194">
      <c r="A194" s="264" t="s">
        <v>3971</v>
      </c>
      <c r="B194" s="264" t="s">
        <v>3972</v>
      </c>
      <c r="C194" s="264" t="s">
        <v>3973</v>
      </c>
      <c r="D194" s="264" t="s">
        <v>3974</v>
      </c>
      <c r="E194" s="264" t="s">
        <v>3975</v>
      </c>
    </row>
    <row r="195">
      <c r="A195" s="264" t="s">
        <v>3976</v>
      </c>
      <c r="B195" s="264" t="s">
        <v>3977</v>
      </c>
      <c r="C195" s="264" t="s">
        <v>3978</v>
      </c>
      <c r="D195" s="264" t="s">
        <v>3979</v>
      </c>
      <c r="E195" s="264" t="s">
        <v>3980</v>
      </c>
    </row>
    <row r="196">
      <c r="A196" s="264" t="s">
        <v>3981</v>
      </c>
      <c r="B196" s="264" t="s">
        <v>3982</v>
      </c>
      <c r="C196" s="264" t="s">
        <v>3983</v>
      </c>
      <c r="D196" s="264" t="s">
        <v>3984</v>
      </c>
      <c r="E196" s="264" t="s">
        <v>3985</v>
      </c>
    </row>
    <row r="197">
      <c r="A197" s="264" t="s">
        <v>3986</v>
      </c>
      <c r="B197" s="264" t="s">
        <v>3987</v>
      </c>
      <c r="C197" s="264" t="s">
        <v>3988</v>
      </c>
      <c r="D197" s="264" t="s">
        <v>3989</v>
      </c>
      <c r="E197" s="264" t="s">
        <v>3990</v>
      </c>
    </row>
    <row r="198">
      <c r="A198" s="264" t="s">
        <v>3991</v>
      </c>
      <c r="B198" s="264" t="s">
        <v>3992</v>
      </c>
      <c r="C198" s="264" t="s">
        <v>3993</v>
      </c>
      <c r="D198" s="264" t="s">
        <v>3994</v>
      </c>
      <c r="E198" s="264" t="s">
        <v>3995</v>
      </c>
    </row>
    <row r="199">
      <c r="A199" s="264" t="s">
        <v>3996</v>
      </c>
      <c r="B199" s="264" t="s">
        <v>3997</v>
      </c>
      <c r="C199" s="264" t="s">
        <v>3998</v>
      </c>
      <c r="D199" s="264" t="s">
        <v>3999</v>
      </c>
      <c r="E199" s="264" t="s">
        <v>4000</v>
      </c>
    </row>
    <row r="200">
      <c r="A200" s="264" t="s">
        <v>4001</v>
      </c>
      <c r="B200" s="264" t="s">
        <v>4002</v>
      </c>
      <c r="C200" s="264" t="s">
        <v>4003</v>
      </c>
      <c r="D200" s="264" t="s">
        <v>4004</v>
      </c>
      <c r="E200" s="264" t="s">
        <v>4005</v>
      </c>
    </row>
    <row r="201">
      <c r="A201" s="264" t="s">
        <v>4006</v>
      </c>
      <c r="B201" s="264" t="s">
        <v>4007</v>
      </c>
      <c r="C201" s="264" t="s">
        <v>4008</v>
      </c>
      <c r="D201" s="264" t="s">
        <v>4009</v>
      </c>
      <c r="E201" s="264" t="s">
        <v>4010</v>
      </c>
    </row>
    <row r="202">
      <c r="A202" s="264" t="s">
        <v>4011</v>
      </c>
      <c r="B202" s="264" t="s">
        <v>4012</v>
      </c>
      <c r="C202" s="264" t="s">
        <v>4013</v>
      </c>
      <c r="D202" s="264" t="s">
        <v>4014</v>
      </c>
      <c r="E202" s="264" t="s">
        <v>4015</v>
      </c>
    </row>
    <row r="203">
      <c r="A203" s="264" t="s">
        <v>4016</v>
      </c>
      <c r="B203" s="264" t="s">
        <v>4017</v>
      </c>
      <c r="C203" s="264" t="s">
        <v>4018</v>
      </c>
      <c r="D203" s="264" t="s">
        <v>4019</v>
      </c>
      <c r="E203" s="264" t="s">
        <v>4020</v>
      </c>
    </row>
    <row r="204">
      <c r="A204" s="264" t="s">
        <v>4021</v>
      </c>
      <c r="B204" s="264" t="s">
        <v>4022</v>
      </c>
      <c r="C204" s="264" t="s">
        <v>4023</v>
      </c>
      <c r="D204" s="264" t="s">
        <v>4024</v>
      </c>
      <c r="E204" s="264" t="s">
        <v>4025</v>
      </c>
    </row>
    <row r="205">
      <c r="A205" s="264" t="s">
        <v>4026</v>
      </c>
      <c r="B205" s="264" t="s">
        <v>4027</v>
      </c>
      <c r="C205" s="264" t="s">
        <v>4028</v>
      </c>
      <c r="D205" s="264" t="s">
        <v>4029</v>
      </c>
      <c r="E205" s="264" t="s">
        <v>4030</v>
      </c>
    </row>
    <row r="206">
      <c r="A206" s="264" t="s">
        <v>4031</v>
      </c>
      <c r="B206" s="264" t="s">
        <v>4032</v>
      </c>
      <c r="C206" s="264" t="s">
        <v>4033</v>
      </c>
      <c r="D206" s="264" t="s">
        <v>4034</v>
      </c>
      <c r="E206" s="264" t="s">
        <v>4035</v>
      </c>
    </row>
    <row r="207">
      <c r="A207" s="264" t="s">
        <v>4036</v>
      </c>
      <c r="B207" s="264" t="s">
        <v>4037</v>
      </c>
      <c r="C207" s="264" t="s">
        <v>4038</v>
      </c>
      <c r="D207" s="264" t="s">
        <v>4039</v>
      </c>
      <c r="E207" s="264" t="s">
        <v>4040</v>
      </c>
    </row>
    <row r="208">
      <c r="A208" s="264" t="s">
        <v>4041</v>
      </c>
      <c r="B208" s="264" t="s">
        <v>4042</v>
      </c>
      <c r="C208" s="264" t="s">
        <v>4043</v>
      </c>
      <c r="D208" s="264" t="s">
        <v>4044</v>
      </c>
      <c r="E208" s="264" t="s">
        <v>4045</v>
      </c>
    </row>
    <row r="209">
      <c r="A209" s="264" t="s">
        <v>4046</v>
      </c>
      <c r="B209" s="264" t="s">
        <v>4047</v>
      </c>
      <c r="C209" s="264" t="s">
        <v>4048</v>
      </c>
      <c r="D209" s="264" t="s">
        <v>4049</v>
      </c>
      <c r="E209" s="264" t="s">
        <v>4050</v>
      </c>
    </row>
    <row r="210">
      <c r="A210" s="264" t="s">
        <v>4051</v>
      </c>
      <c r="B210" s="264" t="s">
        <v>4052</v>
      </c>
      <c r="C210" s="264" t="s">
        <v>4053</v>
      </c>
      <c r="D210" s="264" t="s">
        <v>4054</v>
      </c>
      <c r="E210" s="264" t="s">
        <v>4055</v>
      </c>
    </row>
    <row r="211">
      <c r="A211" s="264" t="s">
        <v>4056</v>
      </c>
      <c r="B211" s="264" t="s">
        <v>4057</v>
      </c>
      <c r="C211" s="264" t="s">
        <v>4058</v>
      </c>
      <c r="D211" s="264" t="s">
        <v>4059</v>
      </c>
      <c r="E211" s="264" t="s">
        <v>4060</v>
      </c>
    </row>
    <row r="212">
      <c r="A212" s="264" t="s">
        <v>4061</v>
      </c>
      <c r="B212" s="264" t="s">
        <v>4062</v>
      </c>
      <c r="C212" s="264" t="s">
        <v>4063</v>
      </c>
      <c r="D212" s="264" t="s">
        <v>4064</v>
      </c>
      <c r="E212" s="264" t="s">
        <v>4065</v>
      </c>
    </row>
    <row r="213">
      <c r="A213" s="264" t="s">
        <v>4066</v>
      </c>
      <c r="B213" s="264" t="s">
        <v>4067</v>
      </c>
      <c r="C213" s="264" t="s">
        <v>4068</v>
      </c>
      <c r="D213" s="264" t="s">
        <v>4069</v>
      </c>
      <c r="E213" s="264" t="s">
        <v>4070</v>
      </c>
    </row>
    <row r="214">
      <c r="A214" s="264" t="s">
        <v>4071</v>
      </c>
      <c r="B214" s="264" t="s">
        <v>4072</v>
      </c>
      <c r="C214" s="264" t="s">
        <v>4073</v>
      </c>
      <c r="D214" s="264" t="s">
        <v>4074</v>
      </c>
      <c r="E214" s="264" t="s">
        <v>4075</v>
      </c>
    </row>
    <row r="215">
      <c r="A215" s="264" t="s">
        <v>4076</v>
      </c>
      <c r="B215" s="264" t="s">
        <v>4077</v>
      </c>
      <c r="C215" s="264" t="s">
        <v>4078</v>
      </c>
      <c r="D215" s="264" t="s">
        <v>4079</v>
      </c>
      <c r="E215" s="264" t="s">
        <v>4080</v>
      </c>
    </row>
    <row r="216">
      <c r="A216" s="264" t="s">
        <v>4081</v>
      </c>
      <c r="B216" s="264" t="s">
        <v>4082</v>
      </c>
      <c r="C216" s="264" t="s">
        <v>4083</v>
      </c>
      <c r="D216" s="264" t="s">
        <v>4084</v>
      </c>
      <c r="E216" s="264" t="s">
        <v>4085</v>
      </c>
    </row>
    <row r="217">
      <c r="A217" s="264" t="s">
        <v>4086</v>
      </c>
      <c r="B217" s="264" t="s">
        <v>4087</v>
      </c>
      <c r="C217" s="264" t="s">
        <v>4088</v>
      </c>
      <c r="D217" s="264" t="s">
        <v>4089</v>
      </c>
      <c r="E217" s="264" t="s">
        <v>4090</v>
      </c>
    </row>
    <row r="218">
      <c r="A218" s="264" t="s">
        <v>4091</v>
      </c>
      <c r="B218" s="264" t="s">
        <v>4092</v>
      </c>
      <c r="C218" s="264" t="s">
        <v>4093</v>
      </c>
      <c r="D218" s="264" t="s">
        <v>4094</v>
      </c>
      <c r="E218" s="264" t="s">
        <v>4095</v>
      </c>
    </row>
    <row r="219">
      <c r="A219" s="264" t="s">
        <v>4096</v>
      </c>
      <c r="B219" s="264" t="s">
        <v>4097</v>
      </c>
      <c r="C219" s="264" t="s">
        <v>4098</v>
      </c>
      <c r="D219" s="264" t="s">
        <v>4099</v>
      </c>
      <c r="E219" s="264" t="s">
        <v>4100</v>
      </c>
    </row>
    <row r="220">
      <c r="A220" s="264" t="s">
        <v>4101</v>
      </c>
      <c r="B220" s="264" t="s">
        <v>4102</v>
      </c>
      <c r="C220" s="264" t="s">
        <v>4103</v>
      </c>
      <c r="D220" s="264" t="s">
        <v>4104</v>
      </c>
      <c r="E220" s="264" t="s">
        <v>4105</v>
      </c>
    </row>
    <row r="221">
      <c r="A221" s="264" t="s">
        <v>4106</v>
      </c>
      <c r="B221" s="264" t="s">
        <v>4107</v>
      </c>
      <c r="C221" s="264" t="s">
        <v>4108</v>
      </c>
      <c r="D221" s="264" t="s">
        <v>4109</v>
      </c>
      <c r="E221" s="264" t="s">
        <v>4110</v>
      </c>
    </row>
    <row r="222">
      <c r="A222" s="264" t="s">
        <v>4111</v>
      </c>
      <c r="B222" s="264" t="s">
        <v>4112</v>
      </c>
      <c r="C222" s="264" t="s">
        <v>4113</v>
      </c>
      <c r="D222" s="264" t="s">
        <v>4114</v>
      </c>
      <c r="E222" s="264" t="s">
        <v>4115</v>
      </c>
    </row>
    <row r="223">
      <c r="A223" s="264" t="s">
        <v>4116</v>
      </c>
      <c r="B223" s="264" t="s">
        <v>4117</v>
      </c>
      <c r="C223" s="264" t="s">
        <v>4118</v>
      </c>
      <c r="D223" s="264" t="s">
        <v>4119</v>
      </c>
      <c r="E223" s="264" t="s">
        <v>4120</v>
      </c>
    </row>
    <row r="224">
      <c r="A224" s="264" t="s">
        <v>4121</v>
      </c>
      <c r="B224" s="264" t="s">
        <v>4122</v>
      </c>
      <c r="C224" s="264" t="s">
        <v>4123</v>
      </c>
      <c r="D224" s="264" t="s">
        <v>4124</v>
      </c>
      <c r="E224" s="264" t="s">
        <v>4125</v>
      </c>
    </row>
    <row r="225">
      <c r="A225" s="264" t="s">
        <v>4126</v>
      </c>
      <c r="B225" s="264" t="s">
        <v>4127</v>
      </c>
      <c r="C225" s="264" t="s">
        <v>4128</v>
      </c>
      <c r="D225" s="264" t="s">
        <v>4129</v>
      </c>
      <c r="E225" s="264" t="s">
        <v>4130</v>
      </c>
    </row>
    <row r="226">
      <c r="A226" s="264" t="s">
        <v>4131</v>
      </c>
      <c r="B226" s="264" t="s">
        <v>4132</v>
      </c>
      <c r="C226" s="264" t="s">
        <v>4133</v>
      </c>
      <c r="D226" s="264" t="s">
        <v>4134</v>
      </c>
      <c r="E226" s="264" t="s">
        <v>4135</v>
      </c>
    </row>
    <row r="227">
      <c r="A227" s="264" t="s">
        <v>4136</v>
      </c>
      <c r="B227" s="264" t="s">
        <v>4137</v>
      </c>
      <c r="C227" s="264" t="s">
        <v>4138</v>
      </c>
      <c r="D227" s="264" t="s">
        <v>4139</v>
      </c>
      <c r="E227" s="264" t="s">
        <v>4140</v>
      </c>
    </row>
    <row r="228">
      <c r="A228" s="264" t="s">
        <v>4141</v>
      </c>
      <c r="B228" s="264" t="s">
        <v>4142</v>
      </c>
      <c r="C228" s="264" t="s">
        <v>4143</v>
      </c>
      <c r="D228" s="264" t="s">
        <v>4144</v>
      </c>
      <c r="E228" s="264" t="s">
        <v>4145</v>
      </c>
    </row>
    <row r="229">
      <c r="A229" s="264" t="s">
        <v>4146</v>
      </c>
      <c r="B229" s="264" t="s">
        <v>4147</v>
      </c>
      <c r="C229" s="264" t="s">
        <v>4148</v>
      </c>
      <c r="D229" s="264" t="s">
        <v>4149</v>
      </c>
      <c r="E229" s="264" t="s">
        <v>4150</v>
      </c>
    </row>
    <row r="230">
      <c r="A230" s="264" t="s">
        <v>4151</v>
      </c>
      <c r="B230" s="264" t="s">
        <v>4152</v>
      </c>
      <c r="C230" s="264" t="s">
        <v>4153</v>
      </c>
      <c r="D230" s="264" t="s">
        <v>4154</v>
      </c>
      <c r="E230" s="264" t="s">
        <v>4155</v>
      </c>
    </row>
    <row r="231">
      <c r="A231" s="264" t="s">
        <v>4156</v>
      </c>
      <c r="B231" s="264" t="s">
        <v>4157</v>
      </c>
      <c r="C231" s="264" t="s">
        <v>4158</v>
      </c>
      <c r="D231" s="264" t="s">
        <v>4159</v>
      </c>
      <c r="E231" s="264" t="s">
        <v>4160</v>
      </c>
    </row>
    <row r="232">
      <c r="A232" s="264" t="s">
        <v>4161</v>
      </c>
      <c r="B232" s="264" t="s">
        <v>4162</v>
      </c>
      <c r="C232" s="264" t="s">
        <v>4163</v>
      </c>
      <c r="D232" s="264" t="s">
        <v>4164</v>
      </c>
      <c r="E232" s="264" t="s">
        <v>4165</v>
      </c>
    </row>
    <row r="233">
      <c r="A233" s="264" t="s">
        <v>4166</v>
      </c>
      <c r="B233" s="264" t="s">
        <v>4167</v>
      </c>
      <c r="C233" s="264" t="s">
        <v>4168</v>
      </c>
      <c r="D233" s="264" t="s">
        <v>4169</v>
      </c>
      <c r="E233" s="264" t="s">
        <v>4170</v>
      </c>
    </row>
    <row r="234">
      <c r="A234" s="264" t="s">
        <v>4171</v>
      </c>
      <c r="B234" s="264" t="s">
        <v>4172</v>
      </c>
      <c r="C234" s="264" t="s">
        <v>4173</v>
      </c>
      <c r="D234" s="264" t="s">
        <v>4174</v>
      </c>
      <c r="E234" s="264" t="s">
        <v>4175</v>
      </c>
    </row>
    <row r="235">
      <c r="A235" s="264" t="s">
        <v>4176</v>
      </c>
      <c r="B235" s="264" t="s">
        <v>4177</v>
      </c>
      <c r="C235" s="264" t="s">
        <v>4178</v>
      </c>
      <c r="D235" s="264" t="s">
        <v>4179</v>
      </c>
      <c r="E235" s="264" t="s">
        <v>4180</v>
      </c>
    </row>
    <row r="236">
      <c r="A236" s="264" t="s">
        <v>4181</v>
      </c>
      <c r="B236" s="264" t="s">
        <v>4182</v>
      </c>
      <c r="C236" s="264" t="s">
        <v>4183</v>
      </c>
      <c r="D236" s="264" t="s">
        <v>4184</v>
      </c>
      <c r="E236" s="264" t="s">
        <v>4185</v>
      </c>
    </row>
    <row r="237">
      <c r="A237" s="264" t="s">
        <v>4186</v>
      </c>
      <c r="B237" s="264" t="s">
        <v>4187</v>
      </c>
      <c r="C237" s="264" t="s">
        <v>4188</v>
      </c>
      <c r="D237" s="264" t="s">
        <v>4189</v>
      </c>
      <c r="E237" s="264" t="s">
        <v>4190</v>
      </c>
    </row>
    <row r="238">
      <c r="A238" s="264" t="s">
        <v>4191</v>
      </c>
      <c r="B238" s="264" t="s">
        <v>4192</v>
      </c>
      <c r="C238" s="264" t="s">
        <v>4193</v>
      </c>
      <c r="D238" s="264" t="s">
        <v>4194</v>
      </c>
      <c r="E238" s="264" t="s">
        <v>4195</v>
      </c>
    </row>
    <row r="239">
      <c r="A239" s="264" t="s">
        <v>4196</v>
      </c>
      <c r="B239" s="264" t="s">
        <v>4197</v>
      </c>
      <c r="C239" s="264" t="s">
        <v>4198</v>
      </c>
      <c r="D239" s="264" t="s">
        <v>4199</v>
      </c>
      <c r="E239" s="264" t="s">
        <v>4200</v>
      </c>
    </row>
    <row r="240">
      <c r="A240" s="264" t="s">
        <v>4201</v>
      </c>
      <c r="B240" s="264" t="s">
        <v>4202</v>
      </c>
      <c r="C240" s="264" t="s">
        <v>4203</v>
      </c>
      <c r="D240" s="264" t="s">
        <v>4204</v>
      </c>
      <c r="E240" s="264" t="s">
        <v>4205</v>
      </c>
    </row>
    <row r="241">
      <c r="A241" s="264" t="s">
        <v>4206</v>
      </c>
      <c r="B241" s="264" t="s">
        <v>4207</v>
      </c>
      <c r="C241" s="264" t="s">
        <v>4208</v>
      </c>
      <c r="D241" s="264" t="s">
        <v>4209</v>
      </c>
      <c r="E241" s="264" t="s">
        <v>4210</v>
      </c>
    </row>
    <row r="242">
      <c r="A242" s="264" t="s">
        <v>4211</v>
      </c>
      <c r="B242" s="264" t="s">
        <v>4212</v>
      </c>
      <c r="C242" s="264" t="s">
        <v>4213</v>
      </c>
      <c r="D242" s="264" t="s">
        <v>4214</v>
      </c>
      <c r="E242" s="264" t="s">
        <v>4215</v>
      </c>
    </row>
    <row r="243">
      <c r="A243" s="264" t="s">
        <v>4216</v>
      </c>
      <c r="B243" s="264" t="s">
        <v>4217</v>
      </c>
      <c r="C243" s="264" t="s">
        <v>4218</v>
      </c>
      <c r="D243" s="264" t="s">
        <v>4219</v>
      </c>
      <c r="E243" s="264" t="s">
        <v>4220</v>
      </c>
    </row>
    <row r="244">
      <c r="A244" s="264" t="s">
        <v>4221</v>
      </c>
      <c r="B244" s="264" t="s">
        <v>4222</v>
      </c>
      <c r="C244" s="264" t="s">
        <v>4223</v>
      </c>
      <c r="D244" s="264" t="s">
        <v>4224</v>
      </c>
      <c r="E244" s="264" t="s">
        <v>4225</v>
      </c>
    </row>
    <row r="245">
      <c r="A245" s="264" t="s">
        <v>4226</v>
      </c>
      <c r="B245" s="264" t="s">
        <v>4227</v>
      </c>
      <c r="C245" s="264" t="s">
        <v>4228</v>
      </c>
      <c r="D245" s="264" t="s">
        <v>4229</v>
      </c>
      <c r="E245" s="264" t="s">
        <v>4230</v>
      </c>
    </row>
    <row r="246">
      <c r="A246" s="264" t="s">
        <v>4231</v>
      </c>
      <c r="B246" s="264" t="s">
        <v>4232</v>
      </c>
      <c r="C246" s="264" t="s">
        <v>4233</v>
      </c>
      <c r="D246" s="264" t="s">
        <v>4234</v>
      </c>
      <c r="E246" s="264" t="s">
        <v>4235</v>
      </c>
    </row>
    <row r="247">
      <c r="A247" s="264" t="s">
        <v>4236</v>
      </c>
      <c r="B247" s="264" t="s">
        <v>4237</v>
      </c>
      <c r="C247" s="264" t="s">
        <v>4238</v>
      </c>
      <c r="D247" s="264" t="s">
        <v>4239</v>
      </c>
      <c r="E247" s="264" t="s">
        <v>4240</v>
      </c>
    </row>
    <row r="248">
      <c r="A248" s="264" t="s">
        <v>4241</v>
      </c>
      <c r="B248" s="264" t="s">
        <v>4242</v>
      </c>
      <c r="C248" s="264" t="s">
        <v>4243</v>
      </c>
      <c r="D248" s="264" t="s">
        <v>4244</v>
      </c>
      <c r="E248" s="264" t="s">
        <v>4245</v>
      </c>
    </row>
    <row r="249">
      <c r="A249" s="264" t="s">
        <v>4246</v>
      </c>
      <c r="B249" s="264" t="s">
        <v>4247</v>
      </c>
      <c r="C249" s="264" t="s">
        <v>4248</v>
      </c>
      <c r="D249" s="264" t="s">
        <v>4249</v>
      </c>
      <c r="E249" s="264" t="s">
        <v>4250</v>
      </c>
    </row>
    <row r="250">
      <c r="A250" s="264" t="s">
        <v>4251</v>
      </c>
      <c r="B250" s="264" t="s">
        <v>4252</v>
      </c>
      <c r="C250" s="264" t="s">
        <v>4253</v>
      </c>
      <c r="D250" s="264" t="s">
        <v>4254</v>
      </c>
      <c r="E250" s="264" t="s">
        <v>4255</v>
      </c>
    </row>
    <row r="251">
      <c r="A251" s="264" t="s">
        <v>4256</v>
      </c>
      <c r="B251" s="264" t="s">
        <v>4257</v>
      </c>
      <c r="C251" s="264" t="s">
        <v>4258</v>
      </c>
      <c r="D251" s="264" t="s">
        <v>4259</v>
      </c>
      <c r="E251" s="264" t="s">
        <v>4260</v>
      </c>
    </row>
    <row r="252">
      <c r="A252" s="264" t="s">
        <v>4261</v>
      </c>
      <c r="B252" s="264" t="s">
        <v>4262</v>
      </c>
      <c r="C252" s="264" t="s">
        <v>4263</v>
      </c>
      <c r="D252" s="264" t="s">
        <v>4264</v>
      </c>
      <c r="E252" s="264" t="s">
        <v>4265</v>
      </c>
    </row>
    <row r="253">
      <c r="A253" s="264" t="s">
        <v>4266</v>
      </c>
      <c r="B253" s="264" t="s">
        <v>4267</v>
      </c>
      <c r="C253" s="264" t="s">
        <v>4268</v>
      </c>
      <c r="D253" s="264" t="s">
        <v>4269</v>
      </c>
      <c r="E253" s="264" t="s">
        <v>4270</v>
      </c>
    </row>
    <row r="254">
      <c r="A254" s="264" t="s">
        <v>4271</v>
      </c>
      <c r="B254" s="264" t="s">
        <v>4272</v>
      </c>
      <c r="C254" s="264" t="s">
        <v>4273</v>
      </c>
      <c r="D254" s="264" t="s">
        <v>4274</v>
      </c>
      <c r="E254" s="264" t="s">
        <v>4275</v>
      </c>
    </row>
    <row r="255">
      <c r="A255" s="264" t="s">
        <v>4276</v>
      </c>
      <c r="B255" s="264" t="s">
        <v>4277</v>
      </c>
      <c r="C255" s="264" t="s">
        <v>4278</v>
      </c>
      <c r="D255" s="264" t="s">
        <v>4279</v>
      </c>
      <c r="E255" s="264" t="s">
        <v>4280</v>
      </c>
    </row>
    <row r="256">
      <c r="A256" s="264" t="s">
        <v>4281</v>
      </c>
      <c r="B256" s="264" t="s">
        <v>4282</v>
      </c>
      <c r="C256" s="264" t="s">
        <v>4283</v>
      </c>
      <c r="D256" s="264" t="s">
        <v>4284</v>
      </c>
      <c r="E256" s="264" t="s">
        <v>4285</v>
      </c>
    </row>
    <row r="257">
      <c r="A257" s="264" t="s">
        <v>4286</v>
      </c>
      <c r="B257" s="264" t="s">
        <v>4287</v>
      </c>
      <c r="C257" s="264" t="s">
        <v>4288</v>
      </c>
      <c r="D257" s="264" t="s">
        <v>4289</v>
      </c>
      <c r="E257" s="264" t="s">
        <v>4290</v>
      </c>
    </row>
    <row r="258">
      <c r="A258" s="264" t="s">
        <v>4291</v>
      </c>
      <c r="B258" s="264" t="s">
        <v>4292</v>
      </c>
      <c r="C258" s="264" t="s">
        <v>4293</v>
      </c>
      <c r="D258" s="264" t="s">
        <v>4294</v>
      </c>
      <c r="E258" s="264" t="s">
        <v>4295</v>
      </c>
    </row>
    <row r="259">
      <c r="A259" s="264" t="s">
        <v>4296</v>
      </c>
      <c r="B259" s="264" t="s">
        <v>4297</v>
      </c>
      <c r="C259" s="264" t="s">
        <v>4298</v>
      </c>
      <c r="D259" s="264" t="s">
        <v>4299</v>
      </c>
      <c r="E259" s="264" t="s">
        <v>4300</v>
      </c>
    </row>
    <row r="260">
      <c r="A260" s="264" t="s">
        <v>4301</v>
      </c>
      <c r="B260" s="264" t="s">
        <v>4302</v>
      </c>
      <c r="C260" s="264" t="s">
        <v>4303</v>
      </c>
      <c r="D260" s="264" t="s">
        <v>4304</v>
      </c>
      <c r="E260" s="264" t="s">
        <v>4305</v>
      </c>
    </row>
    <row r="261">
      <c r="A261" s="264" t="s">
        <v>4306</v>
      </c>
      <c r="B261" s="264" t="s">
        <v>4307</v>
      </c>
      <c r="C261" s="264" t="s">
        <v>4308</v>
      </c>
      <c r="D261" s="264" t="s">
        <v>4309</v>
      </c>
      <c r="E261" s="264" t="s">
        <v>4310</v>
      </c>
    </row>
    <row r="262">
      <c r="A262" s="264" t="s">
        <v>4311</v>
      </c>
      <c r="B262" s="264" t="s">
        <v>4312</v>
      </c>
      <c r="C262" s="264" t="s">
        <v>4313</v>
      </c>
      <c r="D262" s="264" t="s">
        <v>4314</v>
      </c>
      <c r="E262" s="264" t="s">
        <v>4315</v>
      </c>
    </row>
    <row r="263">
      <c r="A263" s="264" t="s">
        <v>4316</v>
      </c>
      <c r="B263" s="264" t="s">
        <v>4317</v>
      </c>
      <c r="C263" s="264" t="s">
        <v>4318</v>
      </c>
      <c r="D263" s="264" t="s">
        <v>4319</v>
      </c>
      <c r="E263" s="264" t="s">
        <v>4320</v>
      </c>
    </row>
    <row r="264">
      <c r="A264" s="264" t="s">
        <v>4321</v>
      </c>
      <c r="B264" s="264" t="s">
        <v>4322</v>
      </c>
      <c r="C264" s="264" t="s">
        <v>4323</v>
      </c>
      <c r="D264" s="264" t="s">
        <v>4324</v>
      </c>
      <c r="E264" s="264" t="s">
        <v>4325</v>
      </c>
    </row>
    <row r="265">
      <c r="A265" s="264" t="s">
        <v>4326</v>
      </c>
      <c r="B265" s="264" t="s">
        <v>4327</v>
      </c>
      <c r="C265" s="264" t="s">
        <v>4328</v>
      </c>
      <c r="D265" s="264" t="s">
        <v>4329</v>
      </c>
      <c r="E265" s="264" t="s">
        <v>4330</v>
      </c>
    </row>
    <row r="266">
      <c r="A266" s="264" t="s">
        <v>4331</v>
      </c>
      <c r="B266" s="264" t="s">
        <v>4332</v>
      </c>
      <c r="C266" s="264" t="s">
        <v>4333</v>
      </c>
      <c r="D266" s="264" t="s">
        <v>4334</v>
      </c>
      <c r="E266" s="264" t="s">
        <v>4335</v>
      </c>
    </row>
    <row r="267">
      <c r="A267" s="264" t="s">
        <v>4336</v>
      </c>
      <c r="B267" s="264" t="s">
        <v>4337</v>
      </c>
      <c r="C267" s="264" t="s">
        <v>4338</v>
      </c>
      <c r="D267" s="264" t="s">
        <v>4339</v>
      </c>
      <c r="E267" s="264" t="s">
        <v>4340</v>
      </c>
    </row>
    <row r="268">
      <c r="A268" s="264" t="s">
        <v>4341</v>
      </c>
      <c r="B268" s="264" t="s">
        <v>4342</v>
      </c>
      <c r="C268" s="264" t="s">
        <v>4343</v>
      </c>
      <c r="D268" s="264" t="s">
        <v>4344</v>
      </c>
      <c r="E268" s="264" t="s">
        <v>4345</v>
      </c>
    </row>
    <row r="269">
      <c r="A269" s="264" t="s">
        <v>4346</v>
      </c>
      <c r="B269" s="264" t="s">
        <v>4347</v>
      </c>
      <c r="C269" s="264" t="s">
        <v>4348</v>
      </c>
      <c r="D269" s="264" t="s">
        <v>4349</v>
      </c>
      <c r="E269" s="264" t="s">
        <v>4350</v>
      </c>
    </row>
    <row r="270">
      <c r="A270" s="264" t="s">
        <v>4351</v>
      </c>
      <c r="B270" s="264" t="s">
        <v>4352</v>
      </c>
      <c r="C270" s="264" t="s">
        <v>4353</v>
      </c>
      <c r="D270" s="264" t="s">
        <v>4354</v>
      </c>
      <c r="E270" s="264" t="s">
        <v>4355</v>
      </c>
    </row>
    <row r="271">
      <c r="A271" s="264" t="s">
        <v>4356</v>
      </c>
      <c r="B271" s="264" t="s">
        <v>4357</v>
      </c>
      <c r="C271" s="264" t="s">
        <v>4358</v>
      </c>
      <c r="D271" s="264" t="s">
        <v>4359</v>
      </c>
      <c r="E271" s="264" t="s">
        <v>4360</v>
      </c>
    </row>
    <row r="272">
      <c r="A272" s="264" t="s">
        <v>4361</v>
      </c>
      <c r="B272" s="264" t="s">
        <v>4362</v>
      </c>
      <c r="C272" s="264" t="s">
        <v>4363</v>
      </c>
      <c r="D272" s="264" t="s">
        <v>4364</v>
      </c>
      <c r="E272" s="264" t="s">
        <v>4365</v>
      </c>
    </row>
    <row r="273">
      <c r="A273" s="264" t="s">
        <v>4366</v>
      </c>
      <c r="B273" s="264" t="s">
        <v>4367</v>
      </c>
      <c r="C273" s="264" t="s">
        <v>4368</v>
      </c>
      <c r="D273" s="264" t="s">
        <v>4369</v>
      </c>
      <c r="E273" s="264" t="s">
        <v>4370</v>
      </c>
    </row>
    <row r="274">
      <c r="A274" s="264" t="s">
        <v>4371</v>
      </c>
      <c r="B274" s="264" t="s">
        <v>4372</v>
      </c>
      <c r="C274" s="264" t="s">
        <v>4373</v>
      </c>
      <c r="D274" s="264" t="s">
        <v>4374</v>
      </c>
      <c r="E274" s="264" t="s">
        <v>4375</v>
      </c>
    </row>
    <row r="275">
      <c r="A275" s="264" t="s">
        <v>4376</v>
      </c>
      <c r="B275" s="264" t="s">
        <v>4377</v>
      </c>
      <c r="C275" s="264" t="s">
        <v>4378</v>
      </c>
      <c r="D275" s="264" t="s">
        <v>4379</v>
      </c>
      <c r="E275" s="264" t="s">
        <v>4380</v>
      </c>
    </row>
    <row r="276">
      <c r="A276" s="264" t="s">
        <v>4381</v>
      </c>
      <c r="B276" s="264" t="s">
        <v>4382</v>
      </c>
      <c r="C276" s="264" t="s">
        <v>4383</v>
      </c>
      <c r="D276" s="264" t="s">
        <v>4384</v>
      </c>
      <c r="E276" s="264" t="s">
        <v>4385</v>
      </c>
    </row>
    <row r="277">
      <c r="A277" s="264" t="s">
        <v>4386</v>
      </c>
      <c r="B277" s="264" t="s">
        <v>4387</v>
      </c>
      <c r="C277" s="264" t="s">
        <v>4388</v>
      </c>
      <c r="D277" s="264" t="s">
        <v>4389</v>
      </c>
      <c r="E277" s="264" t="s">
        <v>4390</v>
      </c>
    </row>
    <row r="278">
      <c r="A278" s="264" t="s">
        <v>4391</v>
      </c>
      <c r="B278" s="264" t="s">
        <v>4392</v>
      </c>
      <c r="C278" s="264" t="s">
        <v>4393</v>
      </c>
      <c r="D278" s="264" t="s">
        <v>4394</v>
      </c>
      <c r="E278" s="264" t="s">
        <v>4395</v>
      </c>
    </row>
    <row r="279">
      <c r="A279" s="264" t="s">
        <v>4396</v>
      </c>
      <c r="B279" s="264" t="s">
        <v>4397</v>
      </c>
      <c r="C279" s="264" t="s">
        <v>4398</v>
      </c>
      <c r="D279" s="264" t="s">
        <v>4399</v>
      </c>
      <c r="E279" s="264" t="s">
        <v>4400</v>
      </c>
    </row>
    <row r="280">
      <c r="A280" s="264" t="s">
        <v>4401</v>
      </c>
      <c r="B280" s="264" t="s">
        <v>4402</v>
      </c>
      <c r="C280" s="264" t="s">
        <v>4403</v>
      </c>
      <c r="D280" s="264" t="s">
        <v>4404</v>
      </c>
      <c r="E280" s="264" t="s">
        <v>4405</v>
      </c>
    </row>
    <row r="281">
      <c r="A281" s="264" t="s">
        <v>4406</v>
      </c>
      <c r="B281" s="264" t="s">
        <v>4407</v>
      </c>
      <c r="C281" s="264" t="s">
        <v>4408</v>
      </c>
      <c r="D281" s="264" t="s">
        <v>4409</v>
      </c>
      <c r="E281" s="264" t="s">
        <v>4410</v>
      </c>
    </row>
    <row r="282">
      <c r="A282" s="264" t="s">
        <v>4411</v>
      </c>
      <c r="B282" s="264" t="s">
        <v>4412</v>
      </c>
      <c r="C282" s="264" t="s">
        <v>4413</v>
      </c>
      <c r="D282" s="264" t="s">
        <v>4414</v>
      </c>
      <c r="E282" s="264" t="s">
        <v>4415</v>
      </c>
    </row>
    <row r="283">
      <c r="A283" s="264" t="s">
        <v>4416</v>
      </c>
      <c r="B283" s="264" t="s">
        <v>4417</v>
      </c>
      <c r="C283" s="264" t="s">
        <v>4418</v>
      </c>
      <c r="D283" s="264" t="s">
        <v>4419</v>
      </c>
      <c r="E283" s="264" t="s">
        <v>4420</v>
      </c>
    </row>
    <row r="284">
      <c r="A284" s="264" t="s">
        <v>4421</v>
      </c>
      <c r="B284" s="264" t="s">
        <v>4422</v>
      </c>
      <c r="C284" s="264" t="s">
        <v>4423</v>
      </c>
      <c r="D284" s="264" t="s">
        <v>4424</v>
      </c>
      <c r="E284" s="264" t="s">
        <v>4425</v>
      </c>
    </row>
    <row r="285">
      <c r="A285" s="264" t="s">
        <v>4426</v>
      </c>
      <c r="B285" s="264" t="s">
        <v>4427</v>
      </c>
      <c r="C285" s="264" t="s">
        <v>4428</v>
      </c>
      <c r="D285" s="264" t="s">
        <v>4429</v>
      </c>
      <c r="E285" s="264" t="s">
        <v>4430</v>
      </c>
    </row>
    <row r="286">
      <c r="A286" s="264" t="s">
        <v>4431</v>
      </c>
      <c r="B286" s="264" t="s">
        <v>4432</v>
      </c>
      <c r="C286" s="264" t="s">
        <v>4433</v>
      </c>
      <c r="D286" s="264" t="s">
        <v>4434</v>
      </c>
      <c r="E286" s="264" t="s">
        <v>4435</v>
      </c>
    </row>
    <row r="287">
      <c r="A287" s="264" t="s">
        <v>4436</v>
      </c>
      <c r="B287" s="264" t="s">
        <v>4437</v>
      </c>
      <c r="C287" s="264" t="s">
        <v>4438</v>
      </c>
      <c r="D287" s="264" t="s">
        <v>4439</v>
      </c>
      <c r="E287" s="264" t="s">
        <v>4440</v>
      </c>
    </row>
    <row r="288">
      <c r="A288" s="264" t="s">
        <v>4441</v>
      </c>
      <c r="B288" s="264" t="s">
        <v>4442</v>
      </c>
      <c r="C288" s="264" t="s">
        <v>4443</v>
      </c>
      <c r="D288" s="264" t="s">
        <v>4444</v>
      </c>
      <c r="E288" s="264" t="s">
        <v>4445</v>
      </c>
    </row>
    <row r="289">
      <c r="A289" s="264" t="s">
        <v>4446</v>
      </c>
      <c r="B289" s="264" t="s">
        <v>4447</v>
      </c>
      <c r="C289" s="264" t="s">
        <v>4448</v>
      </c>
      <c r="D289" s="264" t="s">
        <v>4449</v>
      </c>
      <c r="E289" s="264" t="s">
        <v>4450</v>
      </c>
    </row>
    <row r="290">
      <c r="A290" s="264" t="s">
        <v>4451</v>
      </c>
      <c r="B290" s="264" t="s">
        <v>4452</v>
      </c>
      <c r="C290" s="264" t="s">
        <v>4453</v>
      </c>
      <c r="D290" s="264" t="s">
        <v>4454</v>
      </c>
      <c r="E290" s="264" t="s">
        <v>4455</v>
      </c>
    </row>
    <row r="291">
      <c r="A291" s="264" t="s">
        <v>4456</v>
      </c>
      <c r="B291" s="264" t="s">
        <v>4457</v>
      </c>
      <c r="C291" s="264" t="s">
        <v>4458</v>
      </c>
      <c r="D291" s="264" t="s">
        <v>4459</v>
      </c>
      <c r="E291" s="264" t="s">
        <v>4460</v>
      </c>
    </row>
    <row r="292">
      <c r="A292" s="264" t="s">
        <v>4461</v>
      </c>
      <c r="B292" s="264" t="s">
        <v>4462</v>
      </c>
      <c r="C292" s="264" t="s">
        <v>4463</v>
      </c>
      <c r="D292" s="264" t="s">
        <v>4464</v>
      </c>
      <c r="E292" s="264" t="s">
        <v>4465</v>
      </c>
    </row>
    <row r="293">
      <c r="A293" s="264" t="s">
        <v>4466</v>
      </c>
      <c r="B293" s="264" t="s">
        <v>4467</v>
      </c>
      <c r="C293" s="264" t="s">
        <v>4468</v>
      </c>
      <c r="D293" s="264" t="s">
        <v>4469</v>
      </c>
      <c r="E293" s="264" t="s">
        <v>4470</v>
      </c>
    </row>
    <row r="294">
      <c r="A294" s="264" t="s">
        <v>4471</v>
      </c>
      <c r="B294" s="264" t="s">
        <v>4472</v>
      </c>
      <c r="C294" s="264" t="s">
        <v>4473</v>
      </c>
      <c r="D294" s="264" t="s">
        <v>4474</v>
      </c>
      <c r="E294" s="264" t="s">
        <v>4475</v>
      </c>
    </row>
    <row r="295">
      <c r="A295" s="264" t="s">
        <v>4476</v>
      </c>
      <c r="B295" s="264" t="s">
        <v>4477</v>
      </c>
      <c r="C295" s="264" t="s">
        <v>4478</v>
      </c>
      <c r="D295" s="264" t="s">
        <v>4479</v>
      </c>
      <c r="E295" s="264" t="s">
        <v>4480</v>
      </c>
    </row>
    <row r="296">
      <c r="A296" s="264" t="s">
        <v>4481</v>
      </c>
      <c r="B296" s="264" t="s">
        <v>4482</v>
      </c>
      <c r="C296" s="264" t="s">
        <v>4483</v>
      </c>
      <c r="D296" s="264" t="s">
        <v>4484</v>
      </c>
      <c r="E296" s="264" t="s">
        <v>4485</v>
      </c>
    </row>
    <row r="297">
      <c r="A297" s="264" t="s">
        <v>4486</v>
      </c>
      <c r="B297" s="264" t="s">
        <v>4487</v>
      </c>
      <c r="C297" s="264" t="s">
        <v>4488</v>
      </c>
      <c r="D297" s="264" t="s">
        <v>4489</v>
      </c>
      <c r="E297" s="264" t="s">
        <v>4490</v>
      </c>
    </row>
    <row r="298">
      <c r="A298" s="264" t="s">
        <v>4491</v>
      </c>
      <c r="B298" s="264" t="s">
        <v>4492</v>
      </c>
      <c r="C298" s="264" t="s">
        <v>4493</v>
      </c>
      <c r="D298" s="264" t="s">
        <v>4494</v>
      </c>
      <c r="E298" s="264" t="s">
        <v>4495</v>
      </c>
    </row>
    <row r="299">
      <c r="A299" s="264" t="s">
        <v>4496</v>
      </c>
      <c r="B299" s="264" t="s">
        <v>4497</v>
      </c>
      <c r="C299" s="264" t="s">
        <v>4498</v>
      </c>
      <c r="D299" s="264" t="s">
        <v>4499</v>
      </c>
      <c r="E299" s="264" t="s">
        <v>4500</v>
      </c>
    </row>
    <row r="300">
      <c r="A300" s="264" t="s">
        <v>4501</v>
      </c>
      <c r="B300" s="264" t="s">
        <v>4502</v>
      </c>
      <c r="C300" s="264" t="s">
        <v>4503</v>
      </c>
      <c r="D300" s="264" t="s">
        <v>4504</v>
      </c>
      <c r="E300" s="264" t="s">
        <v>4505</v>
      </c>
    </row>
    <row r="301">
      <c r="A301" s="264" t="s">
        <v>4506</v>
      </c>
      <c r="B301" s="264" t="s">
        <v>4507</v>
      </c>
      <c r="C301" s="264" t="s">
        <v>4508</v>
      </c>
      <c r="D301" s="264" t="s">
        <v>4509</v>
      </c>
      <c r="E301" s="264" t="s">
        <v>4510</v>
      </c>
    </row>
    <row r="302">
      <c r="A302" s="264" t="s">
        <v>4511</v>
      </c>
      <c r="B302" s="264" t="s">
        <v>4512</v>
      </c>
      <c r="C302" s="264" t="s">
        <v>4513</v>
      </c>
      <c r="D302" s="264" t="s">
        <v>4514</v>
      </c>
      <c r="E302" s="264" t="s">
        <v>4515</v>
      </c>
    </row>
    <row r="303">
      <c r="A303" s="264" t="s">
        <v>4516</v>
      </c>
      <c r="B303" s="264" t="s">
        <v>4517</v>
      </c>
      <c r="C303" s="264" t="s">
        <v>4518</v>
      </c>
      <c r="D303" s="264" t="s">
        <v>4519</v>
      </c>
      <c r="E303" s="264" t="s">
        <v>4520</v>
      </c>
    </row>
    <row r="304">
      <c r="A304" s="264" t="s">
        <v>4521</v>
      </c>
      <c r="B304" s="264" t="s">
        <v>4522</v>
      </c>
      <c r="C304" s="264" t="s">
        <v>4523</v>
      </c>
      <c r="D304" s="264" t="s">
        <v>4524</v>
      </c>
      <c r="E304" s="264" t="s">
        <v>4525</v>
      </c>
    </row>
    <row r="305">
      <c r="A305" s="264" t="s">
        <v>4526</v>
      </c>
      <c r="B305" s="264" t="s">
        <v>4527</v>
      </c>
      <c r="C305" s="264" t="s">
        <v>4528</v>
      </c>
      <c r="D305" s="264" t="s">
        <v>4529</v>
      </c>
      <c r="E305" s="264" t="s">
        <v>4530</v>
      </c>
    </row>
    <row r="306">
      <c r="A306" s="264" t="s">
        <v>4531</v>
      </c>
      <c r="B306" s="264" t="s">
        <v>4532</v>
      </c>
      <c r="C306" s="264" t="s">
        <v>4533</v>
      </c>
      <c r="D306" s="264" t="s">
        <v>4534</v>
      </c>
      <c r="E306" s="264" t="s">
        <v>4535</v>
      </c>
    </row>
    <row r="307">
      <c r="A307" s="264" t="s">
        <v>4536</v>
      </c>
      <c r="B307" s="264" t="s">
        <v>4537</v>
      </c>
      <c r="C307" s="264" t="s">
        <v>4538</v>
      </c>
      <c r="D307" s="264" t="s">
        <v>4539</v>
      </c>
      <c r="E307" s="264" t="s">
        <v>4540</v>
      </c>
    </row>
    <row r="308">
      <c r="A308" s="264" t="s">
        <v>4541</v>
      </c>
      <c r="B308" s="264" t="s">
        <v>4542</v>
      </c>
      <c r="C308" s="264" t="s">
        <v>4543</v>
      </c>
      <c r="D308" s="264" t="s">
        <v>4544</v>
      </c>
      <c r="E308" s="264" t="s">
        <v>4545</v>
      </c>
    </row>
    <row r="309">
      <c r="A309" s="264" t="s">
        <v>4546</v>
      </c>
      <c r="B309" s="264" t="s">
        <v>4547</v>
      </c>
      <c r="C309" s="264" t="s">
        <v>4548</v>
      </c>
      <c r="D309" s="264" t="s">
        <v>4549</v>
      </c>
      <c r="E309" s="264" t="s">
        <v>4550</v>
      </c>
    </row>
    <row r="310">
      <c r="A310" s="264" t="s">
        <v>4551</v>
      </c>
      <c r="B310" s="264" t="s">
        <v>4552</v>
      </c>
      <c r="C310" s="264" t="s">
        <v>4553</v>
      </c>
      <c r="D310" s="264" t="s">
        <v>4554</v>
      </c>
      <c r="E310" s="264" t="s">
        <v>4555</v>
      </c>
    </row>
    <row r="311">
      <c r="A311" s="264" t="s">
        <v>4556</v>
      </c>
      <c r="B311" s="264" t="s">
        <v>4557</v>
      </c>
      <c r="C311" s="264" t="s">
        <v>4558</v>
      </c>
      <c r="D311" s="264" t="s">
        <v>4559</v>
      </c>
      <c r="E311" s="264" t="s">
        <v>4560</v>
      </c>
    </row>
    <row r="312">
      <c r="A312" s="264" t="s">
        <v>4561</v>
      </c>
      <c r="B312" s="264" t="s">
        <v>4562</v>
      </c>
      <c r="C312" s="264" t="s">
        <v>4563</v>
      </c>
      <c r="D312" s="264" t="s">
        <v>4564</v>
      </c>
      <c r="E312" s="264" t="s">
        <v>4565</v>
      </c>
    </row>
    <row r="313">
      <c r="A313" s="264" t="s">
        <v>4566</v>
      </c>
      <c r="B313" s="264" t="s">
        <v>4567</v>
      </c>
      <c r="C313" s="264" t="s">
        <v>4568</v>
      </c>
      <c r="D313" s="264" t="s">
        <v>4569</v>
      </c>
      <c r="E313" s="264" t="s">
        <v>4570</v>
      </c>
    </row>
    <row r="314">
      <c r="A314" s="264" t="s">
        <v>4571</v>
      </c>
      <c r="B314" s="264" t="s">
        <v>4572</v>
      </c>
      <c r="C314" s="264" t="s">
        <v>4573</v>
      </c>
      <c r="D314" s="264" t="s">
        <v>4574</v>
      </c>
      <c r="E314" s="264" t="s">
        <v>4575</v>
      </c>
    </row>
    <row r="315">
      <c r="A315" s="264" t="s">
        <v>4576</v>
      </c>
      <c r="B315" s="264" t="s">
        <v>4577</v>
      </c>
      <c r="C315" s="264" t="s">
        <v>4578</v>
      </c>
      <c r="D315" s="264" t="s">
        <v>4579</v>
      </c>
      <c r="E315" s="264" t="s">
        <v>4580</v>
      </c>
    </row>
    <row r="316">
      <c r="A316" s="264" t="s">
        <v>4581</v>
      </c>
      <c r="B316" s="264" t="s">
        <v>4582</v>
      </c>
      <c r="C316" s="264" t="s">
        <v>4583</v>
      </c>
      <c r="D316" s="264" t="s">
        <v>4584</v>
      </c>
      <c r="E316" s="264" t="s">
        <v>4585</v>
      </c>
    </row>
    <row r="317">
      <c r="A317" s="264" t="s">
        <v>4586</v>
      </c>
      <c r="B317" s="264" t="s">
        <v>4587</v>
      </c>
      <c r="C317" s="264" t="s">
        <v>4588</v>
      </c>
      <c r="D317" s="264" t="s">
        <v>4589</v>
      </c>
      <c r="E317" s="264" t="s">
        <v>4590</v>
      </c>
    </row>
    <row r="318">
      <c r="A318" s="264" t="s">
        <v>4591</v>
      </c>
      <c r="B318" s="264" t="s">
        <v>4592</v>
      </c>
      <c r="C318" s="264" t="s">
        <v>4593</v>
      </c>
      <c r="D318" s="264" t="s">
        <v>4594</v>
      </c>
      <c r="E318" s="264" t="s">
        <v>4595</v>
      </c>
    </row>
    <row r="319">
      <c r="A319" s="264" t="s">
        <v>4596</v>
      </c>
      <c r="B319" s="264" t="s">
        <v>4597</v>
      </c>
      <c r="C319" s="264" t="s">
        <v>4598</v>
      </c>
      <c r="D319" s="264" t="s">
        <v>4599</v>
      </c>
      <c r="E319" s="264" t="s">
        <v>4600</v>
      </c>
    </row>
    <row r="320">
      <c r="A320" s="264" t="s">
        <v>4601</v>
      </c>
      <c r="B320" s="264" t="s">
        <v>4602</v>
      </c>
      <c r="C320" s="264" t="s">
        <v>4603</v>
      </c>
      <c r="D320" s="264" t="s">
        <v>4604</v>
      </c>
      <c r="E320" s="264" t="s">
        <v>4605</v>
      </c>
    </row>
    <row r="321">
      <c r="A321" s="264" t="s">
        <v>4606</v>
      </c>
      <c r="B321" s="264" t="s">
        <v>4607</v>
      </c>
      <c r="C321" s="264" t="s">
        <v>4608</v>
      </c>
      <c r="D321" s="264" t="s">
        <v>4609</v>
      </c>
      <c r="E321" s="264" t="s">
        <v>4610</v>
      </c>
    </row>
    <row r="322">
      <c r="A322" s="264" t="s">
        <v>4611</v>
      </c>
      <c r="B322" s="264" t="s">
        <v>4612</v>
      </c>
      <c r="C322" s="264" t="s">
        <v>4613</v>
      </c>
      <c r="D322" s="264" t="s">
        <v>4614</v>
      </c>
      <c r="E322" s="264" t="s">
        <v>4615</v>
      </c>
    </row>
    <row r="323">
      <c r="A323" s="264" t="s">
        <v>4616</v>
      </c>
      <c r="B323" s="264" t="s">
        <v>4617</v>
      </c>
      <c r="C323" s="264" t="s">
        <v>4618</v>
      </c>
      <c r="D323" s="264" t="s">
        <v>4619</v>
      </c>
      <c r="E323" s="264" t="s">
        <v>4620</v>
      </c>
    </row>
    <row r="324">
      <c r="A324" s="264" t="s">
        <v>4621</v>
      </c>
      <c r="B324" s="264" t="s">
        <v>4622</v>
      </c>
      <c r="C324" s="264" t="s">
        <v>4623</v>
      </c>
      <c r="D324" s="264" t="s">
        <v>4624</v>
      </c>
      <c r="E324" s="264" t="s">
        <v>4625</v>
      </c>
    </row>
    <row r="325">
      <c r="A325" s="264" t="s">
        <v>4626</v>
      </c>
      <c r="B325" s="264" t="s">
        <v>4627</v>
      </c>
      <c r="C325" s="264" t="s">
        <v>4628</v>
      </c>
      <c r="D325" s="264" t="s">
        <v>4629</v>
      </c>
      <c r="E325" s="264" t="s">
        <v>4630</v>
      </c>
    </row>
    <row r="326">
      <c r="A326" s="264" t="s">
        <v>4631</v>
      </c>
      <c r="B326" s="264" t="s">
        <v>4632</v>
      </c>
      <c r="C326" s="264" t="s">
        <v>4633</v>
      </c>
      <c r="D326" s="264" t="s">
        <v>4634</v>
      </c>
      <c r="E326" s="264" t="s">
        <v>4635</v>
      </c>
    </row>
    <row r="327">
      <c r="A327" s="264" t="s">
        <v>4636</v>
      </c>
      <c r="B327" s="264" t="s">
        <v>4637</v>
      </c>
      <c r="C327" s="264" t="s">
        <v>4638</v>
      </c>
      <c r="D327" s="264" t="s">
        <v>4639</v>
      </c>
      <c r="E327" s="264" t="s">
        <v>4640</v>
      </c>
    </row>
    <row r="328">
      <c r="A328" s="264" t="s">
        <v>4641</v>
      </c>
      <c r="B328" s="264" t="s">
        <v>4642</v>
      </c>
      <c r="C328" s="264" t="s">
        <v>4643</v>
      </c>
      <c r="D328" s="264" t="s">
        <v>4644</v>
      </c>
      <c r="E328" s="264" t="s">
        <v>4645</v>
      </c>
    </row>
    <row r="329">
      <c r="A329" s="264" t="s">
        <v>4646</v>
      </c>
      <c r="B329" s="264" t="s">
        <v>4647</v>
      </c>
      <c r="C329" s="264" t="s">
        <v>4648</v>
      </c>
      <c r="D329" s="264" t="s">
        <v>4649</v>
      </c>
      <c r="E329" s="264" t="s">
        <v>4650</v>
      </c>
    </row>
    <row r="330">
      <c r="A330" s="264" t="s">
        <v>4651</v>
      </c>
      <c r="B330" s="264" t="s">
        <v>4652</v>
      </c>
      <c r="C330" s="264" t="s">
        <v>4653</v>
      </c>
      <c r="D330" s="264" t="s">
        <v>4654</v>
      </c>
      <c r="E330" s="264" t="s">
        <v>4655</v>
      </c>
    </row>
    <row r="331">
      <c r="A331" s="264" t="s">
        <v>4656</v>
      </c>
      <c r="B331" s="264" t="s">
        <v>4657</v>
      </c>
      <c r="C331" s="264" t="s">
        <v>4658</v>
      </c>
      <c r="D331" s="264" t="s">
        <v>4659</v>
      </c>
      <c r="E331" s="264" t="s">
        <v>4660</v>
      </c>
    </row>
    <row r="332">
      <c r="A332" s="264" t="s">
        <v>4661</v>
      </c>
      <c r="B332" s="264" t="s">
        <v>4662</v>
      </c>
      <c r="C332" s="264" t="s">
        <v>4663</v>
      </c>
      <c r="D332" s="264" t="s">
        <v>4664</v>
      </c>
      <c r="E332" s="264" t="s">
        <v>4665</v>
      </c>
    </row>
    <row r="333">
      <c r="A333" s="264" t="s">
        <v>4666</v>
      </c>
      <c r="B333" s="264" t="s">
        <v>4667</v>
      </c>
      <c r="C333" s="264" t="s">
        <v>4668</v>
      </c>
      <c r="D333" s="264" t="s">
        <v>4669</v>
      </c>
      <c r="E333" s="264" t="s">
        <v>4670</v>
      </c>
    </row>
    <row r="334">
      <c r="A334" s="264" t="s">
        <v>4671</v>
      </c>
      <c r="B334" s="264" t="s">
        <v>4672</v>
      </c>
      <c r="C334" s="264" t="s">
        <v>4673</v>
      </c>
      <c r="D334" s="264" t="s">
        <v>4674</v>
      </c>
      <c r="E334" s="264" t="s">
        <v>4675</v>
      </c>
    </row>
    <row r="335">
      <c r="A335" s="264" t="s">
        <v>4676</v>
      </c>
      <c r="B335" s="264" t="s">
        <v>4677</v>
      </c>
      <c r="C335" s="264" t="s">
        <v>4678</v>
      </c>
      <c r="D335" s="264" t="s">
        <v>4679</v>
      </c>
      <c r="E335" s="264" t="s">
        <v>4680</v>
      </c>
    </row>
    <row r="336">
      <c r="A336" s="264" t="s">
        <v>4681</v>
      </c>
      <c r="B336" s="264" t="s">
        <v>4682</v>
      </c>
      <c r="C336" s="264" t="s">
        <v>4683</v>
      </c>
      <c r="D336" s="264" t="s">
        <v>4684</v>
      </c>
      <c r="E336" s="264" t="s">
        <v>4685</v>
      </c>
    </row>
    <row r="337">
      <c r="A337" s="264" t="s">
        <v>4686</v>
      </c>
      <c r="B337" s="264" t="s">
        <v>4687</v>
      </c>
      <c r="C337" s="264" t="s">
        <v>4688</v>
      </c>
      <c r="D337" s="264" t="s">
        <v>4689</v>
      </c>
      <c r="E337" s="264" t="s">
        <v>4690</v>
      </c>
    </row>
    <row r="338">
      <c r="A338" s="264" t="s">
        <v>4691</v>
      </c>
      <c r="B338" s="264" t="s">
        <v>4692</v>
      </c>
      <c r="C338" s="264" t="s">
        <v>4693</v>
      </c>
      <c r="D338" s="264" t="s">
        <v>4694</v>
      </c>
      <c r="E338" s="264" t="s">
        <v>4695</v>
      </c>
    </row>
    <row r="339">
      <c r="A339" s="264" t="s">
        <v>4696</v>
      </c>
      <c r="B339" s="264" t="s">
        <v>4697</v>
      </c>
      <c r="C339" s="264" t="s">
        <v>4698</v>
      </c>
      <c r="D339" s="264" t="s">
        <v>4699</v>
      </c>
      <c r="E339" s="264" t="s">
        <v>4700</v>
      </c>
    </row>
    <row r="340">
      <c r="A340" s="264" t="s">
        <v>4701</v>
      </c>
      <c r="B340" s="264" t="s">
        <v>4702</v>
      </c>
      <c r="C340" s="264" t="s">
        <v>4703</v>
      </c>
      <c r="D340" s="264" t="s">
        <v>4704</v>
      </c>
      <c r="E340" s="264" t="s">
        <v>4705</v>
      </c>
    </row>
    <row r="341">
      <c r="A341" s="264" t="s">
        <v>4706</v>
      </c>
      <c r="B341" s="264" t="s">
        <v>4707</v>
      </c>
      <c r="C341" s="264" t="s">
        <v>4708</v>
      </c>
      <c r="D341" s="264" t="s">
        <v>4709</v>
      </c>
      <c r="E341" s="264" t="s">
        <v>4710</v>
      </c>
    </row>
    <row r="342">
      <c r="A342" s="264" t="s">
        <v>4711</v>
      </c>
      <c r="B342" s="264" t="s">
        <v>4712</v>
      </c>
      <c r="C342" s="264" t="s">
        <v>4713</v>
      </c>
      <c r="D342" s="264" t="s">
        <v>4714</v>
      </c>
      <c r="E342" s="264" t="s">
        <v>4715</v>
      </c>
    </row>
    <row r="343">
      <c r="A343" s="264" t="s">
        <v>4716</v>
      </c>
      <c r="B343" s="264" t="s">
        <v>4717</v>
      </c>
      <c r="C343" s="264" t="s">
        <v>4718</v>
      </c>
      <c r="D343" s="264" t="s">
        <v>4719</v>
      </c>
      <c r="E343" s="264" t="s">
        <v>4720</v>
      </c>
    </row>
    <row r="344">
      <c r="A344" s="264" t="s">
        <v>4721</v>
      </c>
      <c r="B344" s="264" t="s">
        <v>4722</v>
      </c>
      <c r="C344" s="264" t="s">
        <v>4723</v>
      </c>
      <c r="D344" s="264" t="s">
        <v>4724</v>
      </c>
      <c r="E344" s="264" t="s">
        <v>4725</v>
      </c>
    </row>
    <row r="345">
      <c r="A345" s="264" t="s">
        <v>4726</v>
      </c>
      <c r="B345" s="264" t="s">
        <v>4727</v>
      </c>
      <c r="C345" s="264" t="s">
        <v>4728</v>
      </c>
      <c r="D345" s="264" t="s">
        <v>4729</v>
      </c>
      <c r="E345" s="264" t="s">
        <v>4730</v>
      </c>
    </row>
    <row r="346">
      <c r="A346" s="264" t="s">
        <v>4731</v>
      </c>
      <c r="B346" s="264" t="s">
        <v>4732</v>
      </c>
      <c r="C346" s="264" t="s">
        <v>4733</v>
      </c>
      <c r="D346" s="264" t="s">
        <v>4734</v>
      </c>
      <c r="E346" s="264" t="s">
        <v>4735</v>
      </c>
    </row>
    <row r="347">
      <c r="A347" s="264" t="s">
        <v>4736</v>
      </c>
      <c r="B347" s="264" t="s">
        <v>4737</v>
      </c>
      <c r="C347" s="264" t="s">
        <v>4738</v>
      </c>
      <c r="D347" s="264" t="s">
        <v>4739</v>
      </c>
      <c r="E347" s="264" t="s">
        <v>4740</v>
      </c>
    </row>
    <row r="348">
      <c r="A348" s="264" t="s">
        <v>4741</v>
      </c>
      <c r="B348" s="264" t="s">
        <v>4742</v>
      </c>
      <c r="C348" s="264" t="s">
        <v>4743</v>
      </c>
      <c r="D348" s="264" t="s">
        <v>4744</v>
      </c>
      <c r="E348" s="264" t="s">
        <v>4745</v>
      </c>
    </row>
    <row r="349">
      <c r="A349" s="264" t="s">
        <v>4746</v>
      </c>
      <c r="B349" s="264" t="s">
        <v>4747</v>
      </c>
      <c r="C349" s="264" t="s">
        <v>4748</v>
      </c>
      <c r="D349" s="264" t="s">
        <v>4749</v>
      </c>
      <c r="E349" s="264" t="s">
        <v>4750</v>
      </c>
    </row>
    <row r="350">
      <c r="A350" s="264" t="s">
        <v>4751</v>
      </c>
      <c r="B350" s="264" t="s">
        <v>4752</v>
      </c>
      <c r="C350" s="264" t="s">
        <v>4753</v>
      </c>
      <c r="D350" s="264" t="s">
        <v>4754</v>
      </c>
      <c r="E350" s="264" t="s">
        <v>4755</v>
      </c>
    </row>
    <row r="351">
      <c r="A351" s="264" t="s">
        <v>4756</v>
      </c>
      <c r="B351" s="264" t="s">
        <v>4757</v>
      </c>
      <c r="C351" s="264" t="s">
        <v>4758</v>
      </c>
      <c r="D351" s="264" t="s">
        <v>4759</v>
      </c>
      <c r="E351" s="264" t="s">
        <v>4760</v>
      </c>
    </row>
    <row r="352">
      <c r="A352" s="264" t="s">
        <v>4761</v>
      </c>
      <c r="B352" s="264" t="s">
        <v>4762</v>
      </c>
      <c r="C352" s="264" t="s">
        <v>4763</v>
      </c>
      <c r="D352" s="264" t="s">
        <v>4764</v>
      </c>
      <c r="E352" s="264" t="s">
        <v>4765</v>
      </c>
    </row>
    <row r="353">
      <c r="A353" s="264" t="s">
        <v>4766</v>
      </c>
      <c r="B353" s="264" t="s">
        <v>4767</v>
      </c>
      <c r="C353" s="264" t="s">
        <v>4768</v>
      </c>
      <c r="D353" s="264" t="s">
        <v>4769</v>
      </c>
      <c r="E353" s="264" t="s">
        <v>4770</v>
      </c>
    </row>
    <row r="354">
      <c r="A354" s="264" t="s">
        <v>4771</v>
      </c>
      <c r="B354" s="264" t="s">
        <v>4772</v>
      </c>
      <c r="C354" s="264" t="s">
        <v>4773</v>
      </c>
      <c r="D354" s="264" t="s">
        <v>4774</v>
      </c>
      <c r="E354" s="264" t="s">
        <v>4775</v>
      </c>
    </row>
    <row r="355">
      <c r="A355" s="264" t="s">
        <v>4776</v>
      </c>
      <c r="B355" s="264" t="s">
        <v>4777</v>
      </c>
      <c r="C355" s="264" t="s">
        <v>4778</v>
      </c>
      <c r="D355" s="264" t="s">
        <v>4779</v>
      </c>
      <c r="E355" s="264" t="s">
        <v>4780</v>
      </c>
    </row>
    <row r="356">
      <c r="A356" s="264" t="s">
        <v>4781</v>
      </c>
      <c r="B356" s="264" t="s">
        <v>4782</v>
      </c>
      <c r="C356" s="264" t="s">
        <v>4783</v>
      </c>
      <c r="D356" s="264" t="s">
        <v>4784</v>
      </c>
      <c r="E356" s="264" t="s">
        <v>4785</v>
      </c>
    </row>
    <row r="357">
      <c r="A357" s="264" t="s">
        <v>4786</v>
      </c>
      <c r="B357" s="264" t="s">
        <v>4787</v>
      </c>
      <c r="C357" s="264" t="s">
        <v>4788</v>
      </c>
      <c r="D357" s="264" t="s">
        <v>4789</v>
      </c>
      <c r="E357" s="264" t="s">
        <v>4790</v>
      </c>
    </row>
    <row r="358">
      <c r="A358" s="264" t="s">
        <v>4791</v>
      </c>
      <c r="B358" s="264" t="s">
        <v>4792</v>
      </c>
      <c r="C358" s="264" t="s">
        <v>4793</v>
      </c>
      <c r="D358" s="264" t="s">
        <v>4794</v>
      </c>
      <c r="E358" s="264" t="s">
        <v>4795</v>
      </c>
    </row>
    <row r="359">
      <c r="A359" s="264" t="s">
        <v>4796</v>
      </c>
      <c r="B359" s="264" t="s">
        <v>4797</v>
      </c>
      <c r="C359" s="264" t="s">
        <v>4798</v>
      </c>
      <c r="D359" s="264" t="s">
        <v>4799</v>
      </c>
      <c r="E359" s="264" t="s">
        <v>4800</v>
      </c>
    </row>
    <row r="360">
      <c r="A360" s="264" t="s">
        <v>4801</v>
      </c>
      <c r="B360" s="264" t="s">
        <v>4802</v>
      </c>
      <c r="C360" s="264" t="s">
        <v>4803</v>
      </c>
      <c r="D360" s="264" t="s">
        <v>4804</v>
      </c>
      <c r="E360" s="264" t="s">
        <v>4805</v>
      </c>
    </row>
    <row r="361">
      <c r="A361" s="264" t="s">
        <v>4806</v>
      </c>
      <c r="B361" s="264" t="s">
        <v>4807</v>
      </c>
      <c r="C361" s="264" t="s">
        <v>4808</v>
      </c>
      <c r="D361" s="264" t="s">
        <v>4809</v>
      </c>
      <c r="E361" s="264" t="s">
        <v>4810</v>
      </c>
    </row>
    <row r="362">
      <c r="A362" s="264" t="s">
        <v>4811</v>
      </c>
      <c r="B362" s="264" t="s">
        <v>4812</v>
      </c>
      <c r="C362" s="264" t="s">
        <v>4813</v>
      </c>
      <c r="D362" s="264" t="s">
        <v>4814</v>
      </c>
      <c r="E362" s="264" t="s">
        <v>4815</v>
      </c>
    </row>
    <row r="363">
      <c r="A363" s="264" t="s">
        <v>4816</v>
      </c>
      <c r="B363" s="264" t="s">
        <v>4817</v>
      </c>
      <c r="C363" s="264" t="s">
        <v>4818</v>
      </c>
      <c r="D363" s="264" t="s">
        <v>4819</v>
      </c>
      <c r="E363" s="264" t="s">
        <v>4820</v>
      </c>
    </row>
    <row r="364">
      <c r="A364" s="264" t="s">
        <v>4821</v>
      </c>
      <c r="B364" s="264" t="s">
        <v>4822</v>
      </c>
      <c r="C364" s="264" t="s">
        <v>4823</v>
      </c>
      <c r="D364" s="264" t="s">
        <v>4824</v>
      </c>
      <c r="E364" s="264" t="s">
        <v>4825</v>
      </c>
    </row>
    <row r="365">
      <c r="A365" s="264" t="s">
        <v>4826</v>
      </c>
      <c r="B365" s="264" t="s">
        <v>4827</v>
      </c>
      <c r="C365" s="264" t="s">
        <v>4828</v>
      </c>
      <c r="D365" s="264" t="s">
        <v>4829</v>
      </c>
      <c r="E365" s="264" t="s">
        <v>4830</v>
      </c>
    </row>
    <row r="366">
      <c r="A366" s="264" t="s">
        <v>4831</v>
      </c>
      <c r="B366" s="264" t="s">
        <v>4832</v>
      </c>
      <c r="C366" s="264" t="s">
        <v>4833</v>
      </c>
      <c r="D366" s="264" t="s">
        <v>4834</v>
      </c>
      <c r="E366" s="264" t="s">
        <v>4835</v>
      </c>
    </row>
    <row r="367">
      <c r="A367" s="264" t="s">
        <v>4836</v>
      </c>
      <c r="B367" s="264" t="s">
        <v>4837</v>
      </c>
      <c r="C367" s="264" t="s">
        <v>4838</v>
      </c>
      <c r="D367" s="264" t="s">
        <v>4839</v>
      </c>
      <c r="E367" s="264" t="s">
        <v>4840</v>
      </c>
    </row>
    <row r="368">
      <c r="A368" s="264" t="s">
        <v>4841</v>
      </c>
      <c r="B368" s="264" t="s">
        <v>4842</v>
      </c>
      <c r="C368" s="264" t="s">
        <v>4843</v>
      </c>
      <c r="D368" s="264" t="s">
        <v>4844</v>
      </c>
      <c r="E368" s="264" t="s">
        <v>4845</v>
      </c>
    </row>
    <row r="369">
      <c r="A369" s="264" t="s">
        <v>4846</v>
      </c>
      <c r="B369" s="264" t="s">
        <v>4847</v>
      </c>
      <c r="C369" s="264" t="s">
        <v>4848</v>
      </c>
      <c r="D369" s="264" t="s">
        <v>4849</v>
      </c>
      <c r="E369" s="264" t="s">
        <v>4850</v>
      </c>
    </row>
    <row r="370">
      <c r="A370" s="264" t="s">
        <v>4851</v>
      </c>
      <c r="B370" s="264" t="s">
        <v>4852</v>
      </c>
      <c r="C370" s="264" t="s">
        <v>4853</v>
      </c>
      <c r="D370" s="264" t="s">
        <v>4854</v>
      </c>
      <c r="E370" s="264" t="s">
        <v>4855</v>
      </c>
    </row>
    <row r="371">
      <c r="A371" s="264" t="s">
        <v>4856</v>
      </c>
      <c r="B371" s="264" t="s">
        <v>4857</v>
      </c>
      <c r="C371" s="264" t="s">
        <v>4858</v>
      </c>
      <c r="D371" s="264" t="s">
        <v>4859</v>
      </c>
      <c r="E371" s="264" t="s">
        <v>4860</v>
      </c>
    </row>
    <row r="372">
      <c r="A372" s="264" t="s">
        <v>4861</v>
      </c>
      <c r="B372" s="264" t="s">
        <v>4862</v>
      </c>
      <c r="C372" s="264" t="s">
        <v>4863</v>
      </c>
      <c r="D372" s="264" t="s">
        <v>4864</v>
      </c>
      <c r="E372" s="264" t="s">
        <v>4865</v>
      </c>
    </row>
    <row r="373">
      <c r="A373" s="264" t="s">
        <v>4866</v>
      </c>
      <c r="B373" s="264" t="s">
        <v>4867</v>
      </c>
      <c r="C373" s="264" t="s">
        <v>4868</v>
      </c>
      <c r="D373" s="264" t="s">
        <v>4869</v>
      </c>
      <c r="E373" s="264" t="s">
        <v>4870</v>
      </c>
    </row>
    <row r="374">
      <c r="A374" s="264" t="s">
        <v>4871</v>
      </c>
      <c r="B374" s="264" t="s">
        <v>4872</v>
      </c>
      <c r="C374" s="264" t="s">
        <v>4873</v>
      </c>
      <c r="D374" s="264" t="s">
        <v>4874</v>
      </c>
      <c r="E374" s="264" t="s">
        <v>4875</v>
      </c>
    </row>
    <row r="375">
      <c r="A375" s="264" t="s">
        <v>4876</v>
      </c>
      <c r="B375" s="264" t="s">
        <v>4877</v>
      </c>
      <c r="C375" s="264" t="s">
        <v>4878</v>
      </c>
      <c r="D375" s="264" t="s">
        <v>4879</v>
      </c>
      <c r="E375" s="264" t="s">
        <v>4880</v>
      </c>
    </row>
    <row r="376">
      <c r="A376" s="264" t="s">
        <v>4881</v>
      </c>
      <c r="B376" s="264" t="s">
        <v>4882</v>
      </c>
      <c r="C376" s="264" t="s">
        <v>4883</v>
      </c>
      <c r="D376" s="264" t="s">
        <v>4884</v>
      </c>
      <c r="E376" s="264" t="s">
        <v>4885</v>
      </c>
    </row>
    <row r="377">
      <c r="A377" s="264" t="s">
        <v>4886</v>
      </c>
      <c r="B377" s="264" t="s">
        <v>4887</v>
      </c>
      <c r="C377" s="264" t="s">
        <v>4888</v>
      </c>
      <c r="D377" s="264" t="s">
        <v>4889</v>
      </c>
      <c r="E377" s="264" t="s">
        <v>4890</v>
      </c>
    </row>
    <row r="378">
      <c r="A378" s="264" t="s">
        <v>4891</v>
      </c>
      <c r="B378" s="264" t="s">
        <v>4892</v>
      </c>
      <c r="C378" s="264" t="s">
        <v>4893</v>
      </c>
      <c r="D378" s="264" t="s">
        <v>4894</v>
      </c>
      <c r="E378" s="264" t="s">
        <v>4895</v>
      </c>
    </row>
    <row r="379">
      <c r="A379" s="264" t="s">
        <v>4896</v>
      </c>
      <c r="B379" s="264" t="s">
        <v>4897</v>
      </c>
      <c r="C379" s="264" t="s">
        <v>4898</v>
      </c>
      <c r="D379" s="264" t="s">
        <v>4899</v>
      </c>
      <c r="E379" s="264" t="s">
        <v>4900</v>
      </c>
    </row>
    <row r="380">
      <c r="A380" s="264" t="s">
        <v>4901</v>
      </c>
      <c r="B380" s="264" t="s">
        <v>4902</v>
      </c>
      <c r="C380" s="264" t="s">
        <v>4903</v>
      </c>
      <c r="D380" s="264" t="s">
        <v>4904</v>
      </c>
      <c r="E380" s="264" t="s">
        <v>4905</v>
      </c>
    </row>
    <row r="381">
      <c r="A381" s="264" t="s">
        <v>4906</v>
      </c>
      <c r="B381" s="264" t="s">
        <v>4907</v>
      </c>
      <c r="C381" s="264" t="s">
        <v>4908</v>
      </c>
      <c r="D381" s="264" t="s">
        <v>4909</v>
      </c>
      <c r="E381" s="264" t="s">
        <v>4910</v>
      </c>
    </row>
    <row r="382">
      <c r="A382" s="264" t="s">
        <v>4911</v>
      </c>
      <c r="B382" s="264" t="s">
        <v>4912</v>
      </c>
      <c r="C382" s="264" t="s">
        <v>4913</v>
      </c>
      <c r="D382" s="264" t="s">
        <v>4914</v>
      </c>
      <c r="E382" s="264" t="s">
        <v>4915</v>
      </c>
    </row>
    <row r="383">
      <c r="A383" s="264" t="s">
        <v>4916</v>
      </c>
      <c r="B383" s="264" t="s">
        <v>4917</v>
      </c>
      <c r="C383" s="264" t="s">
        <v>4918</v>
      </c>
      <c r="D383" s="264" t="s">
        <v>4919</v>
      </c>
      <c r="E383" s="264" t="s">
        <v>4920</v>
      </c>
    </row>
    <row r="384">
      <c r="A384" s="264" t="s">
        <v>4921</v>
      </c>
      <c r="B384" s="264" t="s">
        <v>4922</v>
      </c>
      <c r="C384" s="264" t="s">
        <v>4923</v>
      </c>
      <c r="D384" s="264" t="s">
        <v>4924</v>
      </c>
      <c r="E384" s="264" t="s">
        <v>4925</v>
      </c>
    </row>
    <row r="385">
      <c r="A385" s="264" t="s">
        <v>4926</v>
      </c>
      <c r="B385" s="264" t="s">
        <v>4927</v>
      </c>
      <c r="C385" s="264" t="s">
        <v>4928</v>
      </c>
      <c r="D385" s="264" t="s">
        <v>4929</v>
      </c>
      <c r="E385" s="264" t="s">
        <v>4930</v>
      </c>
    </row>
  </sheetData>
  <drawing r:id="rId1"/>
</worksheet>
</file>